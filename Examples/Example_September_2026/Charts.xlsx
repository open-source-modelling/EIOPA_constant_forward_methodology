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6d20085048815992/Documenti/GitHub/EIOPA_constant_forward_methodology/Examples/Example_September_2026/"/>
    </mc:Choice>
  </mc:AlternateContent>
  <xr:revisionPtr revIDLastSave="83" documentId="8_{8F8E5303-C9E5-47D0-B341-54F7541C8997}" xr6:coauthVersionLast="47" xr6:coauthVersionMax="47" xr10:uidLastSave="{40F8E9F3-9982-4C79-AB24-468025EBE3E4}"/>
  <bookViews>
    <workbookView xWindow="-110" yWindow="-110" windowWidth="25820" windowHeight="15500" activeTab="2" xr2:uid="{41D49419-366A-4C57-8A7E-EEEDBB9A2389}"/>
  </bookViews>
  <sheets>
    <sheet name="EUR" sheetId="1" r:id="rId1"/>
    <sheet name="UK" sheetId="3" r:id="rId2"/>
    <sheet name="Iceland" sheetId="2" r:id="rId3"/>
  </sheets>
  <definedNames>
    <definedName name="R.BASECURVE" localSheetId="2">Iceland!$J$25:$J$174</definedName>
    <definedName name="R.BASECURVE" localSheetId="1">UK!$J$25:$J$174</definedName>
    <definedName name="R.BASECURVE">EUR!$J$25:$J$174</definedName>
    <definedName name="R.BOOTSTRAPPED_CURVE" localSheetId="2">Iceland!$K$25:$K$174</definedName>
    <definedName name="R.BOOTSTRAPPED_CURVE" localSheetId="1">UK!$K$25:$K$174</definedName>
    <definedName name="R.BOOTSTRAPPED_CURVE">EUR!$K$25:$K$174</definedName>
    <definedName name="R.DLT" localSheetId="2">Iceland!$H$25:$H$174</definedName>
    <definedName name="R.DLT" localSheetId="1">UK!$H$25:$H$174</definedName>
    <definedName name="R.DLT">EUR!$H$25:$H$174</definedName>
    <definedName name="R.MATURITY" localSheetId="2">Iceland!$G$25:$G$174</definedName>
    <definedName name="R.MATURITY" localSheetId="1">UK!$G$25:$G$174</definedName>
    <definedName name="R.MATURITY">EUR!$G$25:$G$174</definedName>
    <definedName name="V.ALPHA" localSheetId="2">Iceland!$H$15</definedName>
    <definedName name="V.ALPHA" localSheetId="1">UK!$H$15</definedName>
    <definedName name="V.ALPHA">EUR!$H$15</definedName>
    <definedName name="V.COUPON_FREQ" localSheetId="2">Iceland!$H$12</definedName>
    <definedName name="V.COUPON_FREQ" localSheetId="1">UK!$H$12</definedName>
    <definedName name="V.COUPON_FREQ">EUR!$H$12</definedName>
    <definedName name="V.CRA" localSheetId="2">Iceland!$H$16</definedName>
    <definedName name="V.CRA" localSheetId="1">UK!$H$16</definedName>
    <definedName name="V.CRA">EUR!$H$16</definedName>
    <definedName name="V.EXTRAPOLATION_SELECTED" localSheetId="2">Iceland!$H$10</definedName>
    <definedName name="V.EXTRAPOLATION_SELECTED" localSheetId="1">UK!$H$10</definedName>
    <definedName name="V.EXTRAPOLATION_SELECTED">EUR!$H$10</definedName>
    <definedName name="V.FSP" localSheetId="2">Iceland!$H$13</definedName>
    <definedName name="V.FSP" localSheetId="1">UK!$H$13</definedName>
    <definedName name="V.FSP">EUR!$H$13</definedName>
    <definedName name="V.INSTRUMENT" localSheetId="2">Iceland!$H$11</definedName>
    <definedName name="V.INSTRUMENT" localSheetId="1">UK!$H$11</definedName>
    <definedName name="V.INSTRUMENT">EUR!$H$11</definedName>
    <definedName name="V.LLFR" localSheetId="2">Iceland!$L$22</definedName>
    <definedName name="V.LLFR" localSheetId="1">UK!$L$22</definedName>
    <definedName name="V.LLFR">EUR!$L$22</definedName>
    <definedName name="V.UFR" localSheetId="2">Iceland!$H$14</definedName>
    <definedName name="V.UFR" localSheetId="1">UK!$H$14</definedName>
    <definedName name="V.UFR">EUR!$H$14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M151" i="2" l="1"/>
  <c r="M150" i="2"/>
  <c r="M149" i="2"/>
  <c r="M148" i="2"/>
  <c r="M147" i="2"/>
  <c r="M146" i="2"/>
  <c r="M145" i="2"/>
  <c r="M144" i="2"/>
  <c r="M143" i="2"/>
  <c r="M142" i="2"/>
  <c r="M141" i="2"/>
  <c r="M140" i="2"/>
  <c r="M139" i="2"/>
  <c r="M138" i="2"/>
  <c r="M137" i="2"/>
  <c r="M136" i="2"/>
  <c r="M135" i="2"/>
  <c r="M134" i="2"/>
  <c r="M133" i="2"/>
  <c r="M132" i="2"/>
  <c r="M131" i="2"/>
  <c r="M130" i="2"/>
  <c r="M129" i="2"/>
  <c r="M128" i="2"/>
  <c r="M127" i="2"/>
  <c r="M126" i="2"/>
  <c r="M125" i="2"/>
  <c r="M124" i="2"/>
  <c r="M123" i="2"/>
  <c r="M122" i="2"/>
  <c r="M121" i="2"/>
  <c r="M120" i="2"/>
  <c r="M119" i="2"/>
  <c r="M118" i="2"/>
  <c r="M117" i="2"/>
  <c r="M116" i="2"/>
  <c r="M115" i="2"/>
  <c r="M114" i="2"/>
  <c r="M113" i="2"/>
  <c r="M112" i="2"/>
  <c r="M111" i="2"/>
  <c r="M110" i="2"/>
  <c r="M109" i="2"/>
  <c r="M108" i="2"/>
  <c r="M107" i="2"/>
  <c r="M106" i="2"/>
  <c r="M105" i="2"/>
  <c r="M104" i="2"/>
  <c r="M103" i="2"/>
  <c r="M102" i="2"/>
  <c r="M101" i="2"/>
  <c r="M100" i="2"/>
  <c r="M99" i="2"/>
  <c r="M98" i="2"/>
  <c r="M97" i="2"/>
  <c r="M96" i="2"/>
  <c r="M95" i="2"/>
  <c r="M94" i="2"/>
  <c r="M93" i="2"/>
  <c r="M92" i="2"/>
  <c r="M91" i="2"/>
  <c r="M90" i="2"/>
  <c r="M89" i="2"/>
  <c r="M88" i="2"/>
  <c r="M87" i="2"/>
  <c r="M86" i="2"/>
  <c r="M85" i="2"/>
  <c r="M84" i="2"/>
  <c r="M83" i="2"/>
  <c r="M82" i="2"/>
  <c r="M81" i="2"/>
  <c r="M80" i="2"/>
  <c r="M79" i="2"/>
  <c r="M78" i="2"/>
  <c r="M77" i="2"/>
  <c r="M76" i="2"/>
  <c r="M75" i="2"/>
  <c r="M74" i="2"/>
  <c r="M73" i="2"/>
  <c r="M72" i="2"/>
  <c r="M71" i="2"/>
  <c r="M70" i="2"/>
  <c r="M69" i="2"/>
  <c r="M68" i="2"/>
  <c r="M67" i="2"/>
  <c r="M66" i="2"/>
  <c r="M65" i="2"/>
  <c r="M64" i="2"/>
  <c r="M63" i="2"/>
  <c r="M62" i="2"/>
  <c r="M61" i="2"/>
  <c r="M60" i="2"/>
  <c r="M59" i="2"/>
  <c r="M58" i="2"/>
  <c r="M57" i="2"/>
  <c r="M56" i="2"/>
  <c r="M55" i="2"/>
  <c r="M54" i="2"/>
  <c r="M53" i="2"/>
  <c r="M52" i="2"/>
  <c r="M51" i="2"/>
  <c r="M50" i="2"/>
  <c r="M49" i="2"/>
  <c r="M48" i="2"/>
  <c r="M47" i="2"/>
  <c r="M46" i="2"/>
  <c r="M45" i="2"/>
  <c r="M44" i="2"/>
  <c r="M43" i="2"/>
  <c r="M42" i="2"/>
  <c r="M41" i="2"/>
  <c r="M40" i="2"/>
  <c r="M39" i="2"/>
  <c r="M38" i="2"/>
  <c r="M37" i="2"/>
  <c r="M36" i="2"/>
  <c r="M35" i="2"/>
  <c r="M34" i="2"/>
  <c r="M33" i="2"/>
  <c r="M32" i="2"/>
  <c r="M31" i="2"/>
  <c r="M30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G151" i="3"/>
  <c r="F151" i="3"/>
  <c r="G150" i="3"/>
  <c r="F150" i="3"/>
  <c r="G149" i="3"/>
  <c r="F149" i="3"/>
  <c r="G148" i="3"/>
  <c r="F148" i="3"/>
  <c r="G147" i="3"/>
  <c r="F147" i="3"/>
  <c r="G146" i="3"/>
  <c r="F146" i="3"/>
  <c r="G145" i="3"/>
  <c r="F145" i="3"/>
  <c r="G144" i="3"/>
  <c r="F144" i="3"/>
  <c r="G143" i="3"/>
  <c r="F143" i="3"/>
  <c r="G142" i="3"/>
  <c r="F142" i="3"/>
  <c r="G141" i="3"/>
  <c r="F141" i="3"/>
  <c r="G140" i="3"/>
  <c r="F140" i="3"/>
  <c r="G139" i="3"/>
  <c r="F139" i="3"/>
  <c r="G138" i="3"/>
  <c r="F138" i="3"/>
  <c r="G137" i="3"/>
  <c r="F137" i="3"/>
  <c r="G136" i="3"/>
  <c r="F136" i="3"/>
  <c r="G135" i="3"/>
  <c r="F135" i="3"/>
  <c r="G134" i="3"/>
  <c r="F134" i="3"/>
  <c r="G133" i="3"/>
  <c r="F133" i="3"/>
  <c r="G132" i="3"/>
  <c r="F132" i="3"/>
  <c r="G131" i="3"/>
  <c r="F131" i="3"/>
  <c r="G130" i="3"/>
  <c r="F130" i="3"/>
  <c r="G129" i="3"/>
  <c r="F129" i="3"/>
  <c r="G128" i="3"/>
  <c r="F128" i="3"/>
  <c r="G127" i="3"/>
  <c r="F127" i="3"/>
  <c r="G126" i="3"/>
  <c r="F126" i="3"/>
  <c r="G125" i="3"/>
  <c r="F125" i="3"/>
  <c r="G124" i="3"/>
  <c r="F124" i="3"/>
  <c r="G123" i="3"/>
  <c r="F123" i="3"/>
  <c r="G122" i="3"/>
  <c r="F122" i="3"/>
  <c r="G121" i="3"/>
  <c r="F121" i="3"/>
  <c r="G120" i="3"/>
  <c r="F120" i="3"/>
  <c r="G119" i="3"/>
  <c r="F119" i="3"/>
  <c r="G118" i="3"/>
  <c r="F118" i="3"/>
  <c r="G117" i="3"/>
  <c r="F117" i="3"/>
  <c r="G116" i="3"/>
  <c r="F116" i="3"/>
  <c r="G115" i="3"/>
  <c r="F115" i="3"/>
  <c r="G114" i="3"/>
  <c r="F114" i="3"/>
  <c r="G113" i="3"/>
  <c r="F113" i="3"/>
  <c r="G112" i="3"/>
  <c r="F112" i="3"/>
  <c r="G111" i="3"/>
  <c r="F111" i="3"/>
  <c r="G110" i="3"/>
  <c r="F110" i="3"/>
  <c r="G109" i="3"/>
  <c r="F109" i="3"/>
  <c r="G108" i="3"/>
  <c r="F108" i="3"/>
  <c r="G107" i="3"/>
  <c r="F107" i="3"/>
  <c r="G106" i="3"/>
  <c r="F106" i="3"/>
  <c r="G105" i="3"/>
  <c r="F105" i="3"/>
  <c r="G104" i="3"/>
  <c r="F104" i="3"/>
  <c r="G103" i="3"/>
  <c r="F103" i="3"/>
  <c r="G102" i="3"/>
  <c r="F102" i="3"/>
  <c r="G101" i="3"/>
  <c r="F101" i="3"/>
  <c r="G100" i="3"/>
  <c r="F100" i="3"/>
  <c r="G99" i="3"/>
  <c r="F99" i="3"/>
  <c r="G98" i="3"/>
  <c r="F98" i="3"/>
  <c r="G97" i="3"/>
  <c r="F97" i="3"/>
  <c r="G96" i="3"/>
  <c r="F96" i="3"/>
  <c r="G95" i="3"/>
  <c r="F95" i="3"/>
  <c r="G94" i="3"/>
  <c r="F94" i="3"/>
  <c r="G93" i="3"/>
  <c r="F93" i="3"/>
  <c r="G92" i="3"/>
  <c r="F92" i="3"/>
  <c r="G91" i="3"/>
  <c r="F91" i="3"/>
  <c r="G90" i="3"/>
  <c r="F90" i="3"/>
  <c r="G89" i="3"/>
  <c r="F89" i="3"/>
  <c r="G88" i="3"/>
  <c r="F88" i="3"/>
  <c r="G87" i="3"/>
  <c r="F87" i="3"/>
  <c r="G86" i="3"/>
  <c r="F86" i="3"/>
  <c r="G85" i="3"/>
  <c r="F85" i="3"/>
  <c r="G84" i="3"/>
  <c r="F84" i="3"/>
  <c r="G83" i="3"/>
  <c r="F83" i="3"/>
  <c r="G82" i="3"/>
  <c r="F82" i="3"/>
  <c r="G81" i="3"/>
  <c r="F81" i="3"/>
  <c r="G80" i="3"/>
  <c r="F80" i="3"/>
  <c r="G79" i="3"/>
  <c r="F79" i="3"/>
  <c r="G78" i="3"/>
  <c r="F78" i="3"/>
  <c r="G77" i="3"/>
  <c r="F77" i="3"/>
  <c r="G76" i="3"/>
  <c r="F76" i="3"/>
  <c r="G75" i="3"/>
  <c r="F75" i="3"/>
  <c r="G74" i="3"/>
  <c r="F74" i="3"/>
  <c r="G73" i="3"/>
  <c r="F73" i="3"/>
  <c r="G72" i="3"/>
  <c r="F72" i="3"/>
  <c r="G71" i="3"/>
  <c r="F71" i="3"/>
  <c r="G70" i="3"/>
  <c r="F70" i="3"/>
  <c r="G69" i="3"/>
  <c r="F69" i="3"/>
  <c r="G68" i="3"/>
  <c r="F68" i="3"/>
  <c r="G67" i="3"/>
  <c r="F67" i="3"/>
  <c r="G66" i="3"/>
  <c r="F66" i="3"/>
  <c r="G65" i="3"/>
  <c r="F65" i="3"/>
  <c r="G64" i="3"/>
  <c r="F64" i="3"/>
  <c r="G63" i="3"/>
  <c r="F63" i="3"/>
  <c r="G62" i="3"/>
  <c r="F62" i="3"/>
  <c r="G61" i="3"/>
  <c r="F61" i="3"/>
  <c r="G60" i="3"/>
  <c r="F60" i="3"/>
  <c r="G59" i="3"/>
  <c r="F59" i="3"/>
  <c r="G58" i="3"/>
  <c r="F58" i="3"/>
  <c r="G57" i="3"/>
  <c r="F57" i="3"/>
  <c r="G56" i="3"/>
  <c r="F56" i="3"/>
  <c r="G55" i="3"/>
  <c r="F55" i="3"/>
  <c r="G54" i="3"/>
  <c r="F54" i="3"/>
  <c r="G53" i="3"/>
  <c r="F53" i="3"/>
  <c r="G52" i="3"/>
  <c r="F52" i="3"/>
  <c r="G51" i="3"/>
  <c r="F51" i="3"/>
  <c r="G50" i="3"/>
  <c r="F50" i="3"/>
  <c r="G49" i="3"/>
  <c r="F49" i="3"/>
  <c r="G48" i="3"/>
  <c r="F48" i="3"/>
  <c r="G47" i="3"/>
  <c r="F47" i="3"/>
  <c r="G46" i="3"/>
  <c r="F46" i="3"/>
  <c r="G45" i="3"/>
  <c r="F45" i="3"/>
  <c r="G44" i="3"/>
  <c r="F44" i="3"/>
  <c r="G43" i="3"/>
  <c r="F43" i="3"/>
  <c r="G42" i="3"/>
  <c r="F42" i="3"/>
  <c r="G41" i="3"/>
  <c r="F41" i="3"/>
  <c r="G40" i="3"/>
  <c r="F40" i="3"/>
  <c r="G39" i="3"/>
  <c r="F39" i="3"/>
  <c r="G38" i="3"/>
  <c r="F38" i="3"/>
  <c r="G37" i="3"/>
  <c r="F37" i="3"/>
  <c r="G36" i="3"/>
  <c r="F36" i="3"/>
  <c r="G35" i="3"/>
  <c r="F35" i="3"/>
  <c r="G34" i="3"/>
  <c r="F34" i="3"/>
  <c r="G33" i="3"/>
  <c r="F33" i="3"/>
  <c r="G32" i="3"/>
  <c r="F32" i="3"/>
  <c r="G31" i="3"/>
  <c r="F31" i="3"/>
  <c r="G30" i="3"/>
  <c r="F30" i="3"/>
  <c r="G29" i="3"/>
  <c r="F29" i="3"/>
  <c r="G28" i="3"/>
  <c r="F28" i="3"/>
  <c r="G27" i="3"/>
  <c r="F27" i="3"/>
  <c r="G26" i="3"/>
  <c r="F26" i="3"/>
  <c r="G25" i="3"/>
  <c r="F25" i="3"/>
  <c r="G24" i="3"/>
  <c r="F24" i="3"/>
  <c r="G23" i="3"/>
  <c r="F23" i="3"/>
  <c r="G22" i="3"/>
  <c r="F22" i="3"/>
  <c r="G21" i="3"/>
  <c r="F21" i="3"/>
  <c r="G20" i="3"/>
  <c r="F20" i="3"/>
  <c r="G19" i="3"/>
  <c r="F19" i="3"/>
  <c r="G18" i="3"/>
  <c r="F18" i="3"/>
  <c r="G17" i="3"/>
  <c r="F17" i="3"/>
  <c r="G16" i="3"/>
  <c r="F16" i="3"/>
  <c r="G15" i="3"/>
  <c r="F15" i="3"/>
  <c r="G14" i="3"/>
  <c r="F14" i="3"/>
  <c r="G13" i="3"/>
  <c r="F13" i="3"/>
  <c r="G12" i="3"/>
  <c r="F12" i="3"/>
  <c r="G11" i="3"/>
  <c r="F11" i="3"/>
  <c r="G10" i="3"/>
  <c r="F10" i="3"/>
  <c r="G9" i="3"/>
  <c r="F9" i="3"/>
  <c r="G8" i="3"/>
  <c r="G1" i="3" s="1"/>
  <c r="F8" i="3"/>
  <c r="G7" i="3"/>
  <c r="F7" i="3"/>
  <c r="G6" i="3"/>
  <c r="F6" i="3"/>
  <c r="G5" i="3"/>
  <c r="F5" i="3"/>
  <c r="G4" i="3"/>
  <c r="F4" i="3"/>
  <c r="G3" i="3"/>
  <c r="F3" i="3"/>
  <c r="G2" i="3"/>
  <c r="F2" i="3"/>
  <c r="F1" i="3" l="1"/>
  <c r="G151" i="2" l="1"/>
  <c r="F151" i="2"/>
  <c r="G150" i="2"/>
  <c r="F150" i="2"/>
  <c r="G149" i="2"/>
  <c r="F149" i="2"/>
  <c r="G148" i="2"/>
  <c r="F148" i="2"/>
  <c r="G147" i="2"/>
  <c r="F147" i="2"/>
  <c r="G146" i="2"/>
  <c r="F146" i="2"/>
  <c r="G145" i="2"/>
  <c r="F145" i="2"/>
  <c r="G144" i="2"/>
  <c r="F144" i="2"/>
  <c r="G143" i="2"/>
  <c r="F143" i="2"/>
  <c r="G142" i="2"/>
  <c r="F142" i="2"/>
  <c r="G141" i="2"/>
  <c r="F141" i="2"/>
  <c r="G140" i="2"/>
  <c r="F140" i="2"/>
  <c r="G139" i="2"/>
  <c r="F139" i="2"/>
  <c r="G138" i="2"/>
  <c r="F138" i="2"/>
  <c r="G137" i="2"/>
  <c r="F137" i="2"/>
  <c r="G136" i="2"/>
  <c r="F136" i="2"/>
  <c r="G135" i="2"/>
  <c r="F135" i="2"/>
  <c r="G134" i="2"/>
  <c r="F134" i="2"/>
  <c r="G133" i="2"/>
  <c r="F133" i="2"/>
  <c r="G132" i="2"/>
  <c r="F132" i="2"/>
  <c r="G131" i="2"/>
  <c r="F131" i="2"/>
  <c r="G130" i="2"/>
  <c r="F130" i="2"/>
  <c r="G129" i="2"/>
  <c r="F129" i="2"/>
  <c r="G128" i="2"/>
  <c r="F128" i="2"/>
  <c r="G127" i="2"/>
  <c r="F127" i="2"/>
  <c r="G126" i="2"/>
  <c r="F126" i="2"/>
  <c r="G125" i="2"/>
  <c r="F125" i="2"/>
  <c r="G124" i="2"/>
  <c r="F124" i="2"/>
  <c r="G123" i="2"/>
  <c r="F123" i="2"/>
  <c r="G122" i="2"/>
  <c r="F122" i="2"/>
  <c r="G121" i="2"/>
  <c r="F121" i="2"/>
  <c r="G120" i="2"/>
  <c r="F120" i="2"/>
  <c r="G119" i="2"/>
  <c r="F119" i="2"/>
  <c r="G118" i="2"/>
  <c r="F118" i="2"/>
  <c r="G117" i="2"/>
  <c r="F117" i="2"/>
  <c r="G116" i="2"/>
  <c r="F116" i="2"/>
  <c r="G115" i="2"/>
  <c r="F115" i="2"/>
  <c r="G114" i="2"/>
  <c r="F114" i="2"/>
  <c r="G113" i="2"/>
  <c r="F113" i="2"/>
  <c r="G112" i="2"/>
  <c r="F112" i="2"/>
  <c r="G111" i="2"/>
  <c r="F111" i="2"/>
  <c r="G110" i="2"/>
  <c r="F110" i="2"/>
  <c r="G109" i="2"/>
  <c r="F109" i="2"/>
  <c r="G108" i="2"/>
  <c r="F108" i="2"/>
  <c r="G107" i="2"/>
  <c r="F107" i="2"/>
  <c r="G106" i="2"/>
  <c r="F106" i="2"/>
  <c r="G105" i="2"/>
  <c r="F105" i="2"/>
  <c r="G104" i="2"/>
  <c r="F104" i="2"/>
  <c r="G103" i="2"/>
  <c r="F103" i="2"/>
  <c r="G102" i="2"/>
  <c r="F102" i="2"/>
  <c r="G101" i="2"/>
  <c r="F101" i="2"/>
  <c r="G100" i="2"/>
  <c r="F100" i="2"/>
  <c r="G99" i="2"/>
  <c r="F99" i="2"/>
  <c r="G98" i="2"/>
  <c r="F98" i="2"/>
  <c r="G97" i="2"/>
  <c r="F97" i="2"/>
  <c r="G96" i="2"/>
  <c r="F96" i="2"/>
  <c r="G95" i="2"/>
  <c r="F95" i="2"/>
  <c r="G94" i="2"/>
  <c r="F94" i="2"/>
  <c r="G93" i="2"/>
  <c r="F93" i="2"/>
  <c r="G92" i="2"/>
  <c r="F92" i="2"/>
  <c r="G91" i="2"/>
  <c r="F91" i="2"/>
  <c r="G90" i="2"/>
  <c r="F90" i="2"/>
  <c r="G89" i="2"/>
  <c r="F89" i="2"/>
  <c r="G88" i="2"/>
  <c r="F88" i="2"/>
  <c r="G87" i="2"/>
  <c r="F87" i="2"/>
  <c r="G86" i="2"/>
  <c r="F86" i="2"/>
  <c r="G85" i="2"/>
  <c r="F85" i="2"/>
  <c r="G84" i="2"/>
  <c r="F84" i="2"/>
  <c r="G83" i="2"/>
  <c r="F83" i="2"/>
  <c r="G82" i="2"/>
  <c r="F82" i="2"/>
  <c r="G81" i="2"/>
  <c r="F81" i="2"/>
  <c r="G80" i="2"/>
  <c r="F80" i="2"/>
  <c r="G79" i="2"/>
  <c r="F79" i="2"/>
  <c r="G78" i="2"/>
  <c r="F78" i="2"/>
  <c r="G77" i="2"/>
  <c r="F77" i="2"/>
  <c r="G76" i="2"/>
  <c r="F76" i="2"/>
  <c r="G75" i="2"/>
  <c r="F75" i="2"/>
  <c r="G74" i="2"/>
  <c r="F74" i="2"/>
  <c r="G73" i="2"/>
  <c r="F73" i="2"/>
  <c r="G72" i="2"/>
  <c r="F72" i="2"/>
  <c r="G71" i="2"/>
  <c r="F71" i="2"/>
  <c r="G70" i="2"/>
  <c r="F70" i="2"/>
  <c r="G69" i="2"/>
  <c r="F69" i="2"/>
  <c r="G68" i="2"/>
  <c r="F68" i="2"/>
  <c r="G67" i="2"/>
  <c r="F67" i="2"/>
  <c r="G66" i="2"/>
  <c r="F66" i="2"/>
  <c r="G65" i="2"/>
  <c r="F65" i="2"/>
  <c r="G64" i="2"/>
  <c r="F64" i="2"/>
  <c r="G63" i="2"/>
  <c r="F63" i="2"/>
  <c r="G62" i="2"/>
  <c r="F62" i="2"/>
  <c r="G61" i="2"/>
  <c r="F61" i="2"/>
  <c r="G60" i="2"/>
  <c r="F60" i="2"/>
  <c r="G59" i="2"/>
  <c r="F59" i="2"/>
  <c r="G58" i="2"/>
  <c r="F58" i="2"/>
  <c r="G57" i="2"/>
  <c r="F57" i="2"/>
  <c r="G56" i="2"/>
  <c r="F56" i="2"/>
  <c r="G55" i="2"/>
  <c r="F55" i="2"/>
  <c r="G54" i="2"/>
  <c r="F54" i="2"/>
  <c r="G53" i="2"/>
  <c r="F53" i="2"/>
  <c r="G52" i="2"/>
  <c r="F52" i="2"/>
  <c r="G51" i="2"/>
  <c r="F51" i="2"/>
  <c r="G50" i="2"/>
  <c r="F50" i="2"/>
  <c r="G49" i="2"/>
  <c r="F49" i="2"/>
  <c r="G48" i="2"/>
  <c r="F48" i="2"/>
  <c r="G47" i="2"/>
  <c r="F47" i="2"/>
  <c r="G46" i="2"/>
  <c r="F46" i="2"/>
  <c r="G45" i="2"/>
  <c r="F45" i="2"/>
  <c r="G44" i="2"/>
  <c r="F44" i="2"/>
  <c r="G43" i="2"/>
  <c r="F43" i="2"/>
  <c r="G42" i="2"/>
  <c r="F42" i="2"/>
  <c r="G41" i="2"/>
  <c r="F41" i="2"/>
  <c r="G40" i="2"/>
  <c r="F40" i="2"/>
  <c r="G39" i="2"/>
  <c r="F39" i="2"/>
  <c r="G38" i="2"/>
  <c r="F38" i="2"/>
  <c r="G37" i="2"/>
  <c r="F37" i="2"/>
  <c r="G36" i="2"/>
  <c r="F36" i="2"/>
  <c r="G35" i="2"/>
  <c r="F35" i="2"/>
  <c r="G34" i="2"/>
  <c r="F34" i="2"/>
  <c r="G33" i="2"/>
  <c r="F33" i="2"/>
  <c r="G32" i="2"/>
  <c r="F32" i="2"/>
  <c r="G31" i="2"/>
  <c r="F31" i="2"/>
  <c r="G30" i="2"/>
  <c r="F30" i="2"/>
  <c r="G29" i="2"/>
  <c r="F29" i="2"/>
  <c r="G28" i="2"/>
  <c r="F28" i="2"/>
  <c r="G27" i="2"/>
  <c r="F27" i="2"/>
  <c r="G26" i="2"/>
  <c r="F26" i="2"/>
  <c r="G25" i="2"/>
  <c r="F25" i="2"/>
  <c r="G24" i="2"/>
  <c r="F24" i="2"/>
  <c r="G23" i="2"/>
  <c r="F23" i="2"/>
  <c r="G22" i="2"/>
  <c r="F22" i="2"/>
  <c r="G21" i="2"/>
  <c r="F21" i="2"/>
  <c r="G20" i="2"/>
  <c r="F20" i="2"/>
  <c r="G19" i="2"/>
  <c r="F19" i="2"/>
  <c r="G18" i="2"/>
  <c r="F18" i="2"/>
  <c r="G17" i="2"/>
  <c r="F17" i="2"/>
  <c r="G16" i="2"/>
  <c r="F16" i="2"/>
  <c r="G15" i="2"/>
  <c r="F15" i="2"/>
  <c r="G14" i="2"/>
  <c r="F14" i="2"/>
  <c r="G13" i="2"/>
  <c r="F13" i="2"/>
  <c r="G12" i="2"/>
  <c r="F12" i="2"/>
  <c r="G11" i="2"/>
  <c r="F11" i="2"/>
  <c r="G10" i="2"/>
  <c r="F10" i="2"/>
  <c r="G9" i="2"/>
  <c r="F9" i="2"/>
  <c r="G8" i="2"/>
  <c r="F8" i="2"/>
  <c r="G7" i="2"/>
  <c r="F7" i="2"/>
  <c r="G6" i="2"/>
  <c r="F6" i="2"/>
  <c r="G5" i="2"/>
  <c r="F5" i="2"/>
  <c r="G4" i="2"/>
  <c r="F4" i="2"/>
  <c r="G3" i="2"/>
  <c r="F3" i="2"/>
  <c r="G2" i="2"/>
  <c r="F2" i="2"/>
  <c r="F1" i="2" l="1"/>
  <c r="G1" i="2"/>
  <c r="F151" i="1" l="1"/>
  <c r="F150" i="1"/>
  <c r="F149" i="1"/>
  <c r="F148" i="1"/>
  <c r="F147" i="1"/>
  <c r="F146" i="1"/>
  <c r="F145" i="1"/>
  <c r="F144" i="1"/>
  <c r="F143" i="1"/>
  <c r="F142" i="1"/>
  <c r="F141" i="1"/>
  <c r="F140" i="1"/>
  <c r="F139" i="1"/>
  <c r="F138" i="1"/>
  <c r="F137" i="1"/>
  <c r="F136" i="1"/>
  <c r="F135" i="1"/>
  <c r="F134" i="1"/>
  <c r="F133" i="1"/>
  <c r="F132" i="1"/>
  <c r="F131" i="1"/>
  <c r="F130" i="1"/>
  <c r="F129" i="1"/>
  <c r="F128" i="1"/>
  <c r="F127" i="1"/>
  <c r="F126" i="1"/>
  <c r="F125" i="1"/>
  <c r="F124" i="1"/>
  <c r="F123" i="1"/>
  <c r="F122" i="1"/>
  <c r="F121" i="1"/>
  <c r="F120" i="1"/>
  <c r="F119" i="1"/>
  <c r="F118" i="1"/>
  <c r="F117" i="1"/>
  <c r="F116" i="1"/>
  <c r="F115" i="1"/>
  <c r="F114" i="1"/>
  <c r="F113" i="1"/>
  <c r="F112" i="1"/>
  <c r="F111" i="1"/>
  <c r="F110" i="1"/>
  <c r="F109" i="1"/>
  <c r="F108" i="1"/>
  <c r="F107" i="1"/>
  <c r="F106" i="1"/>
  <c r="F105" i="1"/>
  <c r="F104" i="1"/>
  <c r="F103" i="1"/>
  <c r="F102" i="1"/>
  <c r="F101" i="1"/>
  <c r="F100" i="1"/>
  <c r="F99" i="1"/>
  <c r="F98" i="1"/>
  <c r="F97" i="1"/>
  <c r="F96" i="1"/>
  <c r="F95" i="1"/>
  <c r="F94" i="1"/>
  <c r="F93" i="1"/>
  <c r="F92" i="1"/>
  <c r="F91" i="1"/>
  <c r="F90" i="1"/>
  <c r="F89" i="1"/>
  <c r="F88" i="1"/>
  <c r="F87" i="1"/>
  <c r="F86" i="1"/>
  <c r="F85" i="1"/>
  <c r="F84" i="1"/>
  <c r="F83" i="1"/>
  <c r="F82" i="1"/>
  <c r="F81" i="1"/>
  <c r="F80" i="1"/>
  <c r="F79" i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2" i="1"/>
  <c r="F41" i="1"/>
  <c r="F40" i="1"/>
  <c r="F39" i="1"/>
  <c r="F38" i="1"/>
  <c r="F37" i="1"/>
  <c r="F36" i="1"/>
  <c r="F35" i="1"/>
  <c r="F34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F4" i="1"/>
  <c r="F3" i="1"/>
  <c r="F2" i="1"/>
  <c r="G151" i="1"/>
  <c r="G150" i="1"/>
  <c r="G149" i="1"/>
  <c r="G148" i="1"/>
  <c r="G147" i="1"/>
  <c r="G146" i="1"/>
  <c r="G145" i="1"/>
  <c r="G144" i="1"/>
  <c r="G143" i="1"/>
  <c r="G142" i="1"/>
  <c r="G141" i="1"/>
  <c r="G140" i="1"/>
  <c r="G139" i="1"/>
  <c r="G138" i="1"/>
  <c r="G137" i="1"/>
  <c r="G136" i="1"/>
  <c r="G135" i="1"/>
  <c r="G134" i="1"/>
  <c r="G133" i="1"/>
  <c r="G132" i="1"/>
  <c r="G131" i="1"/>
  <c r="G130" i="1"/>
  <c r="G129" i="1"/>
  <c r="G128" i="1"/>
  <c r="G127" i="1"/>
  <c r="G126" i="1"/>
  <c r="G125" i="1"/>
  <c r="G124" i="1"/>
  <c r="G123" i="1"/>
  <c r="G122" i="1"/>
  <c r="G121" i="1"/>
  <c r="G120" i="1"/>
  <c r="G119" i="1"/>
  <c r="G118" i="1"/>
  <c r="G117" i="1"/>
  <c r="G116" i="1"/>
  <c r="G115" i="1"/>
  <c r="G114" i="1"/>
  <c r="G113" i="1"/>
  <c r="G112" i="1"/>
  <c r="G111" i="1"/>
  <c r="G110" i="1"/>
  <c r="G109" i="1"/>
  <c r="G108" i="1"/>
  <c r="G107" i="1"/>
  <c r="G106" i="1"/>
  <c r="G105" i="1"/>
  <c r="G104" i="1"/>
  <c r="G103" i="1"/>
  <c r="G102" i="1"/>
  <c r="G101" i="1"/>
  <c r="G100" i="1"/>
  <c r="G99" i="1"/>
  <c r="G98" i="1"/>
  <c r="G97" i="1"/>
  <c r="G96" i="1"/>
  <c r="G95" i="1"/>
  <c r="G94" i="1"/>
  <c r="G93" i="1"/>
  <c r="G92" i="1"/>
  <c r="G91" i="1"/>
  <c r="G90" i="1"/>
  <c r="G89" i="1"/>
  <c r="G88" i="1"/>
  <c r="G87" i="1"/>
  <c r="G86" i="1"/>
  <c r="G85" i="1"/>
  <c r="G84" i="1"/>
  <c r="G83" i="1"/>
  <c r="G82" i="1"/>
  <c r="G81" i="1"/>
  <c r="G80" i="1"/>
  <c r="G79" i="1"/>
  <c r="G78" i="1"/>
  <c r="G77" i="1"/>
  <c r="G76" i="1"/>
  <c r="G75" i="1"/>
  <c r="G74" i="1"/>
  <c r="G73" i="1"/>
  <c r="G72" i="1"/>
  <c r="G71" i="1"/>
  <c r="G70" i="1"/>
  <c r="G69" i="1"/>
  <c r="G68" i="1"/>
  <c r="G67" i="1"/>
  <c r="G66" i="1"/>
  <c r="G65" i="1"/>
  <c r="G64" i="1"/>
  <c r="G63" i="1"/>
  <c r="G62" i="1"/>
  <c r="G61" i="1"/>
  <c r="G60" i="1"/>
  <c r="G59" i="1"/>
  <c r="G58" i="1"/>
  <c r="G57" i="1"/>
  <c r="G56" i="1"/>
  <c r="G55" i="1"/>
  <c r="G54" i="1"/>
  <c r="G53" i="1"/>
  <c r="G52" i="1"/>
  <c r="G51" i="1"/>
  <c r="G50" i="1"/>
  <c r="G49" i="1"/>
  <c r="G48" i="1"/>
  <c r="G47" i="1"/>
  <c r="G46" i="1"/>
  <c r="G45" i="1"/>
  <c r="G44" i="1"/>
  <c r="G43" i="1"/>
  <c r="G42" i="1"/>
  <c r="G41" i="1"/>
  <c r="G40" i="1"/>
  <c r="G39" i="1"/>
  <c r="G38" i="1"/>
  <c r="G37" i="1"/>
  <c r="G36" i="1"/>
  <c r="G35" i="1"/>
  <c r="G34" i="1"/>
  <c r="G33" i="1"/>
  <c r="G32" i="1"/>
  <c r="G31" i="1"/>
  <c r="G30" i="1"/>
  <c r="G29" i="1"/>
  <c r="G28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12" i="1"/>
  <c r="G11" i="1"/>
  <c r="G10" i="1"/>
  <c r="G9" i="1"/>
  <c r="G8" i="1"/>
  <c r="G7" i="1"/>
  <c r="G6" i="1"/>
  <c r="G5" i="1"/>
  <c r="G4" i="1"/>
  <c r="G3" i="1"/>
  <c r="G2" i="1"/>
  <c r="G1" i="1" l="1"/>
  <c r="F1" i="1"/>
</calcChain>
</file>

<file path=xl/sharedStrings.xml><?xml version="1.0" encoding="utf-8"?>
<sst xmlns="http://schemas.openxmlformats.org/spreadsheetml/2006/main" count="21" uniqueCount="6">
  <si>
    <t>Bootstrapped Zero Rate CC</t>
  </si>
  <si>
    <t>Extrapolated Zero Rate AC / Basic RFR</t>
  </si>
  <si>
    <t>Basic RFR</t>
  </si>
  <si>
    <t>Maturity</t>
  </si>
  <si>
    <t>Smith-Wilson</t>
  </si>
  <si>
    <t>Constant forward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</si>
</sst>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%"/>
    <numFmt numFmtId="177" formatCode="0.0000000000000000%"/>
  </numFmts>
  <fonts count="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E1EAF3"/>
        <bgColor rgb="FF000000"/>
      </patternFill>
    </fill>
    <fill>
      <patternFill patternType="solid">
        <fgColor rgb="FFD3DFED"/>
        <bgColor rgb="FF000000"/>
      </patternFill>
    </fill>
  </fills>
  <borders count="5">
    <border>
      <left/>
      <right/>
      <top/>
      <bottom/>
      <diagonal/>
    </border>
    <border>
      <left style="thin">
        <color rgb="FFE1EAF3"/>
      </left>
      <right/>
      <top style="thin">
        <color rgb="FFE1EAF3"/>
      </top>
      <bottom style="thin">
        <color rgb="FFE1EAF3"/>
      </bottom>
      <diagonal/>
    </border>
    <border>
      <left style="thin">
        <color rgb="FF156082"/>
      </left>
      <right style="thin">
        <color rgb="FF156082"/>
      </right>
      <top style="thin">
        <color rgb="FF156082"/>
      </top>
      <bottom/>
      <diagonal/>
    </border>
    <border>
      <left style="thin">
        <color rgb="FF156082"/>
      </left>
      <right style="thin">
        <color rgb="FF156082"/>
      </right>
      <top/>
      <bottom/>
      <diagonal/>
    </border>
    <border>
      <left style="thin">
        <color rgb="FF156082"/>
      </left>
      <right style="thin">
        <color rgb="FF156082"/>
      </right>
      <top/>
      <bottom style="thin">
        <color rgb="FF156082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0" fontId="2" fillId="2" borderId="0" xfId="0" applyFont="1" applyFill="1" applyAlignment="1">
      <alignment horizontal="right" wrapText="1"/>
    </xf>
    <xf numFmtId="164" fontId="3" fillId="3" borderId="1" xfId="1" applyNumberFormat="1" applyFont="1" applyFill="1" applyBorder="1"/>
    <xf numFmtId="164" fontId="3" fillId="3" borderId="1" xfId="1" applyNumberFormat="1" applyFont="1" applyFill="1" applyBorder="1" applyAlignment="1">
      <alignment horizontal="right"/>
    </xf>
    <xf numFmtId="164" fontId="3" fillId="4" borderId="2" xfId="1" applyNumberFormat="1" applyFont="1" applyFill="1" applyBorder="1"/>
    <xf numFmtId="164" fontId="3" fillId="4" borderId="3" xfId="1" applyNumberFormat="1" applyFont="1" applyFill="1" applyBorder="1"/>
    <xf numFmtId="164" fontId="3" fillId="4" borderId="4" xfId="1" applyNumberFormat="1" applyFont="1" applyFill="1" applyBorder="1"/>
    <xf numFmtId="177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Euro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EUR!$L$1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">
                <a:solidFill>
                  <a:schemeClr val="accent1"/>
                </a:solidFill>
              </a:ln>
              <a:effectLst/>
            </c:spPr>
          </c:marker>
          <c:cat>
            <c:numRef>
              <c:f>EUR!$K$2:$K$51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EUR!$L$2:$L$51</c:f>
              <c:numCache>
                <c:formatCode>General</c:formatCode>
                <c:ptCount val="50"/>
                <c:pt idx="0">
                  <c:v>3.2710000000000003E-2</c:v>
                </c:pt>
                <c:pt idx="1">
                  <c:v>3.4389999999999997E-2</c:v>
                </c:pt>
                <c:pt idx="2">
                  <c:v>3.4700000000000002E-2</c:v>
                </c:pt>
                <c:pt idx="3">
                  <c:v>3.4819999999999997E-2</c:v>
                </c:pt>
                <c:pt idx="4">
                  <c:v>3.4880000000000001E-2</c:v>
                </c:pt>
                <c:pt idx="5">
                  <c:v>3.4970000000000001E-2</c:v>
                </c:pt>
                <c:pt idx="6">
                  <c:v>3.5119999999999998E-2</c:v>
                </c:pt>
                <c:pt idx="7">
                  <c:v>3.5319999999999997E-2</c:v>
                </c:pt>
                <c:pt idx="8">
                  <c:v>3.5529999999999999E-2</c:v>
                </c:pt>
                <c:pt idx="9">
                  <c:v>3.5770000000000003E-2</c:v>
                </c:pt>
                <c:pt idx="10">
                  <c:v>3.5970000000000002E-2</c:v>
                </c:pt>
                <c:pt idx="11">
                  <c:v>3.6159999999999998E-2</c:v>
                </c:pt>
                <c:pt idx="12">
                  <c:v>3.6299999999999999E-2</c:v>
                </c:pt>
                <c:pt idx="13">
                  <c:v>3.6389999999999999E-2</c:v>
                </c:pt>
                <c:pt idx="14">
                  <c:v>3.6429999999999997E-2</c:v>
                </c:pt>
                <c:pt idx="15">
                  <c:v>3.6400000000000002E-2</c:v>
                </c:pt>
                <c:pt idx="16">
                  <c:v>3.6319999999999998E-2</c:v>
                </c:pt>
                <c:pt idx="17">
                  <c:v>3.6209999999999999E-2</c:v>
                </c:pt>
                <c:pt idx="18">
                  <c:v>3.6089999999999997E-2</c:v>
                </c:pt>
                <c:pt idx="19">
                  <c:v>3.5970000000000002E-2</c:v>
                </c:pt>
                <c:pt idx="20">
                  <c:v>3.585E-2</c:v>
                </c:pt>
                <c:pt idx="21">
                  <c:v>3.5749999999999997E-2</c:v>
                </c:pt>
                <c:pt idx="22">
                  <c:v>3.5650000000000001E-2</c:v>
                </c:pt>
                <c:pt idx="23">
                  <c:v>3.5569999999999997E-2</c:v>
                </c:pt>
                <c:pt idx="24">
                  <c:v>3.5479999999999998E-2</c:v>
                </c:pt>
                <c:pt idx="25">
                  <c:v>3.5400000000000001E-2</c:v>
                </c:pt>
                <c:pt idx="26">
                  <c:v>3.533E-2</c:v>
                </c:pt>
                <c:pt idx="27">
                  <c:v>3.526E-2</c:v>
                </c:pt>
                <c:pt idx="28">
                  <c:v>3.5200000000000002E-2</c:v>
                </c:pt>
                <c:pt idx="29">
                  <c:v>3.5139999999999998E-2</c:v>
                </c:pt>
                <c:pt idx="30">
                  <c:v>3.508E-2</c:v>
                </c:pt>
                <c:pt idx="31">
                  <c:v>3.5029999999999999E-2</c:v>
                </c:pt>
                <c:pt idx="32">
                  <c:v>3.4979999999999997E-2</c:v>
                </c:pt>
                <c:pt idx="33">
                  <c:v>3.4930000000000003E-2</c:v>
                </c:pt>
                <c:pt idx="34">
                  <c:v>3.4880000000000001E-2</c:v>
                </c:pt>
                <c:pt idx="35">
                  <c:v>3.4840000000000003E-2</c:v>
                </c:pt>
                <c:pt idx="36">
                  <c:v>3.4790000000000001E-2</c:v>
                </c:pt>
                <c:pt idx="37">
                  <c:v>3.4750000000000003E-2</c:v>
                </c:pt>
                <c:pt idx="38">
                  <c:v>3.4709999999999998E-2</c:v>
                </c:pt>
                <c:pt idx="39">
                  <c:v>3.4680000000000002E-2</c:v>
                </c:pt>
                <c:pt idx="40">
                  <c:v>3.4639999999999997E-2</c:v>
                </c:pt>
                <c:pt idx="41">
                  <c:v>3.4610000000000002E-2</c:v>
                </c:pt>
                <c:pt idx="42">
                  <c:v>3.458E-2</c:v>
                </c:pt>
                <c:pt idx="43">
                  <c:v>3.4540000000000001E-2</c:v>
                </c:pt>
                <c:pt idx="44">
                  <c:v>3.4509999999999999E-2</c:v>
                </c:pt>
                <c:pt idx="45">
                  <c:v>3.4479999999999997E-2</c:v>
                </c:pt>
                <c:pt idx="46">
                  <c:v>3.4459999999999998E-2</c:v>
                </c:pt>
                <c:pt idx="47">
                  <c:v>3.4430000000000002E-2</c:v>
                </c:pt>
                <c:pt idx="48">
                  <c:v>3.44E-2</c:v>
                </c:pt>
                <c:pt idx="49">
                  <c:v>3.4380000000000001E-2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EB8-4D9E-8CE9-75BBE0BD2451}"/>
            </c:ext>
          </c:extLst>
        </c:ser>
        <c:ser>
          <c:idx val="1"/>
          <c:order val="1"/>
          <c:tx>
            <c:strRef>
              <c:f>EUR!$M$1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EUR!$K$2:$K$51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EUR!$M$2:$M$51</c:f>
              <c:numCache>
                <c:formatCode>General</c:formatCode>
                <c:ptCount val="50"/>
                <c:pt idx="0">
                  <c:v>3.2710000000000003E-2</c:v>
                </c:pt>
                <c:pt idx="1">
                  <c:v>3.4389999999999997E-2</c:v>
                </c:pt>
                <c:pt idx="2">
                  <c:v>3.4700000000000002E-2</c:v>
                </c:pt>
                <c:pt idx="3">
                  <c:v>3.4819999999999997E-2</c:v>
                </c:pt>
                <c:pt idx="4">
                  <c:v>3.4880000000000001E-2</c:v>
                </c:pt>
                <c:pt idx="5">
                  <c:v>3.4970000000000001E-2</c:v>
                </c:pt>
                <c:pt idx="6">
                  <c:v>3.5119999999999998E-2</c:v>
                </c:pt>
                <c:pt idx="7">
                  <c:v>3.5319999999999997E-2</c:v>
                </c:pt>
                <c:pt idx="8">
                  <c:v>3.5529999999999999E-2</c:v>
                </c:pt>
                <c:pt idx="9">
                  <c:v>3.5770000000000003E-2</c:v>
                </c:pt>
                <c:pt idx="10">
                  <c:v>3.5970000000000002E-2</c:v>
                </c:pt>
                <c:pt idx="11">
                  <c:v>3.6159999999999998E-2</c:v>
                </c:pt>
                <c:pt idx="12">
                  <c:v>3.6299999999999999E-2</c:v>
                </c:pt>
                <c:pt idx="13">
                  <c:v>3.6389999999999999E-2</c:v>
                </c:pt>
                <c:pt idx="14">
                  <c:v>3.6429999999999997E-2</c:v>
                </c:pt>
                <c:pt idx="15">
                  <c:v>3.6400000000000002E-2</c:v>
                </c:pt>
                <c:pt idx="16">
                  <c:v>3.6319999999999998E-2</c:v>
                </c:pt>
                <c:pt idx="17">
                  <c:v>3.6209999999999999E-2</c:v>
                </c:pt>
                <c:pt idx="18">
                  <c:v>3.6089999999999997E-2</c:v>
                </c:pt>
                <c:pt idx="19">
                  <c:v>3.5970000000000002E-2</c:v>
                </c:pt>
                <c:pt idx="20">
                  <c:v>3.5860000000000003E-2</c:v>
                </c:pt>
                <c:pt idx="21">
                  <c:v>3.576E-2</c:v>
                </c:pt>
                <c:pt idx="22">
                  <c:v>3.5659999999999997E-2</c:v>
                </c:pt>
                <c:pt idx="23">
                  <c:v>3.5569999999999997E-2</c:v>
                </c:pt>
                <c:pt idx="24">
                  <c:v>3.5479999999999998E-2</c:v>
                </c:pt>
                <c:pt idx="25">
                  <c:v>3.5400000000000001E-2</c:v>
                </c:pt>
                <c:pt idx="26">
                  <c:v>3.5319999999999997E-2</c:v>
                </c:pt>
                <c:pt idx="27">
                  <c:v>3.5249999999999997E-2</c:v>
                </c:pt>
                <c:pt idx="28">
                  <c:v>3.5180000000000003E-2</c:v>
                </c:pt>
                <c:pt idx="29">
                  <c:v>3.5119999999999998E-2</c:v>
                </c:pt>
                <c:pt idx="30">
                  <c:v>3.5060000000000001E-2</c:v>
                </c:pt>
                <c:pt idx="31">
                  <c:v>3.5000000000000003E-2</c:v>
                </c:pt>
                <c:pt idx="32">
                  <c:v>3.4939999999999999E-2</c:v>
                </c:pt>
                <c:pt idx="33">
                  <c:v>3.4889999999999997E-2</c:v>
                </c:pt>
                <c:pt idx="34">
                  <c:v>3.4840000000000003E-2</c:v>
                </c:pt>
                <c:pt idx="35">
                  <c:v>3.4790000000000001E-2</c:v>
                </c:pt>
                <c:pt idx="36">
                  <c:v>3.4750000000000003E-2</c:v>
                </c:pt>
                <c:pt idx="37">
                  <c:v>3.4709999999999998E-2</c:v>
                </c:pt>
                <c:pt idx="38">
                  <c:v>3.4660000000000003E-2</c:v>
                </c:pt>
                <c:pt idx="39">
                  <c:v>3.4619999999999998E-2</c:v>
                </c:pt>
                <c:pt idx="40">
                  <c:v>3.4590000000000003E-2</c:v>
                </c:pt>
                <c:pt idx="41">
                  <c:v>3.4549999999999997E-2</c:v>
                </c:pt>
                <c:pt idx="42">
                  <c:v>3.4520000000000002E-2</c:v>
                </c:pt>
                <c:pt idx="43">
                  <c:v>3.4479999999999997E-2</c:v>
                </c:pt>
                <c:pt idx="44">
                  <c:v>3.4450000000000001E-2</c:v>
                </c:pt>
                <c:pt idx="45">
                  <c:v>3.4419999999999999E-2</c:v>
                </c:pt>
                <c:pt idx="46">
                  <c:v>3.4389999999999997E-2</c:v>
                </c:pt>
                <c:pt idx="47">
                  <c:v>3.4360000000000002E-2</c:v>
                </c:pt>
                <c:pt idx="48">
                  <c:v>3.4329999999999999E-2</c:v>
                </c:pt>
                <c:pt idx="49">
                  <c:v>3.431E-2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EB8-4D9E-8CE9-75BBE0BD24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tickMarkSkip val="1"/>
        <c:noMultiLvlLbl val="0"/>
      </c:catAx>
      <c:valAx>
        <c:axId val="347593584"/>
        <c:scaling>
          <c:orientation val="minMax"/>
          <c:min val="3.25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825260138763102"/>
          <c:y val="0.13918876356671636"/>
          <c:w val="0.26754781133333111"/>
          <c:h val="6.0811236433283684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Pound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UK!$L$1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6350">
                <a:solidFill>
                  <a:schemeClr val="accent1"/>
                </a:solidFill>
              </a:ln>
              <a:effectLst/>
            </c:spPr>
          </c:marker>
          <c:cat>
            <c:numRef>
              <c:f>UK!$K$2:$K$51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UK!$L$2:$L$51</c:f>
              <c:numCache>
                <c:formatCode>General</c:formatCode>
                <c:ptCount val="50"/>
                <c:pt idx="0">
                  <c:v>4.4540000000000003E-2</c:v>
                </c:pt>
                <c:pt idx="1">
                  <c:v>4.6850000000000003E-2</c:v>
                </c:pt>
                <c:pt idx="2">
                  <c:v>4.7419999999999997E-2</c:v>
                </c:pt>
                <c:pt idx="3">
                  <c:v>4.7640000000000002E-2</c:v>
                </c:pt>
                <c:pt idx="4">
                  <c:v>4.7879999999999999E-2</c:v>
                </c:pt>
                <c:pt idx="5">
                  <c:v>4.8189999999999997E-2</c:v>
                </c:pt>
                <c:pt idx="6">
                  <c:v>4.861E-2</c:v>
                </c:pt>
                <c:pt idx="7">
                  <c:v>4.9079999999999999E-2</c:v>
                </c:pt>
                <c:pt idx="8">
                  <c:v>4.9590000000000002E-2</c:v>
                </c:pt>
                <c:pt idx="9">
                  <c:v>5.0119999999999998E-2</c:v>
                </c:pt>
                <c:pt idx="10">
                  <c:v>5.0590000000000003E-2</c:v>
                </c:pt>
                <c:pt idx="11">
                  <c:v>5.1069999999999997E-2</c:v>
                </c:pt>
                <c:pt idx="12">
                  <c:v>5.1520000000000003E-2</c:v>
                </c:pt>
                <c:pt idx="13">
                  <c:v>5.194E-2</c:v>
                </c:pt>
                <c:pt idx="14">
                  <c:v>5.2330000000000002E-2</c:v>
                </c:pt>
                <c:pt idx="15">
                  <c:v>5.2670000000000002E-2</c:v>
                </c:pt>
                <c:pt idx="16">
                  <c:v>5.296E-2</c:v>
                </c:pt>
                <c:pt idx="17">
                  <c:v>5.3220000000000003E-2</c:v>
                </c:pt>
                <c:pt idx="18">
                  <c:v>5.3429999999999998E-2</c:v>
                </c:pt>
                <c:pt idx="19">
                  <c:v>5.3609999999999998E-2</c:v>
                </c:pt>
                <c:pt idx="20">
                  <c:v>5.3740000000000003E-2</c:v>
                </c:pt>
                <c:pt idx="21">
                  <c:v>5.3830000000000003E-2</c:v>
                </c:pt>
                <c:pt idx="22">
                  <c:v>5.389E-2</c:v>
                </c:pt>
                <c:pt idx="23">
                  <c:v>5.391E-2</c:v>
                </c:pt>
                <c:pt idx="24">
                  <c:v>5.389E-2</c:v>
                </c:pt>
                <c:pt idx="25">
                  <c:v>5.3839999999999999E-2</c:v>
                </c:pt>
                <c:pt idx="26">
                  <c:v>5.3749999999999999E-2</c:v>
                </c:pt>
                <c:pt idx="27">
                  <c:v>5.364E-2</c:v>
                </c:pt>
                <c:pt idx="28">
                  <c:v>5.3499999999999999E-2</c:v>
                </c:pt>
                <c:pt idx="29">
                  <c:v>5.3339999999999999E-2</c:v>
                </c:pt>
                <c:pt idx="30">
                  <c:v>5.3159999999999999E-2</c:v>
                </c:pt>
                <c:pt idx="31">
                  <c:v>5.296E-2</c:v>
                </c:pt>
                <c:pt idx="32">
                  <c:v>5.2740000000000002E-2</c:v>
                </c:pt>
                <c:pt idx="33">
                  <c:v>5.2510000000000001E-2</c:v>
                </c:pt>
                <c:pt idx="34">
                  <c:v>5.2260000000000001E-2</c:v>
                </c:pt>
                <c:pt idx="35">
                  <c:v>5.1990000000000001E-2</c:v>
                </c:pt>
                <c:pt idx="36">
                  <c:v>5.1700000000000003E-2</c:v>
                </c:pt>
                <c:pt idx="37">
                  <c:v>5.1400000000000001E-2</c:v>
                </c:pt>
                <c:pt idx="38">
                  <c:v>5.1090000000000003E-2</c:v>
                </c:pt>
                <c:pt idx="39">
                  <c:v>5.0750000000000003E-2</c:v>
                </c:pt>
                <c:pt idx="40">
                  <c:v>5.0410000000000003E-2</c:v>
                </c:pt>
                <c:pt idx="41">
                  <c:v>5.0049999999999997E-2</c:v>
                </c:pt>
                <c:pt idx="42">
                  <c:v>4.9689999999999998E-2</c:v>
                </c:pt>
                <c:pt idx="43">
                  <c:v>4.9329999999999999E-2</c:v>
                </c:pt>
                <c:pt idx="44">
                  <c:v>4.897E-2</c:v>
                </c:pt>
                <c:pt idx="45">
                  <c:v>4.861E-2</c:v>
                </c:pt>
                <c:pt idx="46">
                  <c:v>4.8259999999999997E-2</c:v>
                </c:pt>
                <c:pt idx="47">
                  <c:v>4.7919999999999997E-2</c:v>
                </c:pt>
                <c:pt idx="48">
                  <c:v>4.759E-2</c:v>
                </c:pt>
                <c:pt idx="49">
                  <c:v>4.727E-2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925-42DB-B413-32AD7E151A54}"/>
            </c:ext>
          </c:extLst>
        </c:ser>
        <c:ser>
          <c:idx val="1"/>
          <c:order val="1"/>
          <c:tx>
            <c:strRef>
              <c:f>UK!$M$1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UK!$K$2:$K$51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UK!$M$2:$M$51</c:f>
              <c:numCache>
                <c:formatCode>General</c:formatCode>
                <c:ptCount val="50"/>
                <c:pt idx="0">
                  <c:v>4.4540000000000003E-2</c:v>
                </c:pt>
                <c:pt idx="1">
                  <c:v>4.6850000000000003E-2</c:v>
                </c:pt>
                <c:pt idx="2">
                  <c:v>4.7419999999999997E-2</c:v>
                </c:pt>
                <c:pt idx="3">
                  <c:v>4.7640000000000002E-2</c:v>
                </c:pt>
                <c:pt idx="4">
                  <c:v>4.7879999999999999E-2</c:v>
                </c:pt>
                <c:pt idx="5">
                  <c:v>4.8189999999999997E-2</c:v>
                </c:pt>
                <c:pt idx="6">
                  <c:v>4.861E-2</c:v>
                </c:pt>
                <c:pt idx="7">
                  <c:v>4.9079999999999999E-2</c:v>
                </c:pt>
                <c:pt idx="8">
                  <c:v>4.9590000000000002E-2</c:v>
                </c:pt>
                <c:pt idx="9">
                  <c:v>5.0119999999999998E-2</c:v>
                </c:pt>
                <c:pt idx="10">
                  <c:v>5.0590000000000003E-2</c:v>
                </c:pt>
                <c:pt idx="11">
                  <c:v>5.1069999999999997E-2</c:v>
                </c:pt>
                <c:pt idx="12">
                  <c:v>5.1520000000000003E-2</c:v>
                </c:pt>
                <c:pt idx="13">
                  <c:v>5.194E-2</c:v>
                </c:pt>
                <c:pt idx="14">
                  <c:v>5.2330000000000002E-2</c:v>
                </c:pt>
                <c:pt idx="15">
                  <c:v>5.2670000000000002E-2</c:v>
                </c:pt>
                <c:pt idx="16">
                  <c:v>5.296E-2</c:v>
                </c:pt>
                <c:pt idx="17">
                  <c:v>5.3220000000000003E-2</c:v>
                </c:pt>
                <c:pt idx="18">
                  <c:v>5.3429999999999998E-2</c:v>
                </c:pt>
                <c:pt idx="19">
                  <c:v>5.3609999999999998E-2</c:v>
                </c:pt>
                <c:pt idx="20">
                  <c:v>5.3740000000000003E-2</c:v>
                </c:pt>
                <c:pt idx="21">
                  <c:v>5.3830000000000003E-2</c:v>
                </c:pt>
                <c:pt idx="22">
                  <c:v>5.389E-2</c:v>
                </c:pt>
                <c:pt idx="23">
                  <c:v>5.391E-2</c:v>
                </c:pt>
                <c:pt idx="24">
                  <c:v>5.389E-2</c:v>
                </c:pt>
                <c:pt idx="25">
                  <c:v>5.3839999999999999E-2</c:v>
                </c:pt>
                <c:pt idx="26">
                  <c:v>5.3749999999999999E-2</c:v>
                </c:pt>
                <c:pt idx="27">
                  <c:v>5.364E-2</c:v>
                </c:pt>
                <c:pt idx="28">
                  <c:v>5.3499999999999999E-2</c:v>
                </c:pt>
                <c:pt idx="29">
                  <c:v>5.3339999999999999E-2</c:v>
                </c:pt>
                <c:pt idx="30">
                  <c:v>5.3159999999999999E-2</c:v>
                </c:pt>
                <c:pt idx="31">
                  <c:v>5.296E-2</c:v>
                </c:pt>
                <c:pt idx="32">
                  <c:v>5.2740000000000002E-2</c:v>
                </c:pt>
                <c:pt idx="33">
                  <c:v>5.2510000000000001E-2</c:v>
                </c:pt>
                <c:pt idx="34">
                  <c:v>5.2260000000000001E-2</c:v>
                </c:pt>
                <c:pt idx="35">
                  <c:v>5.1990000000000001E-2</c:v>
                </c:pt>
                <c:pt idx="36">
                  <c:v>5.1700000000000003E-2</c:v>
                </c:pt>
                <c:pt idx="37">
                  <c:v>5.1400000000000001E-2</c:v>
                </c:pt>
                <c:pt idx="38">
                  <c:v>5.1090000000000003E-2</c:v>
                </c:pt>
                <c:pt idx="39">
                  <c:v>5.0750000000000003E-2</c:v>
                </c:pt>
                <c:pt idx="40">
                  <c:v>5.042E-2</c:v>
                </c:pt>
                <c:pt idx="41">
                  <c:v>5.0099999999999999E-2</c:v>
                </c:pt>
                <c:pt idx="42">
                  <c:v>4.9779999999999998E-2</c:v>
                </c:pt>
                <c:pt idx="43">
                  <c:v>4.9459999999999997E-2</c:v>
                </c:pt>
                <c:pt idx="44">
                  <c:v>4.9160000000000002E-2</c:v>
                </c:pt>
                <c:pt idx="45">
                  <c:v>4.8860000000000001E-2</c:v>
                </c:pt>
                <c:pt idx="46">
                  <c:v>4.8570000000000002E-2</c:v>
                </c:pt>
                <c:pt idx="47">
                  <c:v>4.8280000000000003E-2</c:v>
                </c:pt>
                <c:pt idx="48">
                  <c:v>4.8009999999999997E-2</c:v>
                </c:pt>
                <c:pt idx="49">
                  <c:v>4.7739999999999998E-2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925-42DB-B413-32AD7E151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4.4000000000000011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10020178217355152"/>
          <c:y val="0.13304447754841459"/>
          <c:w val="0.13365884202482387"/>
          <c:h val="0.12162247286656735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Icelandic krona</a:t>
            </a:r>
            <a:r>
              <a:rPr lang="en-GB" baseline="0"/>
              <a:t> curve both methodologies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GB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Iceland!$L$1</c:f>
              <c:strCache>
                <c:ptCount val="1"/>
                <c:pt idx="0">
                  <c:v>Smith-Wilson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noFill/>
              </a:ln>
              <a:effectLst/>
            </c:spPr>
          </c:marker>
          <c:cat>
            <c:numRef>
              <c:f>Iceland!$K$2:$K$51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Iceland!$L$2:$L$51</c:f>
              <c:numCache>
                <c:formatCode>General</c:formatCode>
                <c:ptCount val="50"/>
                <c:pt idx="0">
                  <c:v>8.1960000000000005E-2</c:v>
                </c:pt>
                <c:pt idx="1">
                  <c:v>7.9219999999999999E-2</c:v>
                </c:pt>
                <c:pt idx="2">
                  <c:v>7.6660000000000006E-2</c:v>
                </c:pt>
                <c:pt idx="3">
                  <c:v>7.4779999999999999E-2</c:v>
                </c:pt>
                <c:pt idx="4">
                  <c:v>7.3270000000000002E-2</c:v>
                </c:pt>
                <c:pt idx="5">
                  <c:v>7.1940000000000004E-2</c:v>
                </c:pt>
                <c:pt idx="6">
                  <c:v>7.0699999999999999E-2</c:v>
                </c:pt>
                <c:pt idx="7">
                  <c:v>6.9519999999999998E-2</c:v>
                </c:pt>
                <c:pt idx="8">
                  <c:v>6.8360000000000004E-2</c:v>
                </c:pt>
                <c:pt idx="9">
                  <c:v>6.7210000000000006E-2</c:v>
                </c:pt>
                <c:pt idx="10">
                  <c:v>6.608E-2</c:v>
                </c:pt>
                <c:pt idx="11">
                  <c:v>6.4979999999999996E-2</c:v>
                </c:pt>
                <c:pt idx="12">
                  <c:v>6.3909999999999995E-2</c:v>
                </c:pt>
                <c:pt idx="13">
                  <c:v>6.2869999999999995E-2</c:v>
                </c:pt>
                <c:pt idx="14">
                  <c:v>6.1870000000000001E-2</c:v>
                </c:pt>
                <c:pt idx="15">
                  <c:v>6.0900000000000003E-2</c:v>
                </c:pt>
                <c:pt idx="16">
                  <c:v>5.9970000000000002E-2</c:v>
                </c:pt>
                <c:pt idx="17">
                  <c:v>5.9080000000000001E-2</c:v>
                </c:pt>
                <c:pt idx="18">
                  <c:v>5.8229999999999997E-2</c:v>
                </c:pt>
                <c:pt idx="19">
                  <c:v>5.7410000000000003E-2</c:v>
                </c:pt>
                <c:pt idx="20">
                  <c:v>5.6619999999999997E-2</c:v>
                </c:pt>
                <c:pt idx="21">
                  <c:v>5.5879999999999999E-2</c:v>
                </c:pt>
                <c:pt idx="22">
                  <c:v>5.5160000000000001E-2</c:v>
                </c:pt>
                <c:pt idx="23">
                  <c:v>5.4480000000000001E-2</c:v>
                </c:pt>
                <c:pt idx="24">
                  <c:v>5.3830000000000003E-2</c:v>
                </c:pt>
                <c:pt idx="25">
                  <c:v>5.3199999999999997E-2</c:v>
                </c:pt>
                <c:pt idx="26">
                  <c:v>5.2609999999999997E-2</c:v>
                </c:pt>
                <c:pt idx="27">
                  <c:v>5.2040000000000003E-2</c:v>
                </c:pt>
                <c:pt idx="28">
                  <c:v>5.1499999999999997E-2</c:v>
                </c:pt>
                <c:pt idx="29">
                  <c:v>5.0979999999999998E-2</c:v>
                </c:pt>
                <c:pt idx="30">
                  <c:v>5.049E-2</c:v>
                </c:pt>
                <c:pt idx="31">
                  <c:v>5.0020000000000002E-2</c:v>
                </c:pt>
                <c:pt idx="32">
                  <c:v>4.956E-2</c:v>
                </c:pt>
                <c:pt idx="33">
                  <c:v>4.913E-2</c:v>
                </c:pt>
                <c:pt idx="34">
                  <c:v>4.8719999999999999E-2</c:v>
                </c:pt>
                <c:pt idx="35">
                  <c:v>4.8320000000000002E-2</c:v>
                </c:pt>
                <c:pt idx="36">
                  <c:v>4.795E-2</c:v>
                </c:pt>
                <c:pt idx="37">
                  <c:v>4.7579999999999997E-2</c:v>
                </c:pt>
                <c:pt idx="38">
                  <c:v>4.7239999999999997E-2</c:v>
                </c:pt>
                <c:pt idx="39">
                  <c:v>4.691E-2</c:v>
                </c:pt>
                <c:pt idx="40">
                  <c:v>4.6589999999999999E-2</c:v>
                </c:pt>
                <c:pt idx="41">
                  <c:v>4.6280000000000002E-2</c:v>
                </c:pt>
                <c:pt idx="42">
                  <c:v>4.5990000000000003E-2</c:v>
                </c:pt>
                <c:pt idx="43">
                  <c:v>4.5699999999999998E-2</c:v>
                </c:pt>
                <c:pt idx="44">
                  <c:v>4.5429999999999998E-2</c:v>
                </c:pt>
                <c:pt idx="45">
                  <c:v>4.5170000000000002E-2</c:v>
                </c:pt>
                <c:pt idx="46">
                  <c:v>4.4920000000000002E-2</c:v>
                </c:pt>
                <c:pt idx="47">
                  <c:v>4.4679999999999997E-2</c:v>
                </c:pt>
                <c:pt idx="48">
                  <c:v>4.4450000000000003E-2</c:v>
                </c:pt>
                <c:pt idx="49">
                  <c:v>4.4229999999999998E-2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34C-4123-90F8-C8C95C1AEE43}"/>
            </c:ext>
          </c:extLst>
        </c:ser>
        <c:ser>
          <c:idx val="1"/>
          <c:order val="1"/>
          <c:tx>
            <c:strRef>
              <c:f>Iceland!$M$1</c:f>
              <c:strCache>
                <c:ptCount val="1"/>
                <c:pt idx="0">
                  <c:v>Constant forward</c:v>
                </c:pt>
              </c:strCache>
            </c:strRef>
          </c:tx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6350">
                <a:solidFill>
                  <a:schemeClr val="accent2"/>
                </a:solidFill>
              </a:ln>
              <a:effectLst/>
            </c:spPr>
          </c:marker>
          <c:cat>
            <c:numRef>
              <c:f>Iceland!$K$2:$K$51</c:f>
              <c:numCache>
                <c:formatCode>General</c:formatCode>
                <c:ptCount val="5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  <c:pt idx="25">
                  <c:v>26</c:v>
                </c:pt>
                <c:pt idx="26">
                  <c:v>27</c:v>
                </c:pt>
                <c:pt idx="27">
                  <c:v>28</c:v>
                </c:pt>
                <c:pt idx="28">
                  <c:v>29</c:v>
                </c:pt>
                <c:pt idx="29">
                  <c:v>30</c:v>
                </c:pt>
                <c:pt idx="30">
                  <c:v>31</c:v>
                </c:pt>
                <c:pt idx="31">
                  <c:v>32</c:v>
                </c:pt>
                <c:pt idx="32">
                  <c:v>33</c:v>
                </c:pt>
                <c:pt idx="33">
                  <c:v>34</c:v>
                </c:pt>
                <c:pt idx="34">
                  <c:v>35</c:v>
                </c:pt>
                <c:pt idx="35">
                  <c:v>36</c:v>
                </c:pt>
                <c:pt idx="36">
                  <c:v>37</c:v>
                </c:pt>
                <c:pt idx="37">
                  <c:v>38</c:v>
                </c:pt>
                <c:pt idx="38">
                  <c:v>39</c:v>
                </c:pt>
                <c:pt idx="39">
                  <c:v>40</c:v>
                </c:pt>
                <c:pt idx="40">
                  <c:v>41</c:v>
                </c:pt>
                <c:pt idx="41">
                  <c:v>42</c:v>
                </c:pt>
                <c:pt idx="42">
                  <c:v>43</c:v>
                </c:pt>
                <c:pt idx="43">
                  <c:v>44</c:v>
                </c:pt>
                <c:pt idx="44">
                  <c:v>45</c:v>
                </c:pt>
                <c:pt idx="45">
                  <c:v>46</c:v>
                </c:pt>
                <c:pt idx="46">
                  <c:v>47</c:v>
                </c:pt>
                <c:pt idx="47">
                  <c:v>48</c:v>
                </c:pt>
                <c:pt idx="48">
                  <c:v>49</c:v>
                </c:pt>
                <c:pt idx="49">
                  <c:v>50</c:v>
                </c:pt>
              </c:numCache>
            </c:numRef>
          </c:cat>
          <c:val>
            <c:numRef>
              <c:f>Iceland!$M$2:$M$51</c:f>
              <c:numCache>
                <c:formatCode>General</c:formatCode>
                <c:ptCount val="50"/>
                <c:pt idx="0">
                  <c:v>8.1960000000000005E-2</c:v>
                </c:pt>
                <c:pt idx="1">
                  <c:v>7.7979999999999994E-2</c:v>
                </c:pt>
                <c:pt idx="2">
                  <c:v>7.6660000000000006E-2</c:v>
                </c:pt>
                <c:pt idx="3">
                  <c:v>7.4539999999999995E-2</c:v>
                </c:pt>
                <c:pt idx="4">
                  <c:v>7.3270000000000002E-2</c:v>
                </c:pt>
                <c:pt idx="5">
                  <c:v>7.1429999999999993E-2</c:v>
                </c:pt>
                <c:pt idx="6">
                  <c:v>7.0110000000000006E-2</c:v>
                </c:pt>
                <c:pt idx="7">
                  <c:v>6.9129999999999997E-2</c:v>
                </c:pt>
                <c:pt idx="8">
                  <c:v>6.8360000000000004E-2</c:v>
                </c:pt>
                <c:pt idx="9">
                  <c:v>6.7589999999999997E-2</c:v>
                </c:pt>
                <c:pt idx="10">
                  <c:v>6.6689999999999999E-2</c:v>
                </c:pt>
                <c:pt idx="11">
                  <c:v>6.5729999999999997E-2</c:v>
                </c:pt>
                <c:pt idx="12">
                  <c:v>6.4729999999999996E-2</c:v>
                </c:pt>
                <c:pt idx="13">
                  <c:v>6.3719999999999999E-2</c:v>
                </c:pt>
                <c:pt idx="14">
                  <c:v>6.2729999999999994E-2</c:v>
                </c:pt>
                <c:pt idx="15">
                  <c:v>6.1749999999999999E-2</c:v>
                </c:pt>
                <c:pt idx="16">
                  <c:v>6.08E-2</c:v>
                </c:pt>
                <c:pt idx="17">
                  <c:v>5.9880000000000003E-2</c:v>
                </c:pt>
                <c:pt idx="18">
                  <c:v>5.8999999999999997E-2</c:v>
                </c:pt>
                <c:pt idx="19">
                  <c:v>5.815E-2</c:v>
                </c:pt>
                <c:pt idx="20">
                  <c:v>5.7329999999999999E-2</c:v>
                </c:pt>
                <c:pt idx="21">
                  <c:v>5.6559999999999999E-2</c:v>
                </c:pt>
                <c:pt idx="22">
                  <c:v>5.5809999999999998E-2</c:v>
                </c:pt>
                <c:pt idx="23">
                  <c:v>5.5100000000000003E-2</c:v>
                </c:pt>
                <c:pt idx="24">
                  <c:v>5.4420000000000003E-2</c:v>
                </c:pt>
                <c:pt idx="25">
                  <c:v>5.3769999999999998E-2</c:v>
                </c:pt>
                <c:pt idx="26">
                  <c:v>5.3159999999999999E-2</c:v>
                </c:pt>
                <c:pt idx="27">
                  <c:v>5.2569999999999999E-2</c:v>
                </c:pt>
                <c:pt idx="28">
                  <c:v>5.1999999999999998E-2</c:v>
                </c:pt>
                <c:pt idx="29">
                  <c:v>5.1470000000000002E-2</c:v>
                </c:pt>
                <c:pt idx="30">
                  <c:v>5.0959999999999998E-2</c:v>
                </c:pt>
                <c:pt idx="31">
                  <c:v>5.0470000000000001E-2</c:v>
                </c:pt>
                <c:pt idx="32">
                  <c:v>0.05</c:v>
                </c:pt>
                <c:pt idx="33">
                  <c:v>4.9549999999999997E-2</c:v>
                </c:pt>
                <c:pt idx="34">
                  <c:v>4.913E-2</c:v>
                </c:pt>
                <c:pt idx="35">
                  <c:v>4.8719999999999999E-2</c:v>
                </c:pt>
                <c:pt idx="36">
                  <c:v>4.8329999999999998E-2</c:v>
                </c:pt>
                <c:pt idx="37">
                  <c:v>4.7960000000000003E-2</c:v>
                </c:pt>
                <c:pt idx="38">
                  <c:v>4.7600000000000003E-2</c:v>
                </c:pt>
                <c:pt idx="39">
                  <c:v>4.7260000000000003E-2</c:v>
                </c:pt>
                <c:pt idx="40">
                  <c:v>4.6929999999999999E-2</c:v>
                </c:pt>
                <c:pt idx="41">
                  <c:v>4.6620000000000002E-2</c:v>
                </c:pt>
                <c:pt idx="42">
                  <c:v>4.632E-2</c:v>
                </c:pt>
                <c:pt idx="43">
                  <c:v>4.6030000000000001E-2</c:v>
                </c:pt>
                <c:pt idx="44">
                  <c:v>4.5749999999999999E-2</c:v>
                </c:pt>
                <c:pt idx="45">
                  <c:v>4.548E-2</c:v>
                </c:pt>
                <c:pt idx="46">
                  <c:v>4.5220000000000003E-2</c:v>
                </c:pt>
                <c:pt idx="47">
                  <c:v>4.4979999999999999E-2</c:v>
                </c:pt>
                <c:pt idx="48">
                  <c:v>4.4740000000000002E-2</c:v>
                </c:pt>
                <c:pt idx="49">
                  <c:v>4.4510000000000001E-2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34C-4123-90F8-C8C95C1AEE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47077040"/>
        <c:axId val="347593584"/>
      </c:lineChart>
      <c:catAx>
        <c:axId val="34707704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593584"/>
        <c:crosses val="autoZero"/>
        <c:auto val="1"/>
        <c:lblAlgn val="ctr"/>
        <c:lblOffset val="100"/>
        <c:tickLblSkip val="2"/>
        <c:noMultiLvlLbl val="0"/>
      </c:catAx>
      <c:valAx>
        <c:axId val="347593584"/>
        <c:scaling>
          <c:orientation val="minMax"/>
          <c:min val="4.0000000000000008E-2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70770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0.70426544609906805"/>
          <c:y val="0.15401595864828338"/>
          <c:w val="0.26905366334807584"/>
          <c:h val="5.9763782557700498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6350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409574</xdr:colOff>
      <xdr:row>0</xdr:row>
      <xdr:rowOff>673100</xdr:rowOff>
    </xdr:from>
    <xdr:to>
      <xdr:col>25</xdr:col>
      <xdr:colOff>520699</xdr:colOff>
      <xdr:row>18</xdr:row>
      <xdr:rowOff>146050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537DAA8-1618-D63D-6CD0-2654D6E37E3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327024</xdr:colOff>
      <xdr:row>0</xdr:row>
      <xdr:rowOff>698500</xdr:rowOff>
    </xdr:from>
    <xdr:to>
      <xdr:col>26</xdr:col>
      <xdr:colOff>438149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89C2A46-04C8-4BC8-85CE-DBC18C4C0EA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327024</xdr:colOff>
      <xdr:row>0</xdr:row>
      <xdr:rowOff>698500</xdr:rowOff>
    </xdr:from>
    <xdr:to>
      <xdr:col>26</xdr:col>
      <xdr:colOff>438149</xdr:colOff>
      <xdr:row>18</xdr:row>
      <xdr:rowOff>171450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EE42FE4-B989-4A07-9C3A-E5C57E0AC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CD4843-015D-4680-949C-2ACEFFE79012}">
  <dimension ref="A1:M151"/>
  <sheetViews>
    <sheetView topLeftCell="H1" workbookViewId="0">
      <selection activeCell="AB13" sqref="AB13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</cols>
  <sheetData>
    <row r="1" spans="1:13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7.8409501114151681E-16</v>
      </c>
      <c r="G1" s="7">
        <f>SUM(G2:G151)</f>
        <v>0</v>
      </c>
      <c r="K1" t="s">
        <v>3</v>
      </c>
      <c r="L1" t="s">
        <v>4</v>
      </c>
      <c r="M1" t="s">
        <v>5</v>
      </c>
    </row>
    <row r="2" spans="1:13" x14ac:dyDescent="0.35">
      <c r="A2" s="2">
        <v>3.2186415002651826E-2</v>
      </c>
      <c r="B2" s="4">
        <v>3.2710000000000003E-2</v>
      </c>
      <c r="C2">
        <v>3.2186415002651798E-2</v>
      </c>
      <c r="D2">
        <v>3.2710000000000003E-2</v>
      </c>
      <c r="F2" s="7">
        <f>IF(C2&lt;&gt;"",A2-C2,"")</f>
        <v>2.7755575615628914E-17</v>
      </c>
      <c r="G2" s="7">
        <f>B2-D2</f>
        <v>0</v>
      </c>
      <c r="K2">
        <v>1</v>
      </c>
      <c r="L2">
        <v>3.2710000000000003E-2</v>
      </c>
      <c r="M2">
        <v>3.2710000000000003E-2</v>
      </c>
    </row>
    <row r="3" spans="1:13" x14ac:dyDescent="0.35">
      <c r="A3" s="2">
        <v>3.3811880988718762E-2</v>
      </c>
      <c r="B3" s="5">
        <v>3.4389999999999997E-2</v>
      </c>
      <c r="C3">
        <v>3.38118809887187E-2</v>
      </c>
      <c r="D3">
        <v>3.4389999999999997E-2</v>
      </c>
      <c r="F3" s="7">
        <f t="shared" ref="F3:F66" si="0">IF(C3&lt;&gt;"",A3-C3,"")</f>
        <v>6.2450045135165055E-17</v>
      </c>
      <c r="G3" s="7">
        <f t="shared" ref="G3:G66" si="1">B3-D3</f>
        <v>0</v>
      </c>
      <c r="K3">
        <v>2</v>
      </c>
      <c r="L3">
        <v>3.4389999999999997E-2</v>
      </c>
      <c r="M3">
        <v>3.4389999999999997E-2</v>
      </c>
    </row>
    <row r="4" spans="1:13" x14ac:dyDescent="0.35">
      <c r="A4" s="2">
        <v>3.4111529628767866E-2</v>
      </c>
      <c r="B4" s="5">
        <v>3.4700000000000002E-2</v>
      </c>
      <c r="C4">
        <v>3.4111529628767803E-2</v>
      </c>
      <c r="D4">
        <v>3.4700000000000002E-2</v>
      </c>
      <c r="F4" s="7">
        <f t="shared" si="0"/>
        <v>6.2450045135165055E-17</v>
      </c>
      <c r="G4" s="7">
        <f t="shared" si="1"/>
        <v>0</v>
      </c>
      <c r="K4">
        <v>3</v>
      </c>
      <c r="L4">
        <v>3.4700000000000002E-2</v>
      </c>
      <c r="M4">
        <v>3.4700000000000002E-2</v>
      </c>
    </row>
    <row r="5" spans="1:13" x14ac:dyDescent="0.35">
      <c r="A5" s="2">
        <v>3.4227498549227298E-2</v>
      </c>
      <c r="B5" s="5">
        <v>3.4819999999999997E-2</v>
      </c>
      <c r="C5">
        <v>3.4227498549227298E-2</v>
      </c>
      <c r="D5">
        <v>3.4819999999999997E-2</v>
      </c>
      <c r="F5" s="7">
        <f t="shared" si="0"/>
        <v>0</v>
      </c>
      <c r="G5" s="7">
        <f t="shared" si="1"/>
        <v>0</v>
      </c>
      <c r="K5">
        <v>4</v>
      </c>
      <c r="L5">
        <v>3.4819999999999997E-2</v>
      </c>
      <c r="M5">
        <v>3.4819999999999997E-2</v>
      </c>
    </row>
    <row r="6" spans="1:13" x14ac:dyDescent="0.35">
      <c r="A6" s="2">
        <v>3.4285477966550341E-2</v>
      </c>
      <c r="B6" s="5">
        <v>3.4880000000000001E-2</v>
      </c>
      <c r="C6">
        <v>3.42854779665503E-2</v>
      </c>
      <c r="D6">
        <v>3.4880000000000001E-2</v>
      </c>
      <c r="F6" s="7">
        <f t="shared" si="0"/>
        <v>4.163336342344337E-17</v>
      </c>
      <c r="G6" s="7">
        <f t="shared" si="1"/>
        <v>0</v>
      </c>
      <c r="K6">
        <v>5</v>
      </c>
      <c r="L6">
        <v>3.4880000000000001E-2</v>
      </c>
      <c r="M6">
        <v>3.4880000000000001E-2</v>
      </c>
    </row>
    <row r="7" spans="1:13" x14ac:dyDescent="0.35">
      <c r="A7" s="2">
        <v>3.4372440789998057E-2</v>
      </c>
      <c r="B7" s="5">
        <v>3.4970000000000001E-2</v>
      </c>
      <c r="C7">
        <v>3.4372440789998002E-2</v>
      </c>
      <c r="D7">
        <v>3.4970000000000001E-2</v>
      </c>
      <c r="F7" s="7">
        <f t="shared" si="0"/>
        <v>5.5511151231257827E-17</v>
      </c>
      <c r="G7" s="7">
        <f t="shared" si="1"/>
        <v>0</v>
      </c>
      <c r="K7">
        <v>6</v>
      </c>
      <c r="L7">
        <v>3.4970000000000001E-2</v>
      </c>
      <c r="M7">
        <v>3.4970000000000001E-2</v>
      </c>
    </row>
    <row r="8" spans="1:13" x14ac:dyDescent="0.35">
      <c r="A8" s="2">
        <v>3.4517362025560397E-2</v>
      </c>
      <c r="B8" s="5">
        <v>3.5119999999999998E-2</v>
      </c>
      <c r="C8">
        <v>3.4517362025560397E-2</v>
      </c>
      <c r="D8">
        <v>3.5119999999999998E-2</v>
      </c>
      <c r="F8" s="7">
        <f t="shared" si="0"/>
        <v>0</v>
      </c>
      <c r="G8" s="7">
        <f t="shared" si="1"/>
        <v>0</v>
      </c>
      <c r="K8">
        <v>7</v>
      </c>
      <c r="L8">
        <v>3.5119999999999998E-2</v>
      </c>
      <c r="M8">
        <v>3.5119999999999998E-2</v>
      </c>
    </row>
    <row r="9" spans="1:13" x14ac:dyDescent="0.35">
      <c r="A9" s="2">
        <v>3.471055767539527E-2</v>
      </c>
      <c r="B9" s="5">
        <v>3.5319999999999997E-2</v>
      </c>
      <c r="C9">
        <v>3.4710557675395201E-2</v>
      </c>
      <c r="D9">
        <v>3.5319999999999997E-2</v>
      </c>
      <c r="F9" s="7">
        <f t="shared" si="0"/>
        <v>6.9388939039072284E-17</v>
      </c>
      <c r="G9" s="7">
        <f t="shared" si="1"/>
        <v>0</v>
      </c>
      <c r="K9">
        <v>8</v>
      </c>
      <c r="L9">
        <v>3.5319999999999997E-2</v>
      </c>
      <c r="M9">
        <v>3.5319999999999997E-2</v>
      </c>
    </row>
    <row r="10" spans="1:13" x14ac:dyDescent="0.35">
      <c r="A10" s="2">
        <v>3.4913372945182916E-2</v>
      </c>
      <c r="B10" s="5">
        <v>3.5529999999999999E-2</v>
      </c>
      <c r="C10">
        <v>3.4913372945182902E-2</v>
      </c>
      <c r="D10">
        <v>3.5529999999999999E-2</v>
      </c>
      <c r="F10" s="7">
        <f t="shared" si="0"/>
        <v>1.3877787807814457E-17</v>
      </c>
      <c r="G10" s="7">
        <f t="shared" si="1"/>
        <v>0</v>
      </c>
      <c r="K10">
        <v>9</v>
      </c>
      <c r="L10">
        <v>3.5529999999999999E-2</v>
      </c>
      <c r="M10">
        <v>3.5529999999999999E-2</v>
      </c>
    </row>
    <row r="11" spans="1:13" x14ac:dyDescent="0.35">
      <c r="A11" s="2">
        <v>3.5145111467921368E-2</v>
      </c>
      <c r="B11" s="5">
        <v>3.5770000000000003E-2</v>
      </c>
      <c r="C11">
        <v>3.5145111467921299E-2</v>
      </c>
      <c r="D11">
        <v>3.5770000000000003E-2</v>
      </c>
      <c r="F11" s="7">
        <f t="shared" si="0"/>
        <v>6.9388939039072284E-17</v>
      </c>
      <c r="G11" s="7">
        <f t="shared" si="1"/>
        <v>0</v>
      </c>
      <c r="K11">
        <v>10</v>
      </c>
      <c r="L11">
        <v>3.5770000000000003E-2</v>
      </c>
      <c r="M11">
        <v>3.5770000000000003E-2</v>
      </c>
    </row>
    <row r="12" spans="1:13" x14ac:dyDescent="0.35">
      <c r="A12" s="2">
        <v>3.5338185889056531E-2</v>
      </c>
      <c r="B12" s="5">
        <v>3.5970000000000002E-2</v>
      </c>
      <c r="C12">
        <v>3.5338185889056503E-2</v>
      </c>
      <c r="D12">
        <v>3.5970000000000002E-2</v>
      </c>
      <c r="F12" s="7">
        <f t="shared" si="0"/>
        <v>2.7755575615628914E-17</v>
      </c>
      <c r="G12" s="7">
        <f t="shared" si="1"/>
        <v>0</v>
      </c>
      <c r="K12">
        <v>11</v>
      </c>
      <c r="L12">
        <v>3.5970000000000002E-2</v>
      </c>
      <c r="M12">
        <v>3.5970000000000002E-2</v>
      </c>
    </row>
    <row r="13" spans="1:13" x14ac:dyDescent="0.35">
      <c r="A13" s="2">
        <v>3.5521572067078559E-2</v>
      </c>
      <c r="B13" s="5">
        <v>3.6159999999999998E-2</v>
      </c>
      <c r="C13">
        <v>3.5521572067078497E-2</v>
      </c>
      <c r="D13">
        <v>3.6159999999999998E-2</v>
      </c>
      <c r="F13" s="7">
        <f t="shared" si="0"/>
        <v>6.2450045135165055E-17</v>
      </c>
      <c r="G13" s="7">
        <f t="shared" si="1"/>
        <v>0</v>
      </c>
      <c r="K13">
        <v>12</v>
      </c>
      <c r="L13">
        <v>3.6159999999999998E-2</v>
      </c>
      <c r="M13">
        <v>3.6159999999999998E-2</v>
      </c>
    </row>
    <row r="14" spans="1:13" x14ac:dyDescent="0.35">
      <c r="A14" s="2">
        <v>3.5656677208034705E-2</v>
      </c>
      <c r="B14" s="5">
        <v>3.6299999999999999E-2</v>
      </c>
      <c r="C14">
        <v>3.5656677208034698E-2</v>
      </c>
      <c r="D14">
        <v>3.6299999999999999E-2</v>
      </c>
      <c r="F14" s="7">
        <f t="shared" si="0"/>
        <v>6.9388939039072284E-18</v>
      </c>
      <c r="G14" s="7">
        <f t="shared" si="1"/>
        <v>0</v>
      </c>
      <c r="K14">
        <v>13</v>
      </c>
      <c r="L14">
        <v>3.6299999999999999E-2</v>
      </c>
      <c r="M14">
        <v>3.6299999999999999E-2</v>
      </c>
    </row>
    <row r="15" spans="1:13" x14ac:dyDescent="0.35">
      <c r="A15" s="2">
        <v>3.5743520875014798E-2</v>
      </c>
      <c r="B15" s="5">
        <v>3.6389999999999999E-2</v>
      </c>
      <c r="C15">
        <v>3.5743520875014798E-2</v>
      </c>
      <c r="D15">
        <v>3.6389999999999999E-2</v>
      </c>
      <c r="F15" s="7">
        <f t="shared" si="0"/>
        <v>0</v>
      </c>
      <c r="G15" s="7">
        <f t="shared" si="1"/>
        <v>0</v>
      </c>
      <c r="K15">
        <v>14</v>
      </c>
      <c r="L15">
        <v>3.6389999999999999E-2</v>
      </c>
      <c r="M15">
        <v>3.6389999999999999E-2</v>
      </c>
    </row>
    <row r="16" spans="1:13" x14ac:dyDescent="0.35">
      <c r="A16" s="2">
        <v>3.5782115639639803E-2</v>
      </c>
      <c r="B16" s="5">
        <v>3.6429999999999997E-2</v>
      </c>
      <c r="C16">
        <v>3.5782115639639803E-2</v>
      </c>
      <c r="D16">
        <v>3.6429999999999997E-2</v>
      </c>
      <c r="F16" s="7">
        <f t="shared" si="0"/>
        <v>0</v>
      </c>
      <c r="G16" s="7">
        <f t="shared" si="1"/>
        <v>0</v>
      </c>
      <c r="K16">
        <v>15</v>
      </c>
      <c r="L16">
        <v>3.6429999999999997E-2</v>
      </c>
      <c r="M16">
        <v>3.6429999999999997E-2</v>
      </c>
    </row>
    <row r="17" spans="1:13" x14ac:dyDescent="0.35">
      <c r="A17" s="2">
        <v>3.5753169705817864E-2</v>
      </c>
      <c r="B17" s="5">
        <v>3.6400000000000002E-2</v>
      </c>
      <c r="C17">
        <v>3.5753169705817801E-2</v>
      </c>
      <c r="D17">
        <v>3.6400000000000002E-2</v>
      </c>
      <c r="F17" s="7">
        <f t="shared" si="0"/>
        <v>6.2450045135165055E-17</v>
      </c>
      <c r="G17" s="7">
        <f t="shared" si="1"/>
        <v>0</v>
      </c>
      <c r="K17">
        <v>16</v>
      </c>
      <c r="L17">
        <v>3.6400000000000002E-2</v>
      </c>
      <c r="M17">
        <v>3.6400000000000002E-2</v>
      </c>
    </row>
    <row r="18" spans="1:13" x14ac:dyDescent="0.35">
      <c r="A18" s="2">
        <v>3.5675976452469796E-2</v>
      </c>
      <c r="B18" s="5">
        <v>3.6319999999999998E-2</v>
      </c>
      <c r="C18">
        <v>3.5675976452469699E-2</v>
      </c>
      <c r="D18">
        <v>3.6319999999999998E-2</v>
      </c>
      <c r="F18" s="7">
        <f t="shared" si="0"/>
        <v>9.7144514654701197E-17</v>
      </c>
      <c r="G18" s="7">
        <f t="shared" si="1"/>
        <v>0</v>
      </c>
      <c r="K18">
        <v>17</v>
      </c>
      <c r="L18">
        <v>3.6319999999999998E-2</v>
      </c>
      <c r="M18">
        <v>3.6319999999999998E-2</v>
      </c>
    </row>
    <row r="19" spans="1:13" x14ac:dyDescent="0.35">
      <c r="A19" s="2">
        <v>3.5569825998577081E-2</v>
      </c>
      <c r="B19" s="5">
        <v>3.6209999999999999E-2</v>
      </c>
      <c r="C19">
        <v>3.5569825998576998E-2</v>
      </c>
      <c r="D19">
        <v>3.6209999999999999E-2</v>
      </c>
      <c r="F19" s="7">
        <f t="shared" si="0"/>
        <v>8.3266726846886741E-17</v>
      </c>
      <c r="G19" s="7">
        <f t="shared" si="1"/>
        <v>0</v>
      </c>
      <c r="K19">
        <v>18</v>
      </c>
      <c r="L19">
        <v>3.6209999999999999E-2</v>
      </c>
      <c r="M19">
        <v>3.6209999999999999E-2</v>
      </c>
    </row>
    <row r="20" spans="1:13" x14ac:dyDescent="0.35">
      <c r="A20" s="2">
        <v>3.5454012650959217E-2</v>
      </c>
      <c r="B20" s="5">
        <v>3.6089999999999997E-2</v>
      </c>
      <c r="C20">
        <v>3.5454012650959203E-2</v>
      </c>
      <c r="D20">
        <v>3.6089999999999997E-2</v>
      </c>
      <c r="F20" s="7">
        <f t="shared" si="0"/>
        <v>1.3877787807814457E-17</v>
      </c>
      <c r="G20" s="7">
        <f t="shared" si="1"/>
        <v>0</v>
      </c>
      <c r="K20">
        <v>19</v>
      </c>
      <c r="L20">
        <v>3.6089999999999997E-2</v>
      </c>
      <c r="M20">
        <v>3.6089999999999997E-2</v>
      </c>
    </row>
    <row r="21" spans="1:13" x14ac:dyDescent="0.35">
      <c r="A21" s="2">
        <v>3.5338185889056531E-2</v>
      </c>
      <c r="B21" s="5">
        <v>3.5970000000000002E-2</v>
      </c>
      <c r="C21">
        <v>3.5338185889056503E-2</v>
      </c>
      <c r="D21">
        <v>3.5970000000000002E-2</v>
      </c>
      <c r="F21" s="7">
        <f t="shared" si="0"/>
        <v>2.7755575615628914E-17</v>
      </c>
      <c r="G21" s="7">
        <f t="shared" si="1"/>
        <v>0</v>
      </c>
      <c r="K21">
        <v>20</v>
      </c>
      <c r="L21">
        <v>3.5970000000000002E-2</v>
      </c>
      <c r="M21">
        <v>3.5970000000000002E-2</v>
      </c>
    </row>
    <row r="22" spans="1:13" x14ac:dyDescent="0.35">
      <c r="A22" s="2" t="e">
        <v>#N/A</v>
      </c>
      <c r="B22" s="5">
        <v>3.5860000000000003E-2</v>
      </c>
      <c r="D22">
        <v>3.5860000000000003E-2</v>
      </c>
      <c r="F22" s="7" t="str">
        <f t="shared" si="0"/>
        <v/>
      </c>
      <c r="G22" s="7">
        <f t="shared" si="1"/>
        <v>0</v>
      </c>
      <c r="K22">
        <v>21</v>
      </c>
      <c r="L22">
        <v>3.585E-2</v>
      </c>
      <c r="M22">
        <v>3.5860000000000003E-2</v>
      </c>
    </row>
    <row r="23" spans="1:13" x14ac:dyDescent="0.35">
      <c r="A23" s="2" t="e">
        <v>#N/A</v>
      </c>
      <c r="B23" s="5">
        <v>3.576E-2</v>
      </c>
      <c r="D23">
        <v>3.576E-2</v>
      </c>
      <c r="F23" s="7" t="str">
        <f t="shared" si="0"/>
        <v/>
      </c>
      <c r="G23" s="7">
        <f t="shared" si="1"/>
        <v>0</v>
      </c>
      <c r="K23">
        <v>22</v>
      </c>
      <c r="L23">
        <v>3.5749999999999997E-2</v>
      </c>
      <c r="M23">
        <v>3.576E-2</v>
      </c>
    </row>
    <row r="24" spans="1:13" x14ac:dyDescent="0.35">
      <c r="A24" s="2" t="e">
        <v>#N/A</v>
      </c>
      <c r="B24" s="5">
        <v>3.5659999999999997E-2</v>
      </c>
      <c r="D24">
        <v>3.5659999999999997E-2</v>
      </c>
      <c r="F24" s="7" t="str">
        <f t="shared" si="0"/>
        <v/>
      </c>
      <c r="G24" s="7">
        <f t="shared" si="1"/>
        <v>0</v>
      </c>
      <c r="K24">
        <v>23</v>
      </c>
      <c r="L24">
        <v>3.5650000000000001E-2</v>
      </c>
      <c r="M24">
        <v>3.5659999999999997E-2</v>
      </c>
    </row>
    <row r="25" spans="1:13" x14ac:dyDescent="0.35">
      <c r="A25" s="2" t="e">
        <v>#N/A</v>
      </c>
      <c r="B25" s="5">
        <v>3.5569999999999997E-2</v>
      </c>
      <c r="D25">
        <v>3.5569999999999997E-2</v>
      </c>
      <c r="F25" s="7" t="str">
        <f t="shared" si="0"/>
        <v/>
      </c>
      <c r="G25" s="7">
        <f t="shared" si="1"/>
        <v>0</v>
      </c>
      <c r="K25">
        <v>24</v>
      </c>
      <c r="L25">
        <v>3.5569999999999997E-2</v>
      </c>
      <c r="M25">
        <v>3.5569999999999997E-2</v>
      </c>
    </row>
    <row r="26" spans="1:13" x14ac:dyDescent="0.35">
      <c r="A26" s="2" t="e">
        <v>#N/A</v>
      </c>
      <c r="B26" s="5">
        <v>3.5479999999999998E-2</v>
      </c>
      <c r="D26">
        <v>3.5479999999999998E-2</v>
      </c>
      <c r="F26" s="7" t="str">
        <f t="shared" si="0"/>
        <v/>
      </c>
      <c r="G26" s="7">
        <f t="shared" si="1"/>
        <v>0</v>
      </c>
      <c r="K26">
        <v>25</v>
      </c>
      <c r="L26">
        <v>3.5479999999999998E-2</v>
      </c>
      <c r="M26">
        <v>3.5479999999999998E-2</v>
      </c>
    </row>
    <row r="27" spans="1:13" x14ac:dyDescent="0.35">
      <c r="A27" s="2" t="e">
        <v>#N/A</v>
      </c>
      <c r="B27" s="5">
        <v>3.5400000000000001E-2</v>
      </c>
      <c r="D27">
        <v>3.5400000000000001E-2</v>
      </c>
      <c r="F27" s="7" t="str">
        <f t="shared" si="0"/>
        <v/>
      </c>
      <c r="G27" s="7">
        <f t="shared" si="1"/>
        <v>0</v>
      </c>
      <c r="K27">
        <v>26</v>
      </c>
      <c r="L27">
        <v>3.5400000000000001E-2</v>
      </c>
      <c r="M27">
        <v>3.5400000000000001E-2</v>
      </c>
    </row>
    <row r="28" spans="1:13" x14ac:dyDescent="0.35">
      <c r="A28" s="2" t="e">
        <v>#N/A</v>
      </c>
      <c r="B28" s="5">
        <v>3.5319999999999997E-2</v>
      </c>
      <c r="D28">
        <v>3.5319999999999997E-2</v>
      </c>
      <c r="F28" s="7" t="str">
        <f t="shared" si="0"/>
        <v/>
      </c>
      <c r="G28" s="7">
        <f t="shared" si="1"/>
        <v>0</v>
      </c>
      <c r="K28">
        <v>27</v>
      </c>
      <c r="L28">
        <v>3.533E-2</v>
      </c>
      <c r="M28">
        <v>3.5319999999999997E-2</v>
      </c>
    </row>
    <row r="29" spans="1:13" x14ac:dyDescent="0.35">
      <c r="A29" s="2" t="e">
        <v>#N/A</v>
      </c>
      <c r="B29" s="5">
        <v>3.5249999999999997E-2</v>
      </c>
      <c r="D29">
        <v>3.5249999999999997E-2</v>
      </c>
      <c r="F29" s="7" t="str">
        <f t="shared" si="0"/>
        <v/>
      </c>
      <c r="G29" s="7">
        <f t="shared" si="1"/>
        <v>0</v>
      </c>
      <c r="K29">
        <v>28</v>
      </c>
      <c r="L29">
        <v>3.526E-2</v>
      </c>
      <c r="M29">
        <v>3.5249999999999997E-2</v>
      </c>
    </row>
    <row r="30" spans="1:13" x14ac:dyDescent="0.35">
      <c r="A30" s="2" t="e">
        <v>#N/A</v>
      </c>
      <c r="B30" s="5">
        <v>3.5180000000000003E-2</v>
      </c>
      <c r="D30">
        <v>3.5180000000000003E-2</v>
      </c>
      <c r="F30" s="7" t="str">
        <f t="shared" si="0"/>
        <v/>
      </c>
      <c r="G30" s="7">
        <f t="shared" si="1"/>
        <v>0</v>
      </c>
      <c r="K30">
        <v>29</v>
      </c>
      <c r="L30">
        <v>3.5200000000000002E-2</v>
      </c>
      <c r="M30">
        <v>3.5180000000000003E-2</v>
      </c>
    </row>
    <row r="31" spans="1:13" x14ac:dyDescent="0.35">
      <c r="A31" s="2" t="e">
        <v>#N/A</v>
      </c>
      <c r="B31" s="5">
        <v>3.5119999999999998E-2</v>
      </c>
      <c r="D31">
        <v>3.5119999999999998E-2</v>
      </c>
      <c r="F31" s="7" t="str">
        <f t="shared" si="0"/>
        <v/>
      </c>
      <c r="G31" s="7">
        <f t="shared" si="1"/>
        <v>0</v>
      </c>
      <c r="K31">
        <v>30</v>
      </c>
      <c r="L31">
        <v>3.5139999999999998E-2</v>
      </c>
      <c r="M31">
        <v>3.5119999999999998E-2</v>
      </c>
    </row>
    <row r="32" spans="1:13" x14ac:dyDescent="0.35">
      <c r="A32" s="2" t="e">
        <v>#N/A</v>
      </c>
      <c r="B32" s="5">
        <v>3.5060000000000001E-2</v>
      </c>
      <c r="D32">
        <v>3.5060000000000001E-2</v>
      </c>
      <c r="F32" s="7" t="str">
        <f t="shared" si="0"/>
        <v/>
      </c>
      <c r="G32" s="7">
        <f t="shared" si="1"/>
        <v>0</v>
      </c>
      <c r="K32">
        <v>31</v>
      </c>
      <c r="L32">
        <v>3.508E-2</v>
      </c>
      <c r="M32">
        <v>3.5060000000000001E-2</v>
      </c>
    </row>
    <row r="33" spans="1:13" x14ac:dyDescent="0.35">
      <c r="A33" s="2" t="e">
        <v>#N/A</v>
      </c>
      <c r="B33" s="5">
        <v>3.5000000000000003E-2</v>
      </c>
      <c r="D33">
        <v>3.5000000000000003E-2</v>
      </c>
      <c r="F33" s="7" t="str">
        <f t="shared" si="0"/>
        <v/>
      </c>
      <c r="G33" s="7">
        <f t="shared" si="1"/>
        <v>0</v>
      </c>
      <c r="K33">
        <v>32</v>
      </c>
      <c r="L33">
        <v>3.5029999999999999E-2</v>
      </c>
      <c r="M33">
        <v>3.5000000000000003E-2</v>
      </c>
    </row>
    <row r="34" spans="1:13" x14ac:dyDescent="0.35">
      <c r="A34" s="2" t="e">
        <v>#N/A</v>
      </c>
      <c r="B34" s="5">
        <v>3.4939999999999999E-2</v>
      </c>
      <c r="D34">
        <v>3.4939999999999999E-2</v>
      </c>
      <c r="F34" s="7" t="str">
        <f t="shared" si="0"/>
        <v/>
      </c>
      <c r="G34" s="7">
        <f t="shared" si="1"/>
        <v>0</v>
      </c>
      <c r="K34">
        <v>33</v>
      </c>
      <c r="L34">
        <v>3.4979999999999997E-2</v>
      </c>
      <c r="M34">
        <v>3.4939999999999999E-2</v>
      </c>
    </row>
    <row r="35" spans="1:13" x14ac:dyDescent="0.35">
      <c r="A35" s="2" t="e">
        <v>#N/A</v>
      </c>
      <c r="B35" s="5">
        <v>3.4889999999999997E-2</v>
      </c>
      <c r="D35">
        <v>3.4889999999999997E-2</v>
      </c>
      <c r="F35" s="7" t="str">
        <f t="shared" si="0"/>
        <v/>
      </c>
      <c r="G35" s="7">
        <f t="shared" si="1"/>
        <v>0</v>
      </c>
      <c r="K35">
        <v>34</v>
      </c>
      <c r="L35">
        <v>3.4930000000000003E-2</v>
      </c>
      <c r="M35">
        <v>3.4889999999999997E-2</v>
      </c>
    </row>
    <row r="36" spans="1:13" x14ac:dyDescent="0.35">
      <c r="A36" s="2" t="e">
        <v>#N/A</v>
      </c>
      <c r="B36" s="5">
        <v>3.4840000000000003E-2</v>
      </c>
      <c r="D36">
        <v>3.4840000000000003E-2</v>
      </c>
      <c r="F36" s="7" t="str">
        <f t="shared" si="0"/>
        <v/>
      </c>
      <c r="G36" s="7">
        <f t="shared" si="1"/>
        <v>0</v>
      </c>
      <c r="K36">
        <v>35</v>
      </c>
      <c r="L36">
        <v>3.4880000000000001E-2</v>
      </c>
      <c r="M36">
        <v>3.4840000000000003E-2</v>
      </c>
    </row>
    <row r="37" spans="1:13" x14ac:dyDescent="0.35">
      <c r="A37" s="2" t="e">
        <v>#N/A</v>
      </c>
      <c r="B37" s="5">
        <v>3.4790000000000001E-2</v>
      </c>
      <c r="D37">
        <v>3.4790000000000001E-2</v>
      </c>
      <c r="F37" s="7" t="str">
        <f t="shared" si="0"/>
        <v/>
      </c>
      <c r="G37" s="7">
        <f t="shared" si="1"/>
        <v>0</v>
      </c>
      <c r="K37">
        <v>36</v>
      </c>
      <c r="L37">
        <v>3.4840000000000003E-2</v>
      </c>
      <c r="M37">
        <v>3.4790000000000001E-2</v>
      </c>
    </row>
    <row r="38" spans="1:13" x14ac:dyDescent="0.35">
      <c r="A38" s="2" t="e">
        <v>#N/A</v>
      </c>
      <c r="B38" s="5">
        <v>3.4750000000000003E-2</v>
      </c>
      <c r="D38">
        <v>3.4750000000000003E-2</v>
      </c>
      <c r="F38" s="7" t="str">
        <f t="shared" si="0"/>
        <v/>
      </c>
      <c r="G38" s="7">
        <f t="shared" si="1"/>
        <v>0</v>
      </c>
      <c r="K38">
        <v>37</v>
      </c>
      <c r="L38">
        <v>3.4790000000000001E-2</v>
      </c>
      <c r="M38">
        <v>3.4750000000000003E-2</v>
      </c>
    </row>
    <row r="39" spans="1:13" x14ac:dyDescent="0.35">
      <c r="A39" s="2" t="e">
        <v>#N/A</v>
      </c>
      <c r="B39" s="5">
        <v>3.4709999999999998E-2</v>
      </c>
      <c r="D39">
        <v>3.4709999999999998E-2</v>
      </c>
      <c r="F39" s="7" t="str">
        <f t="shared" si="0"/>
        <v/>
      </c>
      <c r="G39" s="7">
        <f t="shared" si="1"/>
        <v>0</v>
      </c>
      <c r="K39">
        <v>38</v>
      </c>
      <c r="L39">
        <v>3.4750000000000003E-2</v>
      </c>
      <c r="M39">
        <v>3.4709999999999998E-2</v>
      </c>
    </row>
    <row r="40" spans="1:13" x14ac:dyDescent="0.35">
      <c r="A40" s="2" t="e">
        <v>#N/A</v>
      </c>
      <c r="B40" s="5">
        <v>3.4660000000000003E-2</v>
      </c>
      <c r="D40">
        <v>3.4660000000000003E-2</v>
      </c>
      <c r="F40" s="7" t="str">
        <f t="shared" si="0"/>
        <v/>
      </c>
      <c r="G40" s="7">
        <f t="shared" si="1"/>
        <v>0</v>
      </c>
      <c r="K40">
        <v>39</v>
      </c>
      <c r="L40">
        <v>3.4709999999999998E-2</v>
      </c>
      <c r="M40">
        <v>3.4660000000000003E-2</v>
      </c>
    </row>
    <row r="41" spans="1:13" x14ac:dyDescent="0.35">
      <c r="A41" s="2" t="e">
        <v>#N/A</v>
      </c>
      <c r="B41" s="5">
        <v>3.4619999999999998E-2</v>
      </c>
      <c r="D41">
        <v>3.4619999999999998E-2</v>
      </c>
      <c r="F41" s="7" t="str">
        <f t="shared" si="0"/>
        <v/>
      </c>
      <c r="G41" s="7">
        <f t="shared" si="1"/>
        <v>0</v>
      </c>
      <c r="K41">
        <v>40</v>
      </c>
      <c r="L41">
        <v>3.4680000000000002E-2</v>
      </c>
      <c r="M41">
        <v>3.4619999999999998E-2</v>
      </c>
    </row>
    <row r="42" spans="1:13" x14ac:dyDescent="0.35">
      <c r="A42" s="2" t="e">
        <v>#N/A</v>
      </c>
      <c r="B42" s="5">
        <v>3.4590000000000003E-2</v>
      </c>
      <c r="D42">
        <v>3.4590000000000003E-2</v>
      </c>
      <c r="F42" s="7" t="str">
        <f t="shared" si="0"/>
        <v/>
      </c>
      <c r="G42" s="7">
        <f t="shared" si="1"/>
        <v>0</v>
      </c>
      <c r="K42">
        <v>41</v>
      </c>
      <c r="L42">
        <v>3.4639999999999997E-2</v>
      </c>
      <c r="M42">
        <v>3.4590000000000003E-2</v>
      </c>
    </row>
    <row r="43" spans="1:13" x14ac:dyDescent="0.35">
      <c r="A43" s="2" t="e">
        <v>#N/A</v>
      </c>
      <c r="B43" s="5">
        <v>3.4549999999999997E-2</v>
      </c>
      <c r="D43">
        <v>3.4549999999999997E-2</v>
      </c>
      <c r="F43" s="7" t="str">
        <f t="shared" si="0"/>
        <v/>
      </c>
      <c r="G43" s="7">
        <f t="shared" si="1"/>
        <v>0</v>
      </c>
      <c r="K43">
        <v>42</v>
      </c>
      <c r="L43">
        <v>3.4610000000000002E-2</v>
      </c>
      <c r="M43">
        <v>3.4549999999999997E-2</v>
      </c>
    </row>
    <row r="44" spans="1:13" x14ac:dyDescent="0.35">
      <c r="A44" s="2" t="e">
        <v>#N/A</v>
      </c>
      <c r="B44" s="5">
        <v>3.4520000000000002E-2</v>
      </c>
      <c r="D44">
        <v>3.4520000000000002E-2</v>
      </c>
      <c r="F44" s="7" t="str">
        <f t="shared" si="0"/>
        <v/>
      </c>
      <c r="G44" s="7">
        <f t="shared" si="1"/>
        <v>0</v>
      </c>
      <c r="K44">
        <v>43</v>
      </c>
      <c r="L44">
        <v>3.458E-2</v>
      </c>
      <c r="M44">
        <v>3.4520000000000002E-2</v>
      </c>
    </row>
    <row r="45" spans="1:13" x14ac:dyDescent="0.35">
      <c r="A45" s="2" t="e">
        <v>#N/A</v>
      </c>
      <c r="B45" s="5">
        <v>3.4479999999999997E-2</v>
      </c>
      <c r="D45">
        <v>3.4479999999999997E-2</v>
      </c>
      <c r="F45" s="7" t="str">
        <f t="shared" si="0"/>
        <v/>
      </c>
      <c r="G45" s="7">
        <f t="shared" si="1"/>
        <v>0</v>
      </c>
      <c r="K45">
        <v>44</v>
      </c>
      <c r="L45">
        <v>3.4540000000000001E-2</v>
      </c>
      <c r="M45">
        <v>3.4479999999999997E-2</v>
      </c>
    </row>
    <row r="46" spans="1:13" x14ac:dyDescent="0.35">
      <c r="A46" s="2" t="e">
        <v>#N/A</v>
      </c>
      <c r="B46" s="5">
        <v>3.4450000000000001E-2</v>
      </c>
      <c r="D46">
        <v>3.4450000000000001E-2</v>
      </c>
      <c r="F46" s="7" t="str">
        <f t="shared" si="0"/>
        <v/>
      </c>
      <c r="G46" s="7">
        <f t="shared" si="1"/>
        <v>0</v>
      </c>
      <c r="K46">
        <v>45</v>
      </c>
      <c r="L46">
        <v>3.4509999999999999E-2</v>
      </c>
      <c r="M46">
        <v>3.4450000000000001E-2</v>
      </c>
    </row>
    <row r="47" spans="1:13" x14ac:dyDescent="0.35">
      <c r="A47" s="2" t="e">
        <v>#N/A</v>
      </c>
      <c r="B47" s="5">
        <v>3.4419999999999999E-2</v>
      </c>
      <c r="D47">
        <v>3.4419999999999999E-2</v>
      </c>
      <c r="F47" s="7" t="str">
        <f t="shared" si="0"/>
        <v/>
      </c>
      <c r="G47" s="7">
        <f t="shared" si="1"/>
        <v>0</v>
      </c>
      <c r="K47">
        <v>46</v>
      </c>
      <c r="L47">
        <v>3.4479999999999997E-2</v>
      </c>
      <c r="M47">
        <v>3.4419999999999999E-2</v>
      </c>
    </row>
    <row r="48" spans="1:13" x14ac:dyDescent="0.35">
      <c r="A48" s="2" t="e">
        <v>#N/A</v>
      </c>
      <c r="B48" s="5">
        <v>3.4389999999999997E-2</v>
      </c>
      <c r="D48">
        <v>3.4389999999999997E-2</v>
      </c>
      <c r="F48" s="7" t="str">
        <f t="shared" si="0"/>
        <v/>
      </c>
      <c r="G48" s="7">
        <f t="shared" si="1"/>
        <v>0</v>
      </c>
      <c r="K48">
        <v>47</v>
      </c>
      <c r="L48">
        <v>3.4459999999999998E-2</v>
      </c>
      <c r="M48">
        <v>3.4389999999999997E-2</v>
      </c>
    </row>
    <row r="49" spans="1:13" x14ac:dyDescent="0.35">
      <c r="A49" s="2" t="e">
        <v>#N/A</v>
      </c>
      <c r="B49" s="5">
        <v>3.4360000000000002E-2</v>
      </c>
      <c r="D49">
        <v>3.4360000000000002E-2</v>
      </c>
      <c r="F49" s="7" t="str">
        <f t="shared" si="0"/>
        <v/>
      </c>
      <c r="G49" s="7">
        <f t="shared" si="1"/>
        <v>0</v>
      </c>
      <c r="K49">
        <v>48</v>
      </c>
      <c r="L49">
        <v>3.4430000000000002E-2</v>
      </c>
      <c r="M49">
        <v>3.4360000000000002E-2</v>
      </c>
    </row>
    <row r="50" spans="1:13" x14ac:dyDescent="0.35">
      <c r="A50" s="2" t="e">
        <v>#N/A</v>
      </c>
      <c r="B50" s="5">
        <v>3.4329999999999999E-2</v>
      </c>
      <c r="D50">
        <v>3.4329999999999999E-2</v>
      </c>
      <c r="F50" s="7" t="str">
        <f t="shared" si="0"/>
        <v/>
      </c>
      <c r="G50" s="7">
        <f t="shared" si="1"/>
        <v>0</v>
      </c>
      <c r="K50">
        <v>49</v>
      </c>
      <c r="L50">
        <v>3.44E-2</v>
      </c>
      <c r="M50">
        <v>3.4329999999999999E-2</v>
      </c>
    </row>
    <row r="51" spans="1:13" x14ac:dyDescent="0.35">
      <c r="A51" s="2" t="e">
        <v>#N/A</v>
      </c>
      <c r="B51" s="5">
        <v>3.431E-2</v>
      </c>
      <c r="D51">
        <v>3.431E-2</v>
      </c>
      <c r="F51" s="7" t="str">
        <f t="shared" si="0"/>
        <v/>
      </c>
      <c r="G51" s="7">
        <f t="shared" si="1"/>
        <v>0</v>
      </c>
      <c r="K51">
        <v>50</v>
      </c>
      <c r="L51">
        <v>3.4380000000000001E-2</v>
      </c>
      <c r="M51">
        <v>3.431E-2</v>
      </c>
    </row>
    <row r="52" spans="1:13" x14ac:dyDescent="0.35">
      <c r="A52" s="3" t="e">
        <v>#N/A</v>
      </c>
      <c r="B52" s="5">
        <v>3.4279999999999998E-2</v>
      </c>
      <c r="D52">
        <v>3.4279999999999998E-2</v>
      </c>
      <c r="F52" s="7" t="str">
        <f t="shared" si="0"/>
        <v/>
      </c>
      <c r="G52" s="7">
        <f t="shared" si="1"/>
        <v>0</v>
      </c>
      <c r="K52">
        <v>51</v>
      </c>
      <c r="L52">
        <v>3.4349999999999999E-2</v>
      </c>
      <c r="M52">
        <v>3.4279999999999998E-2</v>
      </c>
    </row>
    <row r="53" spans="1:13" x14ac:dyDescent="0.35">
      <c r="A53" s="3" t="e">
        <v>#N/A</v>
      </c>
      <c r="B53" s="5">
        <v>3.4259999999999999E-2</v>
      </c>
      <c r="D53">
        <v>3.4259999999999999E-2</v>
      </c>
      <c r="F53" s="7" t="str">
        <f t="shared" si="0"/>
        <v/>
      </c>
      <c r="G53" s="7">
        <f t="shared" si="1"/>
        <v>0</v>
      </c>
      <c r="K53">
        <v>52</v>
      </c>
      <c r="L53">
        <v>3.4329999999999999E-2</v>
      </c>
      <c r="M53">
        <v>3.4259999999999999E-2</v>
      </c>
    </row>
    <row r="54" spans="1:13" x14ac:dyDescent="0.35">
      <c r="A54" s="3" t="e">
        <v>#N/A</v>
      </c>
      <c r="B54" s="5">
        <v>3.424E-2</v>
      </c>
      <c r="D54">
        <v>3.424E-2</v>
      </c>
      <c r="F54" s="7" t="str">
        <f t="shared" si="0"/>
        <v/>
      </c>
      <c r="G54" s="7">
        <f t="shared" si="1"/>
        <v>0</v>
      </c>
      <c r="K54">
        <v>53</v>
      </c>
      <c r="L54">
        <v>3.431E-2</v>
      </c>
      <c r="M54">
        <v>3.424E-2</v>
      </c>
    </row>
    <row r="55" spans="1:13" x14ac:dyDescent="0.35">
      <c r="A55" s="3" t="e">
        <v>#N/A</v>
      </c>
      <c r="B55" s="5">
        <v>3.4209999999999997E-2</v>
      </c>
      <c r="D55">
        <v>3.4209999999999997E-2</v>
      </c>
      <c r="F55" s="7" t="str">
        <f t="shared" si="0"/>
        <v/>
      </c>
      <c r="G55" s="7">
        <f t="shared" si="1"/>
        <v>0</v>
      </c>
      <c r="K55">
        <v>54</v>
      </c>
      <c r="L55">
        <v>3.4279999999999998E-2</v>
      </c>
      <c r="M55">
        <v>3.4209999999999997E-2</v>
      </c>
    </row>
    <row r="56" spans="1:13" x14ac:dyDescent="0.35">
      <c r="A56" s="3" t="e">
        <v>#N/A</v>
      </c>
      <c r="B56" s="5">
        <v>3.4189999999999998E-2</v>
      </c>
      <c r="D56">
        <v>3.4189999999999998E-2</v>
      </c>
      <c r="F56" s="7" t="str">
        <f t="shared" si="0"/>
        <v/>
      </c>
      <c r="G56" s="7">
        <f t="shared" si="1"/>
        <v>0</v>
      </c>
      <c r="K56">
        <v>55</v>
      </c>
      <c r="L56">
        <v>3.4259999999999999E-2</v>
      </c>
      <c r="M56">
        <v>3.4189999999999998E-2</v>
      </c>
    </row>
    <row r="57" spans="1:13" x14ac:dyDescent="0.35">
      <c r="A57" s="3" t="e">
        <v>#N/A</v>
      </c>
      <c r="B57" s="5">
        <v>3.4169999999999999E-2</v>
      </c>
      <c r="D57">
        <v>3.4169999999999999E-2</v>
      </c>
      <c r="F57" s="7" t="str">
        <f t="shared" si="0"/>
        <v/>
      </c>
      <c r="G57" s="7">
        <f t="shared" si="1"/>
        <v>0</v>
      </c>
      <c r="K57">
        <v>56</v>
      </c>
      <c r="L57">
        <v>3.424E-2</v>
      </c>
      <c r="M57">
        <v>3.4169999999999999E-2</v>
      </c>
    </row>
    <row r="58" spans="1:13" x14ac:dyDescent="0.35">
      <c r="A58" s="3" t="e">
        <v>#N/A</v>
      </c>
      <c r="B58" s="5">
        <v>3.415E-2</v>
      </c>
      <c r="D58">
        <v>3.415E-2</v>
      </c>
      <c r="F58" s="7" t="str">
        <f t="shared" si="0"/>
        <v/>
      </c>
      <c r="G58" s="7">
        <f t="shared" si="1"/>
        <v>0</v>
      </c>
      <c r="K58">
        <v>57</v>
      </c>
      <c r="L58">
        <v>3.422E-2</v>
      </c>
      <c r="M58">
        <v>3.415E-2</v>
      </c>
    </row>
    <row r="59" spans="1:13" x14ac:dyDescent="0.35">
      <c r="A59" s="3" t="e">
        <v>#N/A</v>
      </c>
      <c r="B59" s="5">
        <v>3.4130000000000001E-2</v>
      </c>
      <c r="D59">
        <v>3.4130000000000001E-2</v>
      </c>
      <c r="F59" s="7" t="str">
        <f t="shared" si="0"/>
        <v/>
      </c>
      <c r="G59" s="7">
        <f t="shared" si="1"/>
        <v>0</v>
      </c>
      <c r="K59">
        <v>58</v>
      </c>
      <c r="L59">
        <v>3.4200000000000001E-2</v>
      </c>
      <c r="M59">
        <v>3.4130000000000001E-2</v>
      </c>
    </row>
    <row r="60" spans="1:13" x14ac:dyDescent="0.35">
      <c r="A60" s="3" t="e">
        <v>#N/A</v>
      </c>
      <c r="B60" s="5">
        <v>3.4110000000000001E-2</v>
      </c>
      <c r="D60">
        <v>3.4110000000000001E-2</v>
      </c>
      <c r="F60" s="7" t="str">
        <f t="shared" si="0"/>
        <v/>
      </c>
      <c r="G60" s="7">
        <f t="shared" si="1"/>
        <v>0</v>
      </c>
      <c r="K60">
        <v>59</v>
      </c>
      <c r="L60">
        <v>3.4180000000000002E-2</v>
      </c>
      <c r="M60">
        <v>3.4110000000000001E-2</v>
      </c>
    </row>
    <row r="61" spans="1:13" x14ac:dyDescent="0.35">
      <c r="A61" s="3" t="e">
        <v>#N/A</v>
      </c>
      <c r="B61" s="5">
        <v>3.4090000000000002E-2</v>
      </c>
      <c r="D61">
        <v>3.4090000000000002E-2</v>
      </c>
      <c r="F61" s="7" t="str">
        <f t="shared" si="0"/>
        <v/>
      </c>
      <c r="G61" s="7">
        <f t="shared" si="1"/>
        <v>0</v>
      </c>
      <c r="K61">
        <v>60</v>
      </c>
      <c r="L61">
        <v>3.4169999999999999E-2</v>
      </c>
      <c r="M61">
        <v>3.4090000000000002E-2</v>
      </c>
    </row>
    <row r="62" spans="1:13" x14ac:dyDescent="0.35">
      <c r="A62" s="3" t="e">
        <v>#N/A</v>
      </c>
      <c r="B62" s="5">
        <v>3.4070000000000003E-2</v>
      </c>
      <c r="D62">
        <v>3.4070000000000003E-2</v>
      </c>
      <c r="F62" s="7" t="str">
        <f t="shared" si="0"/>
        <v/>
      </c>
      <c r="G62" s="7">
        <f t="shared" si="1"/>
        <v>0</v>
      </c>
      <c r="K62">
        <v>61</v>
      </c>
      <c r="L62">
        <v>3.415E-2</v>
      </c>
      <c r="M62">
        <v>3.4070000000000003E-2</v>
      </c>
    </row>
    <row r="63" spans="1:13" x14ac:dyDescent="0.35">
      <c r="A63" s="3" t="e">
        <v>#N/A</v>
      </c>
      <c r="B63" s="5">
        <v>3.406E-2</v>
      </c>
      <c r="D63">
        <v>3.406E-2</v>
      </c>
      <c r="F63" s="7" t="str">
        <f t="shared" si="0"/>
        <v/>
      </c>
      <c r="G63" s="7">
        <f t="shared" si="1"/>
        <v>0</v>
      </c>
      <c r="K63">
        <v>62</v>
      </c>
      <c r="L63">
        <v>3.4130000000000001E-2</v>
      </c>
      <c r="M63">
        <v>3.406E-2</v>
      </c>
    </row>
    <row r="64" spans="1:13" x14ac:dyDescent="0.35">
      <c r="A64" s="3" t="e">
        <v>#N/A</v>
      </c>
      <c r="B64" s="5">
        <v>3.4040000000000001E-2</v>
      </c>
      <c r="D64">
        <v>3.4040000000000001E-2</v>
      </c>
      <c r="F64" s="7" t="str">
        <f t="shared" si="0"/>
        <v/>
      </c>
      <c r="G64" s="7">
        <f t="shared" si="1"/>
        <v>0</v>
      </c>
      <c r="K64">
        <v>63</v>
      </c>
      <c r="L64">
        <v>3.4110000000000001E-2</v>
      </c>
      <c r="M64">
        <v>3.4040000000000001E-2</v>
      </c>
    </row>
    <row r="65" spans="1:13" x14ac:dyDescent="0.35">
      <c r="A65" s="3" t="e">
        <v>#N/A</v>
      </c>
      <c r="B65" s="5">
        <v>3.4020000000000002E-2</v>
      </c>
      <c r="D65">
        <v>3.4020000000000002E-2</v>
      </c>
      <c r="F65" s="7" t="str">
        <f t="shared" si="0"/>
        <v/>
      </c>
      <c r="G65" s="7">
        <f t="shared" si="1"/>
        <v>0</v>
      </c>
      <c r="K65">
        <v>64</v>
      </c>
      <c r="L65">
        <v>3.4099999999999998E-2</v>
      </c>
      <c r="M65">
        <v>3.4020000000000002E-2</v>
      </c>
    </row>
    <row r="66" spans="1:13" x14ac:dyDescent="0.35">
      <c r="A66" s="3" t="e">
        <v>#N/A</v>
      </c>
      <c r="B66" s="5">
        <v>3.4009999999999999E-2</v>
      </c>
      <c r="D66">
        <v>3.4009999999999999E-2</v>
      </c>
      <c r="F66" s="7" t="str">
        <f t="shared" si="0"/>
        <v/>
      </c>
      <c r="G66" s="7">
        <f t="shared" si="1"/>
        <v>0</v>
      </c>
      <c r="K66">
        <v>65</v>
      </c>
      <c r="L66">
        <v>3.4079999999999999E-2</v>
      </c>
      <c r="M66">
        <v>3.4009999999999999E-2</v>
      </c>
    </row>
    <row r="67" spans="1:13" x14ac:dyDescent="0.35">
      <c r="A67" s="3" t="e">
        <v>#N/A</v>
      </c>
      <c r="B67" s="5">
        <v>3.3989999999999999E-2</v>
      </c>
      <c r="D67">
        <v>3.3989999999999999E-2</v>
      </c>
      <c r="F67" s="7" t="str">
        <f t="shared" ref="F67:F130" si="2">IF(C67&lt;&gt;"",A67-C67,"")</f>
        <v/>
      </c>
      <c r="G67" s="7">
        <f t="shared" ref="G67:G130" si="3">B67-D67</f>
        <v>0</v>
      </c>
      <c r="K67">
        <v>66</v>
      </c>
      <c r="L67">
        <v>3.4070000000000003E-2</v>
      </c>
      <c r="M67">
        <v>3.3989999999999999E-2</v>
      </c>
    </row>
    <row r="68" spans="1:13" x14ac:dyDescent="0.35">
      <c r="A68" s="3" t="e">
        <v>#N/A</v>
      </c>
      <c r="B68" s="5">
        <v>3.3980000000000003E-2</v>
      </c>
      <c r="D68">
        <v>3.3980000000000003E-2</v>
      </c>
      <c r="F68" s="7" t="str">
        <f t="shared" si="2"/>
        <v/>
      </c>
      <c r="G68" s="7">
        <f t="shared" si="3"/>
        <v>0</v>
      </c>
      <c r="K68">
        <v>67</v>
      </c>
      <c r="L68">
        <v>3.4049999999999997E-2</v>
      </c>
      <c r="M68">
        <v>3.3980000000000003E-2</v>
      </c>
    </row>
    <row r="69" spans="1:13" x14ac:dyDescent="0.35">
      <c r="A69" s="3" t="e">
        <v>#N/A</v>
      </c>
      <c r="B69" s="5">
        <v>3.3959999999999997E-2</v>
      </c>
      <c r="D69">
        <v>3.3959999999999997E-2</v>
      </c>
      <c r="F69" s="7" t="str">
        <f t="shared" si="2"/>
        <v/>
      </c>
      <c r="G69" s="7">
        <f t="shared" si="3"/>
        <v>0</v>
      </c>
      <c r="K69">
        <v>68</v>
      </c>
      <c r="L69">
        <v>3.4040000000000001E-2</v>
      </c>
      <c r="M69">
        <v>3.3959999999999997E-2</v>
      </c>
    </row>
    <row r="70" spans="1:13" x14ac:dyDescent="0.35">
      <c r="A70" s="3" t="e">
        <v>#N/A</v>
      </c>
      <c r="B70" s="5">
        <v>3.3950000000000001E-2</v>
      </c>
      <c r="D70">
        <v>3.3950000000000001E-2</v>
      </c>
      <c r="F70" s="7" t="str">
        <f t="shared" si="2"/>
        <v/>
      </c>
      <c r="G70" s="7">
        <f t="shared" si="3"/>
        <v>0</v>
      </c>
      <c r="K70">
        <v>69</v>
      </c>
      <c r="L70">
        <v>3.4020000000000002E-2</v>
      </c>
      <c r="M70">
        <v>3.3950000000000001E-2</v>
      </c>
    </row>
    <row r="71" spans="1:13" x14ac:dyDescent="0.35">
      <c r="A71" s="3" t="e">
        <v>#N/A</v>
      </c>
      <c r="B71" s="5">
        <v>3.3939999999999998E-2</v>
      </c>
      <c r="D71">
        <v>3.3939999999999998E-2</v>
      </c>
      <c r="F71" s="7" t="str">
        <f t="shared" si="2"/>
        <v/>
      </c>
      <c r="G71" s="7">
        <f t="shared" si="3"/>
        <v>0</v>
      </c>
      <c r="K71">
        <v>70</v>
      </c>
      <c r="L71">
        <v>3.4009999999999999E-2</v>
      </c>
      <c r="M71">
        <v>3.3939999999999998E-2</v>
      </c>
    </row>
    <row r="72" spans="1:13" x14ac:dyDescent="0.35">
      <c r="A72" s="3" t="e">
        <v>#N/A</v>
      </c>
      <c r="B72" s="5">
        <v>3.3919999999999999E-2</v>
      </c>
      <c r="D72">
        <v>3.3919999999999999E-2</v>
      </c>
      <c r="F72" s="7" t="str">
        <f t="shared" si="2"/>
        <v/>
      </c>
      <c r="G72" s="7">
        <f t="shared" si="3"/>
        <v>0</v>
      </c>
      <c r="K72">
        <v>71</v>
      </c>
      <c r="L72">
        <v>3.4000000000000002E-2</v>
      </c>
      <c r="M72">
        <v>3.3919999999999999E-2</v>
      </c>
    </row>
    <row r="73" spans="1:13" x14ac:dyDescent="0.35">
      <c r="A73" s="3" t="e">
        <v>#N/A</v>
      </c>
      <c r="B73" s="5">
        <v>3.3910000000000003E-2</v>
      </c>
      <c r="D73">
        <v>3.3910000000000003E-2</v>
      </c>
      <c r="F73" s="7" t="str">
        <f t="shared" si="2"/>
        <v/>
      </c>
      <c r="G73" s="7">
        <f t="shared" si="3"/>
        <v>0</v>
      </c>
      <c r="K73">
        <v>72</v>
      </c>
      <c r="L73">
        <v>3.3980000000000003E-2</v>
      </c>
      <c r="M73">
        <v>3.3910000000000003E-2</v>
      </c>
    </row>
    <row r="74" spans="1:13" x14ac:dyDescent="0.35">
      <c r="A74" s="3" t="e">
        <v>#N/A</v>
      </c>
      <c r="B74" s="5">
        <v>3.39E-2</v>
      </c>
      <c r="D74">
        <v>3.39E-2</v>
      </c>
      <c r="F74" s="7" t="str">
        <f t="shared" si="2"/>
        <v/>
      </c>
      <c r="G74" s="7">
        <f t="shared" si="3"/>
        <v>0</v>
      </c>
      <c r="K74">
        <v>73</v>
      </c>
      <c r="L74">
        <v>3.397E-2</v>
      </c>
      <c r="M74">
        <v>3.39E-2</v>
      </c>
    </row>
    <row r="75" spans="1:13" x14ac:dyDescent="0.35">
      <c r="A75" s="3" t="e">
        <v>#N/A</v>
      </c>
      <c r="B75" s="5">
        <v>3.3890000000000003E-2</v>
      </c>
      <c r="D75">
        <v>3.3890000000000003E-2</v>
      </c>
      <c r="F75" s="7" t="str">
        <f t="shared" si="2"/>
        <v/>
      </c>
      <c r="G75" s="7">
        <f t="shared" si="3"/>
        <v>0</v>
      </c>
      <c r="K75">
        <v>74</v>
      </c>
      <c r="L75">
        <v>3.3959999999999997E-2</v>
      </c>
      <c r="M75">
        <v>3.3890000000000003E-2</v>
      </c>
    </row>
    <row r="76" spans="1:13" x14ac:dyDescent="0.35">
      <c r="A76" s="3" t="e">
        <v>#N/A</v>
      </c>
      <c r="B76" s="5">
        <v>3.3869999999999997E-2</v>
      </c>
      <c r="D76">
        <v>3.3869999999999997E-2</v>
      </c>
      <c r="F76" s="7" t="str">
        <f t="shared" si="2"/>
        <v/>
      </c>
      <c r="G76" s="7">
        <f t="shared" si="3"/>
        <v>0</v>
      </c>
      <c r="K76">
        <v>75</v>
      </c>
      <c r="L76">
        <v>3.3939999999999998E-2</v>
      </c>
      <c r="M76">
        <v>3.3869999999999997E-2</v>
      </c>
    </row>
    <row r="77" spans="1:13" x14ac:dyDescent="0.35">
      <c r="A77" s="3" t="e">
        <v>#N/A</v>
      </c>
      <c r="B77" s="5">
        <v>3.3860000000000001E-2</v>
      </c>
      <c r="D77">
        <v>3.3860000000000001E-2</v>
      </c>
      <c r="F77" s="7" t="str">
        <f t="shared" si="2"/>
        <v/>
      </c>
      <c r="G77" s="7">
        <f t="shared" si="3"/>
        <v>0</v>
      </c>
      <c r="K77">
        <v>76</v>
      </c>
      <c r="L77">
        <v>3.3930000000000002E-2</v>
      </c>
      <c r="M77">
        <v>3.3860000000000001E-2</v>
      </c>
    </row>
    <row r="78" spans="1:13" x14ac:dyDescent="0.35">
      <c r="A78" s="3" t="e">
        <v>#N/A</v>
      </c>
      <c r="B78" s="5">
        <v>3.3849999999999998E-2</v>
      </c>
      <c r="D78">
        <v>3.3849999999999998E-2</v>
      </c>
      <c r="F78" s="7" t="str">
        <f t="shared" si="2"/>
        <v/>
      </c>
      <c r="G78" s="7">
        <f t="shared" si="3"/>
        <v>0</v>
      </c>
      <c r="K78">
        <v>77</v>
      </c>
      <c r="L78">
        <v>3.3919999999999999E-2</v>
      </c>
      <c r="M78">
        <v>3.3849999999999998E-2</v>
      </c>
    </row>
    <row r="79" spans="1:13" x14ac:dyDescent="0.35">
      <c r="A79" s="3" t="e">
        <v>#N/A</v>
      </c>
      <c r="B79" s="5">
        <v>3.3840000000000002E-2</v>
      </c>
      <c r="D79">
        <v>3.3840000000000002E-2</v>
      </c>
      <c r="F79" s="7" t="str">
        <f t="shared" si="2"/>
        <v/>
      </c>
      <c r="G79" s="7">
        <f t="shared" si="3"/>
        <v>0</v>
      </c>
      <c r="K79">
        <v>78</v>
      </c>
      <c r="L79">
        <v>3.3910000000000003E-2</v>
      </c>
      <c r="M79">
        <v>3.3840000000000002E-2</v>
      </c>
    </row>
    <row r="80" spans="1:13" x14ac:dyDescent="0.35">
      <c r="A80" s="3" t="e">
        <v>#N/A</v>
      </c>
      <c r="B80" s="5">
        <v>3.3829999999999999E-2</v>
      </c>
      <c r="D80">
        <v>3.3829999999999999E-2</v>
      </c>
      <c r="F80" s="7" t="str">
        <f t="shared" si="2"/>
        <v/>
      </c>
      <c r="G80" s="7">
        <f t="shared" si="3"/>
        <v>0</v>
      </c>
      <c r="K80">
        <v>79</v>
      </c>
      <c r="L80">
        <v>3.39E-2</v>
      </c>
      <c r="M80">
        <v>3.3829999999999999E-2</v>
      </c>
    </row>
    <row r="81" spans="1:13" x14ac:dyDescent="0.35">
      <c r="A81" s="3" t="e">
        <v>#N/A</v>
      </c>
      <c r="B81" s="5">
        <v>3.3820000000000003E-2</v>
      </c>
      <c r="D81">
        <v>3.3820000000000003E-2</v>
      </c>
      <c r="F81" s="7" t="str">
        <f t="shared" si="2"/>
        <v/>
      </c>
      <c r="G81" s="7">
        <f t="shared" si="3"/>
        <v>0</v>
      </c>
      <c r="K81">
        <v>80</v>
      </c>
      <c r="L81">
        <v>3.3890000000000003E-2</v>
      </c>
      <c r="M81">
        <v>3.3820000000000003E-2</v>
      </c>
    </row>
    <row r="82" spans="1:13" x14ac:dyDescent="0.35">
      <c r="A82" s="3" t="e">
        <v>#N/A</v>
      </c>
      <c r="B82" s="5">
        <v>3.381E-2</v>
      </c>
      <c r="D82">
        <v>3.381E-2</v>
      </c>
      <c r="F82" s="7" t="str">
        <f t="shared" si="2"/>
        <v/>
      </c>
      <c r="G82" s="7">
        <f t="shared" si="3"/>
        <v>0</v>
      </c>
      <c r="K82">
        <v>81</v>
      </c>
      <c r="L82">
        <v>3.388E-2</v>
      </c>
      <c r="M82">
        <v>3.381E-2</v>
      </c>
    </row>
    <row r="83" spans="1:13" x14ac:dyDescent="0.35">
      <c r="A83" s="3" t="e">
        <v>#N/A</v>
      </c>
      <c r="B83" s="5">
        <v>3.3799999999999997E-2</v>
      </c>
      <c r="D83">
        <v>3.3799999999999997E-2</v>
      </c>
      <c r="F83" s="7" t="str">
        <f t="shared" si="2"/>
        <v/>
      </c>
      <c r="G83" s="7">
        <f t="shared" si="3"/>
        <v>0</v>
      </c>
      <c r="K83">
        <v>82</v>
      </c>
      <c r="L83">
        <v>3.3869999999999997E-2</v>
      </c>
      <c r="M83">
        <v>3.3799999999999997E-2</v>
      </c>
    </row>
    <row r="84" spans="1:13" x14ac:dyDescent="0.35">
      <c r="A84" s="3" t="e">
        <v>#N/A</v>
      </c>
      <c r="B84" s="5">
        <v>3.3790000000000001E-2</v>
      </c>
      <c r="D84">
        <v>3.3790000000000001E-2</v>
      </c>
      <c r="F84" s="7" t="str">
        <f t="shared" si="2"/>
        <v/>
      </c>
      <c r="G84" s="7">
        <f t="shared" si="3"/>
        <v>0</v>
      </c>
      <c r="K84">
        <v>83</v>
      </c>
      <c r="L84">
        <v>3.3860000000000001E-2</v>
      </c>
      <c r="M84">
        <v>3.3790000000000001E-2</v>
      </c>
    </row>
    <row r="85" spans="1:13" x14ac:dyDescent="0.35">
      <c r="A85" s="3" t="e">
        <v>#N/A</v>
      </c>
      <c r="B85" s="5">
        <v>3.3779999999999998E-2</v>
      </c>
      <c r="D85">
        <v>3.3779999999999998E-2</v>
      </c>
      <c r="F85" s="7" t="str">
        <f t="shared" si="2"/>
        <v/>
      </c>
      <c r="G85" s="7">
        <f t="shared" si="3"/>
        <v>0</v>
      </c>
      <c r="K85">
        <v>84</v>
      </c>
      <c r="L85">
        <v>3.3849999999999998E-2</v>
      </c>
      <c r="M85">
        <v>3.3779999999999998E-2</v>
      </c>
    </row>
    <row r="86" spans="1:13" x14ac:dyDescent="0.35">
      <c r="A86" s="3" t="e">
        <v>#N/A</v>
      </c>
      <c r="B86" s="5">
        <v>3.3770000000000001E-2</v>
      </c>
      <c r="D86">
        <v>3.3770000000000001E-2</v>
      </c>
      <c r="F86" s="7" t="str">
        <f t="shared" si="2"/>
        <v/>
      </c>
      <c r="G86" s="7">
        <f t="shared" si="3"/>
        <v>0</v>
      </c>
      <c r="K86">
        <v>85</v>
      </c>
      <c r="L86">
        <v>3.3840000000000002E-2</v>
      </c>
      <c r="M86">
        <v>3.3770000000000001E-2</v>
      </c>
    </row>
    <row r="87" spans="1:13" x14ac:dyDescent="0.35">
      <c r="A87" s="3" t="e">
        <v>#N/A</v>
      </c>
      <c r="B87" s="5">
        <v>3.3759999999999998E-2</v>
      </c>
      <c r="D87">
        <v>3.3759999999999998E-2</v>
      </c>
      <c r="F87" s="7" t="str">
        <f t="shared" si="2"/>
        <v/>
      </c>
      <c r="G87" s="7">
        <f t="shared" si="3"/>
        <v>0</v>
      </c>
      <c r="K87">
        <v>86</v>
      </c>
      <c r="L87">
        <v>3.3829999999999999E-2</v>
      </c>
      <c r="M87">
        <v>3.3759999999999998E-2</v>
      </c>
    </row>
    <row r="88" spans="1:13" x14ac:dyDescent="0.35">
      <c r="A88" s="3" t="e">
        <v>#N/A</v>
      </c>
      <c r="B88" s="5">
        <v>3.3750000000000002E-2</v>
      </c>
      <c r="D88">
        <v>3.3750000000000002E-2</v>
      </c>
      <c r="F88" s="7" t="str">
        <f t="shared" si="2"/>
        <v/>
      </c>
      <c r="G88" s="7">
        <f t="shared" si="3"/>
        <v>0</v>
      </c>
      <c r="K88">
        <v>87</v>
      </c>
      <c r="L88">
        <v>3.3820000000000003E-2</v>
      </c>
      <c r="M88">
        <v>3.3750000000000002E-2</v>
      </c>
    </row>
    <row r="89" spans="1:13" x14ac:dyDescent="0.35">
      <c r="A89" s="3" t="e">
        <v>#N/A</v>
      </c>
      <c r="B89" s="5">
        <v>3.3750000000000002E-2</v>
      </c>
      <c r="D89">
        <v>3.3750000000000002E-2</v>
      </c>
      <c r="F89" s="7" t="str">
        <f t="shared" si="2"/>
        <v/>
      </c>
      <c r="G89" s="7">
        <f t="shared" si="3"/>
        <v>0</v>
      </c>
      <c r="K89">
        <v>88</v>
      </c>
      <c r="L89">
        <v>3.381E-2</v>
      </c>
      <c r="M89">
        <v>3.3750000000000002E-2</v>
      </c>
    </row>
    <row r="90" spans="1:13" x14ac:dyDescent="0.35">
      <c r="A90" s="3" t="e">
        <v>#N/A</v>
      </c>
      <c r="B90" s="5">
        <v>3.3739999999999999E-2</v>
      </c>
      <c r="D90">
        <v>3.3739999999999999E-2</v>
      </c>
      <c r="F90" s="7" t="str">
        <f t="shared" si="2"/>
        <v/>
      </c>
      <c r="G90" s="7">
        <f t="shared" si="3"/>
        <v>0</v>
      </c>
      <c r="K90">
        <v>89</v>
      </c>
      <c r="L90">
        <v>3.3799999999999997E-2</v>
      </c>
      <c r="M90">
        <v>3.3739999999999999E-2</v>
      </c>
    </row>
    <row r="91" spans="1:13" x14ac:dyDescent="0.35">
      <c r="A91" s="3" t="e">
        <v>#N/A</v>
      </c>
      <c r="B91" s="5">
        <v>3.3730000000000003E-2</v>
      </c>
      <c r="D91">
        <v>3.3730000000000003E-2</v>
      </c>
      <c r="F91" s="7" t="str">
        <f t="shared" si="2"/>
        <v/>
      </c>
      <c r="G91" s="7">
        <f t="shared" si="3"/>
        <v>0</v>
      </c>
      <c r="K91">
        <v>90</v>
      </c>
      <c r="L91">
        <v>3.3790000000000001E-2</v>
      </c>
      <c r="M91">
        <v>3.3730000000000003E-2</v>
      </c>
    </row>
    <row r="92" spans="1:13" x14ac:dyDescent="0.35">
      <c r="A92" s="3" t="e">
        <v>#N/A</v>
      </c>
      <c r="B92" s="5">
        <v>3.372E-2</v>
      </c>
      <c r="D92">
        <v>3.372E-2</v>
      </c>
      <c r="F92" s="7" t="str">
        <f t="shared" si="2"/>
        <v/>
      </c>
      <c r="G92" s="7">
        <f t="shared" si="3"/>
        <v>0</v>
      </c>
      <c r="K92">
        <v>91</v>
      </c>
      <c r="L92">
        <v>3.3779999999999998E-2</v>
      </c>
      <c r="M92">
        <v>3.372E-2</v>
      </c>
    </row>
    <row r="93" spans="1:13" x14ac:dyDescent="0.35">
      <c r="A93" s="3" t="e">
        <v>#N/A</v>
      </c>
      <c r="B93" s="5">
        <v>3.3709999999999997E-2</v>
      </c>
      <c r="D93">
        <v>3.3709999999999997E-2</v>
      </c>
      <c r="F93" s="7" t="str">
        <f t="shared" si="2"/>
        <v/>
      </c>
      <c r="G93" s="7">
        <f t="shared" si="3"/>
        <v>0</v>
      </c>
      <c r="K93">
        <v>92</v>
      </c>
      <c r="L93">
        <v>3.3770000000000001E-2</v>
      </c>
      <c r="M93">
        <v>3.3709999999999997E-2</v>
      </c>
    </row>
    <row r="94" spans="1:13" x14ac:dyDescent="0.35">
      <c r="A94" s="3" t="e">
        <v>#N/A</v>
      </c>
      <c r="B94" s="5">
        <v>3.3709999999999997E-2</v>
      </c>
      <c r="D94">
        <v>3.3709999999999997E-2</v>
      </c>
      <c r="F94" s="7" t="str">
        <f t="shared" si="2"/>
        <v/>
      </c>
      <c r="G94" s="7">
        <f t="shared" si="3"/>
        <v>0</v>
      </c>
      <c r="K94">
        <v>93</v>
      </c>
      <c r="L94">
        <v>3.3770000000000001E-2</v>
      </c>
      <c r="M94">
        <v>3.3709999999999997E-2</v>
      </c>
    </row>
    <row r="95" spans="1:13" x14ac:dyDescent="0.35">
      <c r="A95" s="3" t="e">
        <v>#N/A</v>
      </c>
      <c r="B95" s="5">
        <v>3.3700000000000001E-2</v>
      </c>
      <c r="D95">
        <v>3.3700000000000001E-2</v>
      </c>
      <c r="F95" s="7" t="str">
        <f t="shared" si="2"/>
        <v/>
      </c>
      <c r="G95" s="7">
        <f t="shared" si="3"/>
        <v>0</v>
      </c>
      <c r="K95">
        <v>94</v>
      </c>
      <c r="L95">
        <v>3.3759999999999998E-2</v>
      </c>
      <c r="M95">
        <v>3.3700000000000001E-2</v>
      </c>
    </row>
    <row r="96" spans="1:13" x14ac:dyDescent="0.35">
      <c r="A96" s="3" t="e">
        <v>#N/A</v>
      </c>
      <c r="B96" s="5">
        <v>3.3689999999999998E-2</v>
      </c>
      <c r="D96">
        <v>3.3689999999999998E-2</v>
      </c>
      <c r="F96" s="7" t="str">
        <f t="shared" si="2"/>
        <v/>
      </c>
      <c r="G96" s="7">
        <f t="shared" si="3"/>
        <v>0</v>
      </c>
      <c r="K96">
        <v>95</v>
      </c>
      <c r="L96">
        <v>3.3750000000000002E-2</v>
      </c>
      <c r="M96">
        <v>3.3689999999999998E-2</v>
      </c>
    </row>
    <row r="97" spans="1:13" x14ac:dyDescent="0.35">
      <c r="A97" s="3" t="e">
        <v>#N/A</v>
      </c>
      <c r="B97" s="5">
        <v>3.3680000000000002E-2</v>
      </c>
      <c r="D97">
        <v>3.3680000000000002E-2</v>
      </c>
      <c r="F97" s="7" t="str">
        <f t="shared" si="2"/>
        <v/>
      </c>
      <c r="G97" s="7">
        <f t="shared" si="3"/>
        <v>0</v>
      </c>
      <c r="K97">
        <v>96</v>
      </c>
      <c r="L97">
        <v>3.3739999999999999E-2</v>
      </c>
      <c r="M97">
        <v>3.3680000000000002E-2</v>
      </c>
    </row>
    <row r="98" spans="1:13" x14ac:dyDescent="0.35">
      <c r="A98" s="3" t="e">
        <v>#N/A</v>
      </c>
      <c r="B98" s="5">
        <v>3.3680000000000002E-2</v>
      </c>
      <c r="D98">
        <v>3.3680000000000002E-2</v>
      </c>
      <c r="F98" s="7" t="str">
        <f t="shared" si="2"/>
        <v/>
      </c>
      <c r="G98" s="7">
        <f t="shared" si="3"/>
        <v>0</v>
      </c>
      <c r="K98">
        <v>97</v>
      </c>
      <c r="L98">
        <v>3.3739999999999999E-2</v>
      </c>
      <c r="M98">
        <v>3.3680000000000002E-2</v>
      </c>
    </row>
    <row r="99" spans="1:13" x14ac:dyDescent="0.35">
      <c r="A99" s="3" t="e">
        <v>#N/A</v>
      </c>
      <c r="B99" s="5">
        <v>3.3669999999999999E-2</v>
      </c>
      <c r="D99">
        <v>3.3669999999999999E-2</v>
      </c>
      <c r="F99" s="7" t="str">
        <f t="shared" si="2"/>
        <v/>
      </c>
      <c r="G99" s="7">
        <f t="shared" si="3"/>
        <v>0</v>
      </c>
      <c r="K99">
        <v>98</v>
      </c>
      <c r="L99">
        <v>3.3730000000000003E-2</v>
      </c>
      <c r="M99">
        <v>3.3669999999999999E-2</v>
      </c>
    </row>
    <row r="100" spans="1:13" x14ac:dyDescent="0.35">
      <c r="A100" s="3" t="e">
        <v>#N/A</v>
      </c>
      <c r="B100" s="5">
        <v>3.3660000000000002E-2</v>
      </c>
      <c r="D100">
        <v>3.3660000000000002E-2</v>
      </c>
      <c r="F100" s="7" t="str">
        <f t="shared" si="2"/>
        <v/>
      </c>
      <c r="G100" s="7">
        <f t="shared" si="3"/>
        <v>0</v>
      </c>
      <c r="K100">
        <v>99</v>
      </c>
      <c r="L100">
        <v>3.372E-2</v>
      </c>
      <c r="M100">
        <v>3.3660000000000002E-2</v>
      </c>
    </row>
    <row r="101" spans="1:13" x14ac:dyDescent="0.35">
      <c r="A101" s="3" t="e">
        <v>#N/A</v>
      </c>
      <c r="B101" s="5">
        <v>3.3660000000000002E-2</v>
      </c>
      <c r="D101">
        <v>3.3660000000000002E-2</v>
      </c>
      <c r="F101" s="7" t="str">
        <f t="shared" si="2"/>
        <v/>
      </c>
      <c r="G101" s="7">
        <f t="shared" si="3"/>
        <v>0</v>
      </c>
      <c r="K101">
        <v>100</v>
      </c>
      <c r="L101">
        <v>3.3709999999999997E-2</v>
      </c>
      <c r="M101">
        <v>3.3660000000000002E-2</v>
      </c>
    </row>
    <row r="102" spans="1:13" x14ac:dyDescent="0.35">
      <c r="A102" s="3" t="e">
        <v>#N/A</v>
      </c>
      <c r="B102" s="5">
        <v>3.3649999999999999E-2</v>
      </c>
      <c r="D102">
        <v>3.3649999999999999E-2</v>
      </c>
      <c r="F102" s="7" t="str">
        <f t="shared" si="2"/>
        <v/>
      </c>
      <c r="G102" s="7">
        <f t="shared" si="3"/>
        <v>0</v>
      </c>
      <c r="K102">
        <v>101</v>
      </c>
      <c r="L102">
        <v>3.3709999999999997E-2</v>
      </c>
      <c r="M102">
        <v>3.3649999999999999E-2</v>
      </c>
    </row>
    <row r="103" spans="1:13" x14ac:dyDescent="0.35">
      <c r="A103" s="3" t="e">
        <v>#N/A</v>
      </c>
      <c r="B103" s="5">
        <v>3.3640000000000003E-2</v>
      </c>
      <c r="D103">
        <v>3.3640000000000003E-2</v>
      </c>
      <c r="F103" s="7" t="str">
        <f t="shared" si="2"/>
        <v/>
      </c>
      <c r="G103" s="7">
        <f t="shared" si="3"/>
        <v>0</v>
      </c>
      <c r="K103">
        <v>102</v>
      </c>
      <c r="L103">
        <v>3.3700000000000001E-2</v>
      </c>
      <c r="M103">
        <v>3.3640000000000003E-2</v>
      </c>
    </row>
    <row r="104" spans="1:13" x14ac:dyDescent="0.35">
      <c r="A104" s="3" t="e">
        <v>#N/A</v>
      </c>
      <c r="B104" s="5">
        <v>3.3640000000000003E-2</v>
      </c>
      <c r="D104">
        <v>3.3640000000000003E-2</v>
      </c>
      <c r="F104" s="7" t="str">
        <f t="shared" si="2"/>
        <v/>
      </c>
      <c r="G104" s="7">
        <f t="shared" si="3"/>
        <v>0</v>
      </c>
      <c r="K104">
        <v>103</v>
      </c>
      <c r="L104">
        <v>3.3689999999999998E-2</v>
      </c>
      <c r="M104">
        <v>3.3640000000000003E-2</v>
      </c>
    </row>
    <row r="105" spans="1:13" x14ac:dyDescent="0.35">
      <c r="A105" s="3" t="e">
        <v>#N/A</v>
      </c>
      <c r="B105" s="5">
        <v>3.363E-2</v>
      </c>
      <c r="D105">
        <v>3.363E-2</v>
      </c>
      <c r="F105" s="7" t="str">
        <f t="shared" si="2"/>
        <v/>
      </c>
      <c r="G105" s="7">
        <f t="shared" si="3"/>
        <v>0</v>
      </c>
      <c r="K105">
        <v>104</v>
      </c>
      <c r="L105">
        <v>3.3689999999999998E-2</v>
      </c>
      <c r="M105">
        <v>3.363E-2</v>
      </c>
    </row>
    <row r="106" spans="1:13" x14ac:dyDescent="0.35">
      <c r="A106" s="3" t="e">
        <v>#N/A</v>
      </c>
      <c r="B106" s="5">
        <v>3.363E-2</v>
      </c>
      <c r="D106">
        <v>3.363E-2</v>
      </c>
      <c r="F106" s="7" t="str">
        <f t="shared" si="2"/>
        <v/>
      </c>
      <c r="G106" s="7">
        <f t="shared" si="3"/>
        <v>0</v>
      </c>
      <c r="K106">
        <v>105</v>
      </c>
      <c r="L106">
        <v>3.3680000000000002E-2</v>
      </c>
      <c r="M106">
        <v>3.363E-2</v>
      </c>
    </row>
    <row r="107" spans="1:13" x14ac:dyDescent="0.35">
      <c r="A107" s="3" t="e">
        <v>#N/A</v>
      </c>
      <c r="B107" s="5">
        <v>3.3619999999999997E-2</v>
      </c>
      <c r="D107">
        <v>3.3619999999999997E-2</v>
      </c>
      <c r="F107" s="7" t="str">
        <f t="shared" si="2"/>
        <v/>
      </c>
      <c r="G107" s="7">
        <f t="shared" si="3"/>
        <v>0</v>
      </c>
      <c r="K107">
        <v>106</v>
      </c>
      <c r="L107">
        <v>3.3669999999999999E-2</v>
      </c>
      <c r="M107">
        <v>3.3619999999999997E-2</v>
      </c>
    </row>
    <row r="108" spans="1:13" x14ac:dyDescent="0.35">
      <c r="A108" s="3" t="e">
        <v>#N/A</v>
      </c>
      <c r="B108" s="5">
        <v>3.3610000000000001E-2</v>
      </c>
      <c r="D108">
        <v>3.3610000000000001E-2</v>
      </c>
      <c r="F108" s="7" t="str">
        <f t="shared" si="2"/>
        <v/>
      </c>
      <c r="G108" s="7">
        <f t="shared" si="3"/>
        <v>0</v>
      </c>
      <c r="K108">
        <v>107</v>
      </c>
      <c r="L108">
        <v>3.3669999999999999E-2</v>
      </c>
      <c r="M108">
        <v>3.3610000000000001E-2</v>
      </c>
    </row>
    <row r="109" spans="1:13" x14ac:dyDescent="0.35">
      <c r="A109" s="3" t="e">
        <v>#N/A</v>
      </c>
      <c r="B109" s="5">
        <v>3.3610000000000001E-2</v>
      </c>
      <c r="D109">
        <v>3.3610000000000001E-2</v>
      </c>
      <c r="F109" s="7" t="str">
        <f t="shared" si="2"/>
        <v/>
      </c>
      <c r="G109" s="7">
        <f t="shared" si="3"/>
        <v>0</v>
      </c>
      <c r="K109">
        <v>108</v>
      </c>
      <c r="L109">
        <v>3.3660000000000002E-2</v>
      </c>
      <c r="M109">
        <v>3.3610000000000001E-2</v>
      </c>
    </row>
    <row r="110" spans="1:13" x14ac:dyDescent="0.35">
      <c r="A110" s="3" t="e">
        <v>#N/A</v>
      </c>
      <c r="B110" s="5">
        <v>3.3599999999999998E-2</v>
      </c>
      <c r="D110">
        <v>3.3599999999999998E-2</v>
      </c>
      <c r="F110" s="7" t="str">
        <f t="shared" si="2"/>
        <v/>
      </c>
      <c r="G110" s="7">
        <f t="shared" si="3"/>
        <v>0</v>
      </c>
      <c r="K110">
        <v>109</v>
      </c>
      <c r="L110">
        <v>3.3660000000000002E-2</v>
      </c>
      <c r="M110">
        <v>3.3599999999999998E-2</v>
      </c>
    </row>
    <row r="111" spans="1:13" x14ac:dyDescent="0.35">
      <c r="A111" s="3" t="e">
        <v>#N/A</v>
      </c>
      <c r="B111" s="5">
        <v>3.3599999999999998E-2</v>
      </c>
      <c r="D111">
        <v>3.3599999999999998E-2</v>
      </c>
      <c r="F111" s="7" t="str">
        <f t="shared" si="2"/>
        <v/>
      </c>
      <c r="G111" s="7">
        <f t="shared" si="3"/>
        <v>0</v>
      </c>
      <c r="K111">
        <v>110</v>
      </c>
      <c r="L111">
        <v>3.3649999999999999E-2</v>
      </c>
      <c r="M111">
        <v>3.3599999999999998E-2</v>
      </c>
    </row>
    <row r="112" spans="1:13" x14ac:dyDescent="0.35">
      <c r="A112" s="3" t="e">
        <v>#N/A</v>
      </c>
      <c r="B112" s="5">
        <v>3.3590000000000002E-2</v>
      </c>
      <c r="D112">
        <v>3.3590000000000002E-2</v>
      </c>
      <c r="F112" s="7" t="str">
        <f t="shared" si="2"/>
        <v/>
      </c>
      <c r="G112" s="7">
        <f t="shared" si="3"/>
        <v>0</v>
      </c>
      <c r="K112">
        <v>111</v>
      </c>
      <c r="L112">
        <v>3.3640000000000003E-2</v>
      </c>
      <c r="M112">
        <v>3.3590000000000002E-2</v>
      </c>
    </row>
    <row r="113" spans="1:13" x14ac:dyDescent="0.35">
      <c r="A113" s="3" t="e">
        <v>#N/A</v>
      </c>
      <c r="B113" s="5">
        <v>3.3590000000000002E-2</v>
      </c>
      <c r="D113">
        <v>3.3590000000000002E-2</v>
      </c>
      <c r="F113" s="7" t="str">
        <f t="shared" si="2"/>
        <v/>
      </c>
      <c r="G113" s="7">
        <f t="shared" si="3"/>
        <v>0</v>
      </c>
      <c r="K113">
        <v>112</v>
      </c>
      <c r="L113">
        <v>3.3640000000000003E-2</v>
      </c>
      <c r="M113">
        <v>3.3590000000000002E-2</v>
      </c>
    </row>
    <row r="114" spans="1:13" x14ac:dyDescent="0.35">
      <c r="A114" s="3" t="e">
        <v>#N/A</v>
      </c>
      <c r="B114" s="5">
        <v>3.3579999999999999E-2</v>
      </c>
      <c r="D114">
        <v>3.3579999999999999E-2</v>
      </c>
      <c r="F114" s="7" t="str">
        <f t="shared" si="2"/>
        <v/>
      </c>
      <c r="G114" s="7">
        <f t="shared" si="3"/>
        <v>0</v>
      </c>
      <c r="K114">
        <v>113</v>
      </c>
      <c r="L114">
        <v>3.363E-2</v>
      </c>
      <c r="M114">
        <v>3.3579999999999999E-2</v>
      </c>
    </row>
    <row r="115" spans="1:13" x14ac:dyDescent="0.35">
      <c r="A115" s="3" t="e">
        <v>#N/A</v>
      </c>
      <c r="B115" s="5">
        <v>3.3579999999999999E-2</v>
      </c>
      <c r="D115">
        <v>3.3579999999999999E-2</v>
      </c>
      <c r="F115" s="7" t="str">
        <f t="shared" si="2"/>
        <v/>
      </c>
      <c r="G115" s="7">
        <f t="shared" si="3"/>
        <v>0</v>
      </c>
      <c r="K115">
        <v>114</v>
      </c>
      <c r="L115">
        <v>3.363E-2</v>
      </c>
      <c r="M115">
        <v>3.3579999999999999E-2</v>
      </c>
    </row>
    <row r="116" spans="1:13" x14ac:dyDescent="0.35">
      <c r="A116" s="3" t="e">
        <v>#N/A</v>
      </c>
      <c r="B116" s="5">
        <v>3.3570000000000003E-2</v>
      </c>
      <c r="D116">
        <v>3.3570000000000003E-2</v>
      </c>
      <c r="F116" s="7" t="str">
        <f t="shared" si="2"/>
        <v/>
      </c>
      <c r="G116" s="7">
        <f t="shared" si="3"/>
        <v>0</v>
      </c>
      <c r="K116">
        <v>115</v>
      </c>
      <c r="L116">
        <v>3.3619999999999997E-2</v>
      </c>
      <c r="M116">
        <v>3.3570000000000003E-2</v>
      </c>
    </row>
    <row r="117" spans="1:13" x14ac:dyDescent="0.35">
      <c r="A117" s="3" t="e">
        <v>#N/A</v>
      </c>
      <c r="B117" s="5">
        <v>3.3570000000000003E-2</v>
      </c>
      <c r="D117">
        <v>3.3570000000000003E-2</v>
      </c>
      <c r="F117" s="7" t="str">
        <f t="shared" si="2"/>
        <v/>
      </c>
      <c r="G117" s="7">
        <f t="shared" si="3"/>
        <v>0</v>
      </c>
      <c r="K117">
        <v>116</v>
      </c>
      <c r="L117">
        <v>3.3619999999999997E-2</v>
      </c>
      <c r="M117">
        <v>3.3570000000000003E-2</v>
      </c>
    </row>
    <row r="118" spans="1:13" x14ac:dyDescent="0.35">
      <c r="A118" s="3" t="e">
        <v>#N/A</v>
      </c>
      <c r="B118" s="5">
        <v>3.356E-2</v>
      </c>
      <c r="D118">
        <v>3.356E-2</v>
      </c>
      <c r="F118" s="7" t="str">
        <f t="shared" si="2"/>
        <v/>
      </c>
      <c r="G118" s="7">
        <f t="shared" si="3"/>
        <v>0</v>
      </c>
      <c r="K118">
        <v>117</v>
      </c>
      <c r="L118">
        <v>3.3610000000000001E-2</v>
      </c>
      <c r="M118">
        <v>3.356E-2</v>
      </c>
    </row>
    <row r="119" spans="1:13" x14ac:dyDescent="0.35">
      <c r="A119" s="3" t="e">
        <v>#N/A</v>
      </c>
      <c r="B119" s="5">
        <v>3.356E-2</v>
      </c>
      <c r="D119">
        <v>3.356E-2</v>
      </c>
      <c r="F119" s="7" t="str">
        <f t="shared" si="2"/>
        <v/>
      </c>
      <c r="G119" s="7">
        <f t="shared" si="3"/>
        <v>0</v>
      </c>
      <c r="K119">
        <v>118</v>
      </c>
      <c r="L119">
        <v>3.3610000000000001E-2</v>
      </c>
      <c r="M119">
        <v>3.356E-2</v>
      </c>
    </row>
    <row r="120" spans="1:13" x14ac:dyDescent="0.35">
      <c r="A120" s="3" t="e">
        <v>#N/A</v>
      </c>
      <c r="B120" s="5">
        <v>3.3550000000000003E-2</v>
      </c>
      <c r="D120">
        <v>3.3550000000000003E-2</v>
      </c>
      <c r="F120" s="7" t="str">
        <f t="shared" si="2"/>
        <v/>
      </c>
      <c r="G120" s="7">
        <f t="shared" si="3"/>
        <v>0</v>
      </c>
      <c r="K120">
        <v>119</v>
      </c>
      <c r="L120">
        <v>3.3599999999999998E-2</v>
      </c>
      <c r="M120">
        <v>3.3550000000000003E-2</v>
      </c>
    </row>
    <row r="121" spans="1:13" x14ac:dyDescent="0.35">
      <c r="A121" s="3" t="e">
        <v>#N/A</v>
      </c>
      <c r="B121" s="5">
        <v>3.3550000000000003E-2</v>
      </c>
      <c r="D121">
        <v>3.3550000000000003E-2</v>
      </c>
      <c r="F121" s="7" t="str">
        <f t="shared" si="2"/>
        <v/>
      </c>
      <c r="G121" s="7">
        <f t="shared" si="3"/>
        <v>0</v>
      </c>
      <c r="K121">
        <v>120</v>
      </c>
      <c r="L121">
        <v>3.3599999999999998E-2</v>
      </c>
      <c r="M121">
        <v>3.3550000000000003E-2</v>
      </c>
    </row>
    <row r="122" spans="1:13" x14ac:dyDescent="0.35">
      <c r="A122" s="3" t="e">
        <v>#N/A</v>
      </c>
      <c r="B122" s="5">
        <v>3.354E-2</v>
      </c>
      <c r="D122">
        <v>3.354E-2</v>
      </c>
      <c r="F122" s="7" t="str">
        <f t="shared" si="2"/>
        <v/>
      </c>
      <c r="G122" s="7">
        <f t="shared" si="3"/>
        <v>0</v>
      </c>
      <c r="K122">
        <v>121</v>
      </c>
      <c r="L122">
        <v>3.3590000000000002E-2</v>
      </c>
      <c r="M122">
        <v>3.354E-2</v>
      </c>
    </row>
    <row r="123" spans="1:13" x14ac:dyDescent="0.35">
      <c r="A123" s="3" t="e">
        <v>#N/A</v>
      </c>
      <c r="B123" s="5">
        <v>3.354E-2</v>
      </c>
      <c r="D123">
        <v>3.354E-2</v>
      </c>
      <c r="F123" s="7" t="str">
        <f t="shared" si="2"/>
        <v/>
      </c>
      <c r="G123" s="7">
        <f t="shared" si="3"/>
        <v>0</v>
      </c>
      <c r="K123">
        <v>122</v>
      </c>
      <c r="L123">
        <v>3.3590000000000002E-2</v>
      </c>
      <c r="M123">
        <v>3.354E-2</v>
      </c>
    </row>
    <row r="124" spans="1:13" x14ac:dyDescent="0.35">
      <c r="A124" s="3" t="e">
        <v>#N/A</v>
      </c>
      <c r="B124" s="5">
        <v>3.3529999999999997E-2</v>
      </c>
      <c r="D124">
        <v>3.3529999999999997E-2</v>
      </c>
      <c r="F124" s="7" t="str">
        <f t="shared" si="2"/>
        <v/>
      </c>
      <c r="G124" s="7">
        <f t="shared" si="3"/>
        <v>0</v>
      </c>
      <c r="K124">
        <v>123</v>
      </c>
      <c r="L124">
        <v>3.3579999999999999E-2</v>
      </c>
      <c r="M124">
        <v>3.3529999999999997E-2</v>
      </c>
    </row>
    <row r="125" spans="1:13" x14ac:dyDescent="0.35">
      <c r="A125" s="3" t="e">
        <v>#N/A</v>
      </c>
      <c r="B125" s="5">
        <v>3.3529999999999997E-2</v>
      </c>
      <c r="D125">
        <v>3.3529999999999997E-2</v>
      </c>
      <c r="F125" s="7" t="str">
        <f t="shared" si="2"/>
        <v/>
      </c>
      <c r="G125" s="7">
        <f t="shared" si="3"/>
        <v>0</v>
      </c>
      <c r="K125">
        <v>124</v>
      </c>
      <c r="L125">
        <v>3.3579999999999999E-2</v>
      </c>
      <c r="M125">
        <v>3.3529999999999997E-2</v>
      </c>
    </row>
    <row r="126" spans="1:13" x14ac:dyDescent="0.35">
      <c r="A126" s="3" t="e">
        <v>#N/A</v>
      </c>
      <c r="B126" s="5">
        <v>3.3529999999999997E-2</v>
      </c>
      <c r="D126">
        <v>3.3529999999999997E-2</v>
      </c>
      <c r="F126" s="7" t="str">
        <f t="shared" si="2"/>
        <v/>
      </c>
      <c r="G126" s="7">
        <f t="shared" si="3"/>
        <v>0</v>
      </c>
      <c r="K126">
        <v>125</v>
      </c>
      <c r="L126">
        <v>3.3570000000000003E-2</v>
      </c>
      <c r="M126">
        <v>3.3529999999999997E-2</v>
      </c>
    </row>
    <row r="127" spans="1:13" x14ac:dyDescent="0.35">
      <c r="A127" s="3" t="e">
        <v>#N/A</v>
      </c>
      <c r="B127" s="5">
        <v>3.3520000000000001E-2</v>
      </c>
      <c r="D127">
        <v>3.3520000000000001E-2</v>
      </c>
      <c r="F127" s="7" t="str">
        <f t="shared" si="2"/>
        <v/>
      </c>
      <c r="G127" s="7">
        <f t="shared" si="3"/>
        <v>0</v>
      </c>
      <c r="K127">
        <v>126</v>
      </c>
      <c r="L127">
        <v>3.3570000000000003E-2</v>
      </c>
      <c r="M127">
        <v>3.3520000000000001E-2</v>
      </c>
    </row>
    <row r="128" spans="1:13" x14ac:dyDescent="0.35">
      <c r="A128" s="3" t="e">
        <v>#N/A</v>
      </c>
      <c r="B128" s="5">
        <v>3.3520000000000001E-2</v>
      </c>
      <c r="D128">
        <v>3.3520000000000001E-2</v>
      </c>
      <c r="F128" s="7" t="str">
        <f t="shared" si="2"/>
        <v/>
      </c>
      <c r="G128" s="7">
        <f t="shared" si="3"/>
        <v>0</v>
      </c>
      <c r="K128">
        <v>127</v>
      </c>
      <c r="L128">
        <v>3.356E-2</v>
      </c>
      <c r="M128">
        <v>3.3520000000000001E-2</v>
      </c>
    </row>
    <row r="129" spans="1:13" x14ac:dyDescent="0.35">
      <c r="A129" s="3" t="e">
        <v>#N/A</v>
      </c>
      <c r="B129" s="5">
        <v>3.3509999999999998E-2</v>
      </c>
      <c r="D129">
        <v>3.3509999999999998E-2</v>
      </c>
      <c r="F129" s="7" t="str">
        <f t="shared" si="2"/>
        <v/>
      </c>
      <c r="G129" s="7">
        <f t="shared" si="3"/>
        <v>0</v>
      </c>
      <c r="K129">
        <v>128</v>
      </c>
      <c r="L129">
        <v>3.356E-2</v>
      </c>
      <c r="M129">
        <v>3.3509999999999998E-2</v>
      </c>
    </row>
    <row r="130" spans="1:13" x14ac:dyDescent="0.35">
      <c r="A130" s="3" t="e">
        <v>#N/A</v>
      </c>
      <c r="B130" s="5">
        <v>3.3509999999999998E-2</v>
      </c>
      <c r="D130">
        <v>3.3509999999999998E-2</v>
      </c>
      <c r="F130" s="7" t="str">
        <f t="shared" si="2"/>
        <v/>
      </c>
      <c r="G130" s="7">
        <f t="shared" si="3"/>
        <v>0</v>
      </c>
      <c r="K130">
        <v>129</v>
      </c>
      <c r="L130">
        <v>3.3550000000000003E-2</v>
      </c>
      <c r="M130">
        <v>3.3509999999999998E-2</v>
      </c>
    </row>
    <row r="131" spans="1:13" x14ac:dyDescent="0.35">
      <c r="A131" s="3" t="e">
        <v>#N/A</v>
      </c>
      <c r="B131" s="5">
        <v>3.3500000000000002E-2</v>
      </c>
      <c r="D131">
        <v>3.3500000000000002E-2</v>
      </c>
      <c r="F131" s="7" t="str">
        <f t="shared" ref="F131:F151" si="4">IF(C131&lt;&gt;"",A131-C131,"")</f>
        <v/>
      </c>
      <c r="G131" s="7">
        <f t="shared" ref="G131:G151" si="5">B131-D131</f>
        <v>0</v>
      </c>
      <c r="K131">
        <v>130</v>
      </c>
      <c r="L131">
        <v>3.3550000000000003E-2</v>
      </c>
      <c r="M131">
        <v>3.3500000000000002E-2</v>
      </c>
    </row>
    <row r="132" spans="1:13" x14ac:dyDescent="0.35">
      <c r="A132" s="3" t="e">
        <v>#N/A</v>
      </c>
      <c r="B132" s="5">
        <v>3.3500000000000002E-2</v>
      </c>
      <c r="D132">
        <v>3.3500000000000002E-2</v>
      </c>
      <c r="F132" s="7" t="str">
        <f t="shared" si="4"/>
        <v/>
      </c>
      <c r="G132" s="7">
        <f t="shared" si="5"/>
        <v>0</v>
      </c>
      <c r="K132">
        <v>131</v>
      </c>
      <c r="L132">
        <v>3.3550000000000003E-2</v>
      </c>
      <c r="M132">
        <v>3.3500000000000002E-2</v>
      </c>
    </row>
    <row r="133" spans="1:13" x14ac:dyDescent="0.35">
      <c r="A133" s="3" t="e">
        <v>#N/A</v>
      </c>
      <c r="B133" s="5">
        <v>3.3500000000000002E-2</v>
      </c>
      <c r="D133">
        <v>3.3500000000000002E-2</v>
      </c>
      <c r="F133" s="7" t="str">
        <f t="shared" si="4"/>
        <v/>
      </c>
      <c r="G133" s="7">
        <f t="shared" si="5"/>
        <v>0</v>
      </c>
      <c r="K133">
        <v>132</v>
      </c>
      <c r="L133">
        <v>3.354E-2</v>
      </c>
      <c r="M133">
        <v>3.3500000000000002E-2</v>
      </c>
    </row>
    <row r="134" spans="1:13" x14ac:dyDescent="0.35">
      <c r="A134" s="3" t="e">
        <v>#N/A</v>
      </c>
      <c r="B134" s="5">
        <v>3.3489999999999999E-2</v>
      </c>
      <c r="D134">
        <v>3.3489999999999999E-2</v>
      </c>
      <c r="F134" s="7" t="str">
        <f t="shared" si="4"/>
        <v/>
      </c>
      <c r="G134" s="7">
        <f t="shared" si="5"/>
        <v>0</v>
      </c>
      <c r="K134">
        <v>133</v>
      </c>
      <c r="L134">
        <v>3.354E-2</v>
      </c>
      <c r="M134">
        <v>3.3489999999999999E-2</v>
      </c>
    </row>
    <row r="135" spans="1:13" x14ac:dyDescent="0.35">
      <c r="A135" s="3" t="e">
        <v>#N/A</v>
      </c>
      <c r="B135" s="5">
        <v>3.3489999999999999E-2</v>
      </c>
      <c r="D135">
        <v>3.3489999999999999E-2</v>
      </c>
      <c r="F135" s="7" t="str">
        <f t="shared" si="4"/>
        <v/>
      </c>
      <c r="G135" s="7">
        <f t="shared" si="5"/>
        <v>0</v>
      </c>
      <c r="K135">
        <v>134</v>
      </c>
      <c r="L135">
        <v>3.3529999999999997E-2</v>
      </c>
      <c r="M135">
        <v>3.3489999999999999E-2</v>
      </c>
    </row>
    <row r="136" spans="1:13" x14ac:dyDescent="0.35">
      <c r="A136" s="3" t="e">
        <v>#N/A</v>
      </c>
      <c r="B136" s="5">
        <v>3.3489999999999999E-2</v>
      </c>
      <c r="D136">
        <v>3.3489999999999999E-2</v>
      </c>
      <c r="F136" s="7" t="str">
        <f t="shared" si="4"/>
        <v/>
      </c>
      <c r="G136" s="7">
        <f t="shared" si="5"/>
        <v>0</v>
      </c>
      <c r="K136">
        <v>135</v>
      </c>
      <c r="L136">
        <v>3.3529999999999997E-2</v>
      </c>
      <c r="M136">
        <v>3.3489999999999999E-2</v>
      </c>
    </row>
    <row r="137" spans="1:13" x14ac:dyDescent="0.35">
      <c r="A137" s="3" t="e">
        <v>#N/A</v>
      </c>
      <c r="B137" s="5">
        <v>3.3480000000000003E-2</v>
      </c>
      <c r="D137">
        <v>3.3480000000000003E-2</v>
      </c>
      <c r="F137" s="7" t="str">
        <f t="shared" si="4"/>
        <v/>
      </c>
      <c r="G137" s="7">
        <f t="shared" si="5"/>
        <v>0</v>
      </c>
      <c r="K137">
        <v>136</v>
      </c>
      <c r="L137">
        <v>3.3529999999999997E-2</v>
      </c>
      <c r="M137">
        <v>3.3480000000000003E-2</v>
      </c>
    </row>
    <row r="138" spans="1:13" x14ac:dyDescent="0.35">
      <c r="A138" s="3" t="e">
        <v>#N/A</v>
      </c>
      <c r="B138" s="5">
        <v>3.3480000000000003E-2</v>
      </c>
      <c r="D138">
        <v>3.3480000000000003E-2</v>
      </c>
      <c r="F138" s="7" t="str">
        <f t="shared" si="4"/>
        <v/>
      </c>
      <c r="G138" s="7">
        <f t="shared" si="5"/>
        <v>0</v>
      </c>
      <c r="K138">
        <v>137</v>
      </c>
      <c r="L138">
        <v>3.3520000000000001E-2</v>
      </c>
      <c r="M138">
        <v>3.3480000000000003E-2</v>
      </c>
    </row>
    <row r="139" spans="1:13" x14ac:dyDescent="0.35">
      <c r="A139" s="3" t="e">
        <v>#N/A</v>
      </c>
      <c r="B139" s="5">
        <v>3.3480000000000003E-2</v>
      </c>
      <c r="D139">
        <v>3.3480000000000003E-2</v>
      </c>
      <c r="F139" s="7" t="str">
        <f t="shared" si="4"/>
        <v/>
      </c>
      <c r="G139" s="7">
        <f t="shared" si="5"/>
        <v>0</v>
      </c>
      <c r="K139">
        <v>138</v>
      </c>
      <c r="L139">
        <v>3.3520000000000001E-2</v>
      </c>
      <c r="M139">
        <v>3.3480000000000003E-2</v>
      </c>
    </row>
    <row r="140" spans="1:13" x14ac:dyDescent="0.35">
      <c r="A140" s="3" t="e">
        <v>#N/A</v>
      </c>
      <c r="B140" s="5">
        <v>3.347E-2</v>
      </c>
      <c r="D140">
        <v>3.347E-2</v>
      </c>
      <c r="F140" s="7" t="str">
        <f t="shared" si="4"/>
        <v/>
      </c>
      <c r="G140" s="7">
        <f t="shared" si="5"/>
        <v>0</v>
      </c>
      <c r="K140">
        <v>139</v>
      </c>
      <c r="L140">
        <v>3.3520000000000001E-2</v>
      </c>
      <c r="M140">
        <v>3.347E-2</v>
      </c>
    </row>
    <row r="141" spans="1:13" x14ac:dyDescent="0.35">
      <c r="A141" s="3" t="e">
        <v>#N/A</v>
      </c>
      <c r="B141" s="5">
        <v>3.347E-2</v>
      </c>
      <c r="D141">
        <v>3.347E-2</v>
      </c>
      <c r="F141" s="7" t="str">
        <f t="shared" si="4"/>
        <v/>
      </c>
      <c r="G141" s="7">
        <f t="shared" si="5"/>
        <v>0</v>
      </c>
      <c r="K141">
        <v>140</v>
      </c>
      <c r="L141">
        <v>3.3509999999999998E-2</v>
      </c>
      <c r="M141">
        <v>3.347E-2</v>
      </c>
    </row>
    <row r="142" spans="1:13" x14ac:dyDescent="0.35">
      <c r="A142" s="3" t="e">
        <v>#N/A</v>
      </c>
      <c r="B142" s="5">
        <v>3.347E-2</v>
      </c>
      <c r="D142">
        <v>3.347E-2</v>
      </c>
      <c r="F142" s="7" t="str">
        <f t="shared" si="4"/>
        <v/>
      </c>
      <c r="G142" s="7">
        <f t="shared" si="5"/>
        <v>0</v>
      </c>
      <c r="K142">
        <v>141</v>
      </c>
      <c r="L142">
        <v>3.3509999999999998E-2</v>
      </c>
      <c r="M142">
        <v>3.347E-2</v>
      </c>
    </row>
    <row r="143" spans="1:13" x14ac:dyDescent="0.35">
      <c r="A143" s="3" t="e">
        <v>#N/A</v>
      </c>
      <c r="B143" s="5">
        <v>3.3459999999999997E-2</v>
      </c>
      <c r="D143">
        <v>3.3459999999999997E-2</v>
      </c>
      <c r="F143" s="7" t="str">
        <f t="shared" si="4"/>
        <v/>
      </c>
      <c r="G143" s="7">
        <f t="shared" si="5"/>
        <v>0</v>
      </c>
      <c r="K143">
        <v>142</v>
      </c>
      <c r="L143">
        <v>3.3500000000000002E-2</v>
      </c>
      <c r="M143">
        <v>3.3459999999999997E-2</v>
      </c>
    </row>
    <row r="144" spans="1:13" x14ac:dyDescent="0.35">
      <c r="A144" s="3" t="e">
        <v>#N/A</v>
      </c>
      <c r="B144" s="5">
        <v>3.3459999999999997E-2</v>
      </c>
      <c r="D144">
        <v>3.3459999999999997E-2</v>
      </c>
      <c r="F144" s="7" t="str">
        <f t="shared" si="4"/>
        <v/>
      </c>
      <c r="G144" s="7">
        <f t="shared" si="5"/>
        <v>0</v>
      </c>
      <c r="K144">
        <v>143</v>
      </c>
      <c r="L144">
        <v>3.3500000000000002E-2</v>
      </c>
      <c r="M144">
        <v>3.3459999999999997E-2</v>
      </c>
    </row>
    <row r="145" spans="1:13" x14ac:dyDescent="0.35">
      <c r="A145" s="3" t="e">
        <v>#N/A</v>
      </c>
      <c r="B145" s="5">
        <v>3.3459999999999997E-2</v>
      </c>
      <c r="D145">
        <v>3.3459999999999997E-2</v>
      </c>
      <c r="F145" s="7" t="str">
        <f t="shared" si="4"/>
        <v/>
      </c>
      <c r="G145" s="7">
        <f t="shared" si="5"/>
        <v>0</v>
      </c>
      <c r="K145">
        <v>144</v>
      </c>
      <c r="L145">
        <v>3.3500000000000002E-2</v>
      </c>
      <c r="M145">
        <v>3.3459999999999997E-2</v>
      </c>
    </row>
    <row r="146" spans="1:13" x14ac:dyDescent="0.35">
      <c r="A146" s="3" t="e">
        <v>#N/A</v>
      </c>
      <c r="B146" s="5">
        <v>3.3450000000000001E-2</v>
      </c>
      <c r="D146">
        <v>3.3450000000000001E-2</v>
      </c>
      <c r="F146" s="7" t="str">
        <f t="shared" si="4"/>
        <v/>
      </c>
      <c r="G146" s="7">
        <f t="shared" si="5"/>
        <v>0</v>
      </c>
      <c r="K146">
        <v>145</v>
      </c>
      <c r="L146">
        <v>3.3489999999999999E-2</v>
      </c>
      <c r="M146">
        <v>3.3450000000000001E-2</v>
      </c>
    </row>
    <row r="147" spans="1:13" x14ac:dyDescent="0.35">
      <c r="A147" s="3" t="e">
        <v>#N/A</v>
      </c>
      <c r="B147" s="5">
        <v>3.3450000000000001E-2</v>
      </c>
      <c r="D147">
        <v>3.3450000000000001E-2</v>
      </c>
      <c r="F147" s="7" t="str">
        <f t="shared" si="4"/>
        <v/>
      </c>
      <c r="G147" s="7">
        <f t="shared" si="5"/>
        <v>0</v>
      </c>
      <c r="K147">
        <v>146</v>
      </c>
      <c r="L147">
        <v>3.3489999999999999E-2</v>
      </c>
      <c r="M147">
        <v>3.3450000000000001E-2</v>
      </c>
    </row>
    <row r="148" spans="1:13" x14ac:dyDescent="0.35">
      <c r="A148" s="3" t="e">
        <v>#N/A</v>
      </c>
      <c r="B148" s="5">
        <v>3.3450000000000001E-2</v>
      </c>
      <c r="D148">
        <v>3.3450000000000001E-2</v>
      </c>
      <c r="F148" s="7" t="str">
        <f t="shared" si="4"/>
        <v/>
      </c>
      <c r="G148" s="7">
        <f t="shared" si="5"/>
        <v>0</v>
      </c>
      <c r="K148">
        <v>147</v>
      </c>
      <c r="L148">
        <v>3.3489999999999999E-2</v>
      </c>
      <c r="M148">
        <v>3.3450000000000001E-2</v>
      </c>
    </row>
    <row r="149" spans="1:13" x14ac:dyDescent="0.35">
      <c r="A149" s="3" t="e">
        <v>#N/A</v>
      </c>
      <c r="B149" s="5">
        <v>3.3439999999999998E-2</v>
      </c>
      <c r="D149">
        <v>3.3439999999999998E-2</v>
      </c>
      <c r="F149" s="7" t="str">
        <f t="shared" si="4"/>
        <v/>
      </c>
      <c r="G149" s="7">
        <f t="shared" si="5"/>
        <v>0</v>
      </c>
      <c r="K149">
        <v>148</v>
      </c>
      <c r="L149">
        <v>3.3480000000000003E-2</v>
      </c>
      <c r="M149">
        <v>3.3439999999999998E-2</v>
      </c>
    </row>
    <row r="150" spans="1:13" x14ac:dyDescent="0.35">
      <c r="A150" s="3" t="e">
        <v>#N/A</v>
      </c>
      <c r="B150" s="5">
        <v>3.3439999999999998E-2</v>
      </c>
      <c r="D150">
        <v>3.3439999999999998E-2</v>
      </c>
      <c r="F150" s="7" t="str">
        <f t="shared" si="4"/>
        <v/>
      </c>
      <c r="G150" s="7">
        <f t="shared" si="5"/>
        <v>0</v>
      </c>
      <c r="K150">
        <v>149</v>
      </c>
      <c r="L150">
        <v>3.3480000000000003E-2</v>
      </c>
      <c r="M150">
        <v>3.3439999999999998E-2</v>
      </c>
    </row>
    <row r="151" spans="1:13" x14ac:dyDescent="0.35">
      <c r="A151" s="3" t="e">
        <v>#N/A</v>
      </c>
      <c r="B151" s="6">
        <v>3.3439999999999998E-2</v>
      </c>
      <c r="D151">
        <v>3.3439999999999998E-2</v>
      </c>
      <c r="F151" s="7" t="str">
        <f t="shared" si="4"/>
        <v/>
      </c>
      <c r="G151" s="7">
        <f t="shared" si="5"/>
        <v>0</v>
      </c>
      <c r="K151">
        <v>150</v>
      </c>
      <c r="L151">
        <v>3.3480000000000003E-2</v>
      </c>
      <c r="M151">
        <v>3.3439999999999998E-2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567C9-2EE9-4C63-9B06-3019B467124F}">
  <dimension ref="A1:M151"/>
  <sheetViews>
    <sheetView topLeftCell="H1" workbookViewId="0">
      <selection activeCell="AA1" sqref="AA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</cols>
  <sheetData>
    <row r="1" spans="1:13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1.8665624601510444E-15</v>
      </c>
      <c r="G1" s="7">
        <f>SUM(G2:G151)</f>
        <v>0</v>
      </c>
      <c r="K1" t="s">
        <v>3</v>
      </c>
      <c r="L1" t="s">
        <v>4</v>
      </c>
      <c r="M1" t="s">
        <v>5</v>
      </c>
    </row>
    <row r="2" spans="1:13" x14ac:dyDescent="0.35">
      <c r="A2" s="2">
        <v>4.3576597116544574E-2</v>
      </c>
      <c r="B2" s="4">
        <v>4.4540000000000003E-2</v>
      </c>
      <c r="C2">
        <v>4.3576597116544498E-2</v>
      </c>
      <c r="D2">
        <v>4.4540000000000003E-2</v>
      </c>
      <c r="F2" s="7">
        <f>IF(C2&lt;&gt;"",A2-C2,"")</f>
        <v>7.6327832942979512E-17</v>
      </c>
      <c r="G2" s="7">
        <f>B2-D2</f>
        <v>0</v>
      </c>
      <c r="K2">
        <v>1</v>
      </c>
      <c r="L2">
        <v>4.4540000000000003E-2</v>
      </c>
      <c r="M2">
        <v>4.4540000000000003E-2</v>
      </c>
    </row>
    <row r="3" spans="1:13" x14ac:dyDescent="0.35">
      <c r="A3" s="2">
        <v>4.5785655149133325E-2</v>
      </c>
      <c r="B3" s="5">
        <v>4.6850000000000003E-2</v>
      </c>
      <c r="C3">
        <v>4.5785655149133297E-2</v>
      </c>
      <c r="D3">
        <v>4.6850000000000003E-2</v>
      </c>
      <c r="F3" s="7">
        <f t="shared" ref="F3:F66" si="0">IF(C3&lt;&gt;"",A3-C3,"")</f>
        <v>2.7755575615628914E-17</v>
      </c>
      <c r="G3" s="7">
        <f t="shared" ref="G3:G66" si="1">B3-D3</f>
        <v>0</v>
      </c>
      <c r="K3">
        <v>2</v>
      </c>
      <c r="L3">
        <v>4.6850000000000003E-2</v>
      </c>
      <c r="M3">
        <v>4.6850000000000003E-2</v>
      </c>
    </row>
    <row r="4" spans="1:13" x14ac:dyDescent="0.35">
      <c r="A4" s="2">
        <v>4.6329997582606232E-2</v>
      </c>
      <c r="B4" s="5">
        <v>4.7419999999999997E-2</v>
      </c>
      <c r="C4">
        <v>4.6329997582606197E-2</v>
      </c>
      <c r="D4">
        <v>4.7419999999999997E-2</v>
      </c>
      <c r="F4" s="7">
        <f t="shared" si="0"/>
        <v>3.4694469519536142E-17</v>
      </c>
      <c r="G4" s="7">
        <f t="shared" si="1"/>
        <v>0</v>
      </c>
      <c r="K4">
        <v>3</v>
      </c>
      <c r="L4">
        <v>4.7419999999999997E-2</v>
      </c>
      <c r="M4">
        <v>4.7419999999999997E-2</v>
      </c>
    </row>
    <row r="5" spans="1:13" x14ac:dyDescent="0.35">
      <c r="A5" s="2">
        <v>4.6540015434895422E-2</v>
      </c>
      <c r="B5" s="5">
        <v>4.7640000000000002E-2</v>
      </c>
      <c r="C5">
        <v>4.6540015434895401E-2</v>
      </c>
      <c r="D5">
        <v>4.7640000000000002E-2</v>
      </c>
      <c r="F5" s="7">
        <f t="shared" si="0"/>
        <v>2.0816681711721685E-17</v>
      </c>
      <c r="G5" s="7">
        <f t="shared" si="1"/>
        <v>0</v>
      </c>
      <c r="K5">
        <v>4</v>
      </c>
      <c r="L5">
        <v>4.7640000000000002E-2</v>
      </c>
      <c r="M5">
        <v>4.7640000000000002E-2</v>
      </c>
    </row>
    <row r="6" spans="1:13" x14ac:dyDescent="0.35">
      <c r="A6" s="2">
        <v>4.6769075525993929E-2</v>
      </c>
      <c r="B6" s="5">
        <v>4.7879999999999999E-2</v>
      </c>
      <c r="C6">
        <v>4.6769075525993901E-2</v>
      </c>
      <c r="D6">
        <v>4.7879999999999999E-2</v>
      </c>
      <c r="F6" s="7">
        <f t="shared" si="0"/>
        <v>2.7755575615628914E-17</v>
      </c>
      <c r="G6" s="7">
        <f t="shared" si="1"/>
        <v>0</v>
      </c>
      <c r="K6">
        <v>5</v>
      </c>
      <c r="L6">
        <v>4.7879999999999999E-2</v>
      </c>
      <c r="M6">
        <v>4.7879999999999999E-2</v>
      </c>
    </row>
    <row r="7" spans="1:13" x14ac:dyDescent="0.35">
      <c r="A7" s="2">
        <v>4.7064867176330287E-2</v>
      </c>
      <c r="B7" s="5">
        <v>4.8189999999999997E-2</v>
      </c>
      <c r="C7">
        <v>4.7064867176330197E-2</v>
      </c>
      <c r="D7">
        <v>4.8189999999999997E-2</v>
      </c>
      <c r="F7" s="7">
        <f t="shared" si="0"/>
        <v>9.0205620750793969E-17</v>
      </c>
      <c r="G7" s="7">
        <f t="shared" si="1"/>
        <v>0</v>
      </c>
      <c r="K7">
        <v>6</v>
      </c>
      <c r="L7">
        <v>4.8189999999999997E-2</v>
      </c>
      <c r="M7">
        <v>4.8189999999999997E-2</v>
      </c>
    </row>
    <row r="8" spans="1:13" x14ac:dyDescent="0.35">
      <c r="A8" s="2">
        <v>4.7465477635713342E-2</v>
      </c>
      <c r="B8" s="5">
        <v>4.861E-2</v>
      </c>
      <c r="C8">
        <v>4.74654776357133E-2</v>
      </c>
      <c r="D8">
        <v>4.861E-2</v>
      </c>
      <c r="F8" s="7">
        <f t="shared" si="0"/>
        <v>4.163336342344337E-17</v>
      </c>
      <c r="G8" s="7">
        <f t="shared" si="1"/>
        <v>0</v>
      </c>
      <c r="K8">
        <v>7</v>
      </c>
      <c r="L8">
        <v>4.861E-2</v>
      </c>
      <c r="M8">
        <v>4.861E-2</v>
      </c>
    </row>
    <row r="9" spans="1:13" x14ac:dyDescent="0.35">
      <c r="A9" s="2">
        <v>4.7913589613998789E-2</v>
      </c>
      <c r="B9" s="5">
        <v>4.9079999999999999E-2</v>
      </c>
      <c r="C9">
        <v>4.7913589613998699E-2</v>
      </c>
      <c r="D9">
        <v>4.9079999999999999E-2</v>
      </c>
      <c r="F9" s="7">
        <f t="shared" si="0"/>
        <v>9.0205620750793969E-17</v>
      </c>
      <c r="G9" s="7">
        <f t="shared" si="1"/>
        <v>0</v>
      </c>
      <c r="K9">
        <v>8</v>
      </c>
      <c r="L9">
        <v>4.9079999999999999E-2</v>
      </c>
      <c r="M9">
        <v>4.9079999999999999E-2</v>
      </c>
    </row>
    <row r="10" spans="1:13" x14ac:dyDescent="0.35">
      <c r="A10" s="2">
        <v>4.8399611723276809E-2</v>
      </c>
      <c r="B10" s="5">
        <v>4.9590000000000002E-2</v>
      </c>
      <c r="C10">
        <v>4.8399611723276802E-2</v>
      </c>
      <c r="D10">
        <v>4.9590000000000002E-2</v>
      </c>
      <c r="F10" s="7">
        <f t="shared" si="0"/>
        <v>6.9388939039072284E-18</v>
      </c>
      <c r="G10" s="7">
        <f t="shared" si="1"/>
        <v>0</v>
      </c>
      <c r="K10">
        <v>9</v>
      </c>
      <c r="L10">
        <v>4.9590000000000002E-2</v>
      </c>
      <c r="M10">
        <v>4.9590000000000002E-2</v>
      </c>
    </row>
    <row r="11" spans="1:13" x14ac:dyDescent="0.35">
      <c r="A11" s="2">
        <v>4.890444335360293E-2</v>
      </c>
      <c r="B11" s="5">
        <v>5.0119999999999998E-2</v>
      </c>
      <c r="C11">
        <v>4.8904443353602903E-2</v>
      </c>
      <c r="D11">
        <v>5.0119999999999998E-2</v>
      </c>
      <c r="F11" s="7">
        <f t="shared" si="0"/>
        <v>2.7755575615628914E-17</v>
      </c>
      <c r="G11" s="7">
        <f t="shared" si="1"/>
        <v>0</v>
      </c>
      <c r="K11">
        <v>10</v>
      </c>
      <c r="L11">
        <v>5.0119999999999998E-2</v>
      </c>
      <c r="M11">
        <v>5.0119999999999998E-2</v>
      </c>
    </row>
    <row r="12" spans="1:13" x14ac:dyDescent="0.35">
      <c r="A12" s="2">
        <v>4.9351911121969058E-2</v>
      </c>
      <c r="B12" s="5">
        <v>5.0590000000000003E-2</v>
      </c>
      <c r="C12">
        <v>4.9351911121969003E-2</v>
      </c>
      <c r="D12">
        <v>5.0590000000000003E-2</v>
      </c>
      <c r="F12" s="7">
        <f t="shared" si="0"/>
        <v>5.5511151231257827E-17</v>
      </c>
      <c r="G12" s="7">
        <f t="shared" si="1"/>
        <v>0</v>
      </c>
      <c r="K12">
        <v>11</v>
      </c>
      <c r="L12">
        <v>5.0590000000000003E-2</v>
      </c>
      <c r="M12">
        <v>5.0590000000000003E-2</v>
      </c>
    </row>
    <row r="13" spans="1:13" x14ac:dyDescent="0.35">
      <c r="A13" s="2">
        <v>4.9808692911931303E-2</v>
      </c>
      <c r="B13" s="5">
        <v>5.1069999999999997E-2</v>
      </c>
      <c r="C13">
        <v>4.9808692911931303E-2</v>
      </c>
      <c r="D13">
        <v>5.1069999999999997E-2</v>
      </c>
      <c r="F13" s="7">
        <f t="shared" si="0"/>
        <v>0</v>
      </c>
      <c r="G13" s="7">
        <f t="shared" si="1"/>
        <v>0</v>
      </c>
      <c r="K13">
        <v>12</v>
      </c>
      <c r="L13">
        <v>5.1069999999999997E-2</v>
      </c>
      <c r="M13">
        <v>5.1069999999999997E-2</v>
      </c>
    </row>
    <row r="14" spans="1:13" x14ac:dyDescent="0.35">
      <c r="A14" s="2">
        <v>5.0236736426711517E-2</v>
      </c>
      <c r="B14" s="5">
        <v>5.1520000000000003E-2</v>
      </c>
      <c r="C14">
        <v>5.0236736426711497E-2</v>
      </c>
      <c r="D14">
        <v>5.1520000000000003E-2</v>
      </c>
      <c r="F14" s="7">
        <f t="shared" si="0"/>
        <v>2.0816681711721685E-17</v>
      </c>
      <c r="G14" s="7">
        <f t="shared" si="1"/>
        <v>0</v>
      </c>
      <c r="K14">
        <v>13</v>
      </c>
      <c r="L14">
        <v>5.1520000000000003E-2</v>
      </c>
      <c r="M14">
        <v>5.1520000000000003E-2</v>
      </c>
    </row>
    <row r="15" spans="1:13" x14ac:dyDescent="0.35">
      <c r="A15" s="2">
        <v>5.063607846847288E-2</v>
      </c>
      <c r="B15" s="5">
        <v>5.194E-2</v>
      </c>
      <c r="C15">
        <v>5.0636078468472803E-2</v>
      </c>
      <c r="D15">
        <v>5.194E-2</v>
      </c>
      <c r="F15" s="7">
        <f t="shared" si="0"/>
        <v>7.6327832942979512E-17</v>
      </c>
      <c r="G15" s="7">
        <f t="shared" si="1"/>
        <v>0</v>
      </c>
      <c r="K15">
        <v>14</v>
      </c>
      <c r="L15">
        <v>5.194E-2</v>
      </c>
      <c r="M15">
        <v>5.194E-2</v>
      </c>
    </row>
    <row r="16" spans="1:13" x14ac:dyDescent="0.35">
      <c r="A16" s="2">
        <v>5.1006753338584981E-2</v>
      </c>
      <c r="B16" s="5">
        <v>5.2330000000000002E-2</v>
      </c>
      <c r="C16">
        <v>5.1006753338584898E-2</v>
      </c>
      <c r="D16">
        <v>5.2330000000000002E-2</v>
      </c>
      <c r="F16" s="7">
        <f t="shared" si="0"/>
        <v>8.3266726846886741E-17</v>
      </c>
      <c r="G16" s="7">
        <f t="shared" si="1"/>
        <v>0</v>
      </c>
      <c r="K16">
        <v>15</v>
      </c>
      <c r="L16">
        <v>5.2330000000000002E-2</v>
      </c>
      <c r="M16">
        <v>5.2330000000000002E-2</v>
      </c>
    </row>
    <row r="17" spans="1:13" x14ac:dyDescent="0.35">
      <c r="A17" s="2">
        <v>5.1329793721441738E-2</v>
      </c>
      <c r="B17" s="5">
        <v>5.2670000000000002E-2</v>
      </c>
      <c r="C17">
        <v>5.1329793721441697E-2</v>
      </c>
      <c r="D17">
        <v>5.2670000000000002E-2</v>
      </c>
      <c r="F17" s="7">
        <f t="shared" si="0"/>
        <v>4.163336342344337E-17</v>
      </c>
      <c r="G17" s="7">
        <f t="shared" si="1"/>
        <v>0</v>
      </c>
      <c r="K17">
        <v>16</v>
      </c>
      <c r="L17">
        <v>5.2670000000000002E-2</v>
      </c>
      <c r="M17">
        <v>5.2670000000000002E-2</v>
      </c>
    </row>
    <row r="18" spans="1:13" x14ac:dyDescent="0.35">
      <c r="A18" s="2">
        <v>5.1605245725671843E-2</v>
      </c>
      <c r="B18" s="5">
        <v>5.296E-2</v>
      </c>
      <c r="C18">
        <v>5.1605245725671801E-2</v>
      </c>
      <c r="D18">
        <v>5.296E-2</v>
      </c>
      <c r="F18" s="7">
        <f t="shared" si="0"/>
        <v>4.163336342344337E-17</v>
      </c>
      <c r="G18" s="7">
        <f t="shared" si="1"/>
        <v>0</v>
      </c>
      <c r="K18">
        <v>17</v>
      </c>
      <c r="L18">
        <v>5.296E-2</v>
      </c>
      <c r="M18">
        <v>5.296E-2</v>
      </c>
    </row>
    <row r="19" spans="1:13" x14ac:dyDescent="0.35">
      <c r="A19" s="2">
        <v>5.1852138205251794E-2</v>
      </c>
      <c r="B19" s="5">
        <v>5.3220000000000003E-2</v>
      </c>
      <c r="C19">
        <v>5.1852138205251697E-2</v>
      </c>
      <c r="D19">
        <v>5.3220000000000003E-2</v>
      </c>
      <c r="F19" s="7">
        <f t="shared" si="0"/>
        <v>9.7144514654701197E-17</v>
      </c>
      <c r="G19" s="7">
        <f t="shared" si="1"/>
        <v>0</v>
      </c>
      <c r="K19">
        <v>18</v>
      </c>
      <c r="L19">
        <v>5.3220000000000003E-2</v>
      </c>
      <c r="M19">
        <v>5.3220000000000003E-2</v>
      </c>
    </row>
    <row r="20" spans="1:13" x14ac:dyDescent="0.35">
      <c r="A20" s="2">
        <v>5.2051506871803557E-2</v>
      </c>
      <c r="B20" s="5">
        <v>5.3429999999999998E-2</v>
      </c>
      <c r="C20">
        <v>5.2051506871803502E-2</v>
      </c>
      <c r="D20">
        <v>5.3429999999999998E-2</v>
      </c>
      <c r="F20" s="7">
        <f t="shared" si="0"/>
        <v>5.5511151231257827E-17</v>
      </c>
      <c r="G20" s="7">
        <f t="shared" si="1"/>
        <v>0</v>
      </c>
      <c r="K20">
        <v>19</v>
      </c>
      <c r="L20">
        <v>5.3429999999999998E-2</v>
      </c>
      <c r="M20">
        <v>5.3429999999999998E-2</v>
      </c>
    </row>
    <row r="21" spans="1:13" x14ac:dyDescent="0.35">
      <c r="A21" s="2">
        <v>5.2222362669925769E-2</v>
      </c>
      <c r="B21" s="5">
        <v>5.3609999999999998E-2</v>
      </c>
      <c r="C21">
        <v>5.22223626699257E-2</v>
      </c>
      <c r="D21">
        <v>5.3609999999999998E-2</v>
      </c>
      <c r="F21" s="7">
        <f t="shared" si="0"/>
        <v>6.9388939039072284E-17</v>
      </c>
      <c r="G21" s="7">
        <f t="shared" si="1"/>
        <v>0</v>
      </c>
      <c r="K21">
        <v>20</v>
      </c>
      <c r="L21">
        <v>5.3609999999999998E-2</v>
      </c>
      <c r="M21">
        <v>5.3609999999999998E-2</v>
      </c>
    </row>
    <row r="22" spans="1:13" x14ac:dyDescent="0.35">
      <c r="A22" s="2">
        <v>5.2345740371935276E-2</v>
      </c>
      <c r="B22" s="5">
        <v>5.3740000000000003E-2</v>
      </c>
      <c r="C22">
        <v>5.23457403719352E-2</v>
      </c>
      <c r="D22">
        <v>5.3740000000000003E-2</v>
      </c>
      <c r="F22" s="7">
        <f t="shared" si="0"/>
        <v>7.6327832942979512E-17</v>
      </c>
      <c r="G22" s="7">
        <f t="shared" si="1"/>
        <v>0</v>
      </c>
      <c r="K22">
        <v>21</v>
      </c>
      <c r="L22">
        <v>5.3740000000000003E-2</v>
      </c>
      <c r="M22">
        <v>5.3740000000000003E-2</v>
      </c>
    </row>
    <row r="23" spans="1:13" x14ac:dyDescent="0.35">
      <c r="A23" s="2">
        <v>5.2431146787907099E-2</v>
      </c>
      <c r="B23" s="5">
        <v>5.3830000000000003E-2</v>
      </c>
      <c r="C23">
        <v>5.2431146787907099E-2</v>
      </c>
      <c r="D23">
        <v>5.3830000000000003E-2</v>
      </c>
      <c r="F23" s="7">
        <f t="shared" si="0"/>
        <v>0</v>
      </c>
      <c r="G23" s="7">
        <f t="shared" si="1"/>
        <v>0</v>
      </c>
      <c r="K23">
        <v>22</v>
      </c>
      <c r="L23">
        <v>5.3830000000000003E-2</v>
      </c>
      <c r="M23">
        <v>5.3830000000000003E-2</v>
      </c>
    </row>
    <row r="24" spans="1:13" x14ac:dyDescent="0.35">
      <c r="A24" s="2">
        <v>5.2488080346459617E-2</v>
      </c>
      <c r="B24" s="5">
        <v>5.389E-2</v>
      </c>
      <c r="C24">
        <v>5.2488080346459597E-2</v>
      </c>
      <c r="D24">
        <v>5.389E-2</v>
      </c>
      <c r="F24" s="7">
        <f t="shared" si="0"/>
        <v>2.0816681711721685E-17</v>
      </c>
      <c r="G24" s="7">
        <f t="shared" si="1"/>
        <v>0</v>
      </c>
      <c r="K24">
        <v>23</v>
      </c>
      <c r="L24">
        <v>5.389E-2</v>
      </c>
      <c r="M24">
        <v>5.389E-2</v>
      </c>
    </row>
    <row r="25" spans="1:13" x14ac:dyDescent="0.35">
      <c r="A25" s="2">
        <v>5.2507057479015372E-2</v>
      </c>
      <c r="B25" s="5">
        <v>5.391E-2</v>
      </c>
      <c r="C25">
        <v>5.2507057479015302E-2</v>
      </c>
      <c r="D25">
        <v>5.391E-2</v>
      </c>
      <c r="F25" s="7">
        <f t="shared" si="0"/>
        <v>6.9388939039072284E-17</v>
      </c>
      <c r="G25" s="7">
        <f t="shared" si="1"/>
        <v>0</v>
      </c>
      <c r="K25">
        <v>24</v>
      </c>
      <c r="L25">
        <v>5.391E-2</v>
      </c>
      <c r="M25">
        <v>5.391E-2</v>
      </c>
    </row>
    <row r="26" spans="1:13" x14ac:dyDescent="0.35">
      <c r="A26" s="2">
        <v>5.248808034645961E-2</v>
      </c>
      <c r="B26" s="5">
        <v>5.389E-2</v>
      </c>
      <c r="C26">
        <v>5.2488080346459597E-2</v>
      </c>
      <c r="D26">
        <v>5.389E-2</v>
      </c>
      <c r="F26" s="7">
        <f t="shared" si="0"/>
        <v>1.3877787807814457E-17</v>
      </c>
      <c r="G26" s="7">
        <f t="shared" si="1"/>
        <v>0</v>
      </c>
      <c r="K26">
        <v>25</v>
      </c>
      <c r="L26">
        <v>5.389E-2</v>
      </c>
      <c r="M26">
        <v>5.389E-2</v>
      </c>
    </row>
    <row r="27" spans="1:13" x14ac:dyDescent="0.35">
      <c r="A27" s="2">
        <v>5.2440635939434752E-2</v>
      </c>
      <c r="B27" s="5">
        <v>5.3839999999999999E-2</v>
      </c>
      <c r="C27">
        <v>5.2440635939434703E-2</v>
      </c>
      <c r="D27">
        <v>5.3839999999999999E-2</v>
      </c>
      <c r="F27" s="7">
        <f t="shared" si="0"/>
        <v>4.8572257327350599E-17</v>
      </c>
      <c r="G27" s="7">
        <f t="shared" si="1"/>
        <v>0</v>
      </c>
      <c r="K27">
        <v>26</v>
      </c>
      <c r="L27">
        <v>5.3839999999999999E-2</v>
      </c>
      <c r="M27">
        <v>5.3839999999999999E-2</v>
      </c>
    </row>
    <row r="28" spans="1:13" x14ac:dyDescent="0.35">
      <c r="A28" s="2">
        <v>5.2355230333928124E-2</v>
      </c>
      <c r="B28" s="5">
        <v>5.3749999999999999E-2</v>
      </c>
      <c r="C28">
        <v>5.2355230333928103E-2</v>
      </c>
      <c r="D28">
        <v>5.3749999999999999E-2</v>
      </c>
      <c r="F28" s="7">
        <f t="shared" si="0"/>
        <v>2.0816681711721685E-17</v>
      </c>
      <c r="G28" s="7">
        <f t="shared" si="1"/>
        <v>0</v>
      </c>
      <c r="K28">
        <v>27</v>
      </c>
      <c r="L28">
        <v>5.3749999999999999E-2</v>
      </c>
      <c r="M28">
        <v>5.3749999999999999E-2</v>
      </c>
    </row>
    <row r="29" spans="1:13" x14ac:dyDescent="0.35">
      <c r="A29" s="2">
        <v>5.2250835798412672E-2</v>
      </c>
      <c r="B29" s="5">
        <v>5.364E-2</v>
      </c>
      <c r="C29">
        <v>5.2250835798412602E-2</v>
      </c>
      <c r="D29">
        <v>5.364E-2</v>
      </c>
      <c r="F29" s="7">
        <f t="shared" si="0"/>
        <v>6.9388939039072284E-17</v>
      </c>
      <c r="G29" s="7">
        <f t="shared" si="1"/>
        <v>0</v>
      </c>
      <c r="K29">
        <v>28</v>
      </c>
      <c r="L29">
        <v>5.364E-2</v>
      </c>
      <c r="M29">
        <v>5.364E-2</v>
      </c>
    </row>
    <row r="30" spans="1:13" x14ac:dyDescent="0.35">
      <c r="A30" s="2">
        <v>5.2117954262106768E-2</v>
      </c>
      <c r="B30" s="5">
        <v>5.3499999999999999E-2</v>
      </c>
      <c r="C30">
        <v>5.2117954262106699E-2</v>
      </c>
      <c r="D30">
        <v>5.3499999999999999E-2</v>
      </c>
      <c r="F30" s="7">
        <f t="shared" si="0"/>
        <v>6.9388939039072284E-17</v>
      </c>
      <c r="G30" s="7">
        <f t="shared" si="1"/>
        <v>0</v>
      </c>
      <c r="K30">
        <v>29</v>
      </c>
      <c r="L30">
        <v>5.3499999999999999E-2</v>
      </c>
      <c r="M30">
        <v>5.3499999999999999E-2</v>
      </c>
    </row>
    <row r="31" spans="1:13" x14ac:dyDescent="0.35">
      <c r="A31" s="2">
        <v>5.1966068024606286E-2</v>
      </c>
      <c r="B31" s="5">
        <v>5.3339999999999999E-2</v>
      </c>
      <c r="C31">
        <v>5.1966068024606203E-2</v>
      </c>
      <c r="D31">
        <v>5.3339999999999999E-2</v>
      </c>
      <c r="F31" s="7">
        <f t="shared" si="0"/>
        <v>8.3266726846886741E-17</v>
      </c>
      <c r="G31" s="7">
        <f t="shared" si="1"/>
        <v>0</v>
      </c>
      <c r="K31">
        <v>30</v>
      </c>
      <c r="L31">
        <v>5.3339999999999999E-2</v>
      </c>
      <c r="M31">
        <v>5.3339999999999999E-2</v>
      </c>
    </row>
    <row r="32" spans="1:13" x14ac:dyDescent="0.35">
      <c r="A32" s="2">
        <v>5.1795168427703424E-2</v>
      </c>
      <c r="B32" s="5">
        <v>5.3159999999999999E-2</v>
      </c>
      <c r="C32">
        <v>5.1795168427703403E-2</v>
      </c>
      <c r="D32">
        <v>5.3159999999999999E-2</v>
      </c>
      <c r="F32" s="7">
        <f t="shared" si="0"/>
        <v>2.0816681711721685E-17</v>
      </c>
      <c r="G32" s="7">
        <f t="shared" si="1"/>
        <v>0</v>
      </c>
      <c r="K32">
        <v>31</v>
      </c>
      <c r="L32">
        <v>5.3159999999999999E-2</v>
      </c>
      <c r="M32">
        <v>5.3159999999999999E-2</v>
      </c>
    </row>
    <row r="33" spans="1:13" x14ac:dyDescent="0.35">
      <c r="A33" s="2">
        <v>5.1605245725671843E-2</v>
      </c>
      <c r="B33" s="5">
        <v>5.296E-2</v>
      </c>
      <c r="C33">
        <v>5.1605245725671801E-2</v>
      </c>
      <c r="D33">
        <v>5.296E-2</v>
      </c>
      <c r="F33" s="7">
        <f t="shared" si="0"/>
        <v>4.163336342344337E-17</v>
      </c>
      <c r="G33" s="7">
        <f t="shared" si="1"/>
        <v>0</v>
      </c>
      <c r="K33">
        <v>32</v>
      </c>
      <c r="L33">
        <v>5.296E-2</v>
      </c>
      <c r="M33">
        <v>5.296E-2</v>
      </c>
    </row>
    <row r="34" spans="1:13" x14ac:dyDescent="0.35">
      <c r="A34" s="2">
        <v>5.1396289083414759E-2</v>
      </c>
      <c r="B34" s="5">
        <v>5.2740000000000002E-2</v>
      </c>
      <c r="C34">
        <v>5.1396289083414697E-2</v>
      </c>
      <c r="D34">
        <v>5.2740000000000002E-2</v>
      </c>
      <c r="F34" s="7">
        <f t="shared" si="0"/>
        <v>6.2450045135165055E-17</v>
      </c>
      <c r="G34" s="7">
        <f t="shared" si="1"/>
        <v>0</v>
      </c>
      <c r="K34">
        <v>33</v>
      </c>
      <c r="L34">
        <v>5.2740000000000002E-2</v>
      </c>
      <c r="M34">
        <v>5.2740000000000002E-2</v>
      </c>
    </row>
    <row r="35" spans="1:13" x14ac:dyDescent="0.35">
      <c r="A35" s="2">
        <v>5.1177787716911942E-2</v>
      </c>
      <c r="B35" s="5">
        <v>5.2510000000000001E-2</v>
      </c>
      <c r="C35">
        <v>5.11777877169119E-2</v>
      </c>
      <c r="D35">
        <v>5.2510000000000001E-2</v>
      </c>
      <c r="F35" s="7">
        <f t="shared" si="0"/>
        <v>4.163336342344337E-17</v>
      </c>
      <c r="G35" s="7">
        <f t="shared" si="1"/>
        <v>0</v>
      </c>
      <c r="K35">
        <v>34</v>
      </c>
      <c r="L35">
        <v>5.2510000000000001E-2</v>
      </c>
      <c r="M35">
        <v>5.2510000000000001E-2</v>
      </c>
    </row>
    <row r="36" spans="1:13" x14ac:dyDescent="0.35">
      <c r="A36" s="2">
        <v>5.09402320683843E-2</v>
      </c>
      <c r="B36" s="5">
        <v>5.2260000000000001E-2</v>
      </c>
      <c r="C36">
        <v>5.09402320683843E-2</v>
      </c>
      <c r="D36">
        <v>5.2260000000000001E-2</v>
      </c>
      <c r="F36" s="7">
        <f t="shared" si="0"/>
        <v>0</v>
      </c>
      <c r="G36" s="7">
        <f t="shared" si="1"/>
        <v>0</v>
      </c>
      <c r="K36">
        <v>35</v>
      </c>
      <c r="L36">
        <v>5.2260000000000001E-2</v>
      </c>
      <c r="M36">
        <v>5.2260000000000001E-2</v>
      </c>
    </row>
    <row r="37" spans="1:13" x14ac:dyDescent="0.35">
      <c r="A37" s="2">
        <v>5.068360856691656E-2</v>
      </c>
      <c r="B37" s="5">
        <v>5.1990000000000001E-2</v>
      </c>
      <c r="C37">
        <v>5.0683608566916498E-2</v>
      </c>
      <c r="D37">
        <v>5.1990000000000001E-2</v>
      </c>
      <c r="F37" s="7">
        <f t="shared" si="0"/>
        <v>6.2450045135165055E-17</v>
      </c>
      <c r="G37" s="7">
        <f t="shared" si="1"/>
        <v>0</v>
      </c>
      <c r="K37">
        <v>36</v>
      </c>
      <c r="L37">
        <v>5.1990000000000001E-2</v>
      </c>
      <c r="M37">
        <v>5.1990000000000001E-2</v>
      </c>
    </row>
    <row r="38" spans="1:13" x14ac:dyDescent="0.35">
      <c r="A38" s="2">
        <v>5.0407902543845765E-2</v>
      </c>
      <c r="B38" s="5">
        <v>5.1700000000000003E-2</v>
      </c>
      <c r="C38">
        <v>5.0407902543845702E-2</v>
      </c>
      <c r="D38">
        <v>5.1700000000000003E-2</v>
      </c>
      <c r="F38" s="7">
        <f t="shared" si="0"/>
        <v>6.2450045135165055E-17</v>
      </c>
      <c r="G38" s="7">
        <f t="shared" si="1"/>
        <v>0</v>
      </c>
      <c r="K38">
        <v>37</v>
      </c>
      <c r="L38">
        <v>5.1700000000000003E-2</v>
      </c>
      <c r="M38">
        <v>5.1700000000000003E-2</v>
      </c>
    </row>
    <row r="39" spans="1:13" x14ac:dyDescent="0.35">
      <c r="A39" s="2">
        <v>5.0122609403210727E-2</v>
      </c>
      <c r="B39" s="5">
        <v>5.1400000000000001E-2</v>
      </c>
      <c r="C39">
        <v>5.0122609403210699E-2</v>
      </c>
      <c r="D39">
        <v>5.1400000000000001E-2</v>
      </c>
      <c r="F39" s="7">
        <f t="shared" si="0"/>
        <v>2.7755575615628914E-17</v>
      </c>
      <c r="G39" s="7">
        <f t="shared" si="1"/>
        <v>0</v>
      </c>
      <c r="K39">
        <v>38</v>
      </c>
      <c r="L39">
        <v>5.1400000000000001E-2</v>
      </c>
      <c r="M39">
        <v>5.1400000000000001E-2</v>
      </c>
    </row>
    <row r="40" spans="1:13" x14ac:dyDescent="0.35">
      <c r="A40" s="2">
        <v>4.9827720959273798E-2</v>
      </c>
      <c r="B40" s="5">
        <v>5.1090000000000003E-2</v>
      </c>
      <c r="C40">
        <v>4.9827720959273798E-2</v>
      </c>
      <c r="D40">
        <v>5.1090000000000003E-2</v>
      </c>
      <c r="F40" s="7">
        <f t="shared" si="0"/>
        <v>0</v>
      </c>
      <c r="G40" s="7">
        <f t="shared" si="1"/>
        <v>0</v>
      </c>
      <c r="K40">
        <v>39</v>
      </c>
      <c r="L40">
        <v>5.1090000000000003E-2</v>
      </c>
      <c r="M40">
        <v>5.1090000000000003E-2</v>
      </c>
    </row>
    <row r="41" spans="1:13" x14ac:dyDescent="0.35">
      <c r="A41" s="2">
        <v>4.9504194903089091E-2</v>
      </c>
      <c r="B41" s="5">
        <v>5.0750000000000003E-2</v>
      </c>
      <c r="C41">
        <v>4.9504194903089001E-2</v>
      </c>
      <c r="D41">
        <v>5.0750000000000003E-2</v>
      </c>
      <c r="F41" s="7">
        <f t="shared" si="0"/>
        <v>9.0205620750793969E-17</v>
      </c>
      <c r="G41" s="7">
        <f t="shared" si="1"/>
        <v>0</v>
      </c>
      <c r="K41">
        <v>40</v>
      </c>
      <c r="L41">
        <v>5.0750000000000003E-2</v>
      </c>
      <c r="M41">
        <v>5.0750000000000003E-2</v>
      </c>
    </row>
    <row r="42" spans="1:13" x14ac:dyDescent="0.35">
      <c r="A42" s="2" t="e">
        <v>#N/A</v>
      </c>
      <c r="B42" s="5">
        <v>5.042E-2</v>
      </c>
      <c r="D42">
        <v>5.042E-2</v>
      </c>
      <c r="F42" s="7" t="str">
        <f t="shared" si="0"/>
        <v/>
      </c>
      <c r="G42" s="7">
        <f t="shared" si="1"/>
        <v>0</v>
      </c>
      <c r="K42">
        <v>41</v>
      </c>
      <c r="L42">
        <v>5.0410000000000003E-2</v>
      </c>
      <c r="M42">
        <v>5.042E-2</v>
      </c>
    </row>
    <row r="43" spans="1:13" x14ac:dyDescent="0.35">
      <c r="A43" s="2" t="e">
        <v>#N/A</v>
      </c>
      <c r="B43" s="5">
        <v>5.0099999999999999E-2</v>
      </c>
      <c r="D43">
        <v>5.0099999999999999E-2</v>
      </c>
      <c r="F43" s="7" t="str">
        <f t="shared" si="0"/>
        <v/>
      </c>
      <c r="G43" s="7">
        <f t="shared" si="1"/>
        <v>0</v>
      </c>
      <c r="K43">
        <v>42</v>
      </c>
      <c r="L43">
        <v>5.0049999999999997E-2</v>
      </c>
      <c r="M43">
        <v>5.0099999999999999E-2</v>
      </c>
    </row>
    <row r="44" spans="1:13" x14ac:dyDescent="0.35">
      <c r="A44" s="2" t="e">
        <v>#N/A</v>
      </c>
      <c r="B44" s="5">
        <v>4.9779999999999998E-2</v>
      </c>
      <c r="D44">
        <v>4.9779999999999998E-2</v>
      </c>
      <c r="F44" s="7" t="str">
        <f t="shared" si="0"/>
        <v/>
      </c>
      <c r="G44" s="7">
        <f t="shared" si="1"/>
        <v>0</v>
      </c>
      <c r="K44">
        <v>43</v>
      </c>
      <c r="L44">
        <v>4.9689999999999998E-2</v>
      </c>
      <c r="M44">
        <v>4.9779999999999998E-2</v>
      </c>
    </row>
    <row r="45" spans="1:13" x14ac:dyDescent="0.35">
      <c r="A45" s="2" t="e">
        <v>#N/A</v>
      </c>
      <c r="B45" s="5">
        <v>4.9459999999999997E-2</v>
      </c>
      <c r="D45">
        <v>4.9459999999999997E-2</v>
      </c>
      <c r="F45" s="7" t="str">
        <f t="shared" si="0"/>
        <v/>
      </c>
      <c r="G45" s="7">
        <f t="shared" si="1"/>
        <v>0</v>
      </c>
      <c r="K45">
        <v>44</v>
      </c>
      <c r="L45">
        <v>4.9329999999999999E-2</v>
      </c>
      <c r="M45">
        <v>4.9459999999999997E-2</v>
      </c>
    </row>
    <row r="46" spans="1:13" x14ac:dyDescent="0.35">
      <c r="A46" s="2" t="e">
        <v>#N/A</v>
      </c>
      <c r="B46" s="5">
        <v>4.9160000000000002E-2</v>
      </c>
      <c r="D46">
        <v>4.9160000000000002E-2</v>
      </c>
      <c r="F46" s="7" t="str">
        <f t="shared" si="0"/>
        <v/>
      </c>
      <c r="G46" s="7">
        <f t="shared" si="1"/>
        <v>0</v>
      </c>
      <c r="K46">
        <v>45</v>
      </c>
      <c r="L46">
        <v>4.897E-2</v>
      </c>
      <c r="M46">
        <v>4.9160000000000002E-2</v>
      </c>
    </row>
    <row r="47" spans="1:13" x14ac:dyDescent="0.35">
      <c r="A47" s="2" t="e">
        <v>#N/A</v>
      </c>
      <c r="B47" s="5">
        <v>4.8860000000000001E-2</v>
      </c>
      <c r="D47">
        <v>4.8860000000000001E-2</v>
      </c>
      <c r="F47" s="7" t="str">
        <f t="shared" si="0"/>
        <v/>
      </c>
      <c r="G47" s="7">
        <f t="shared" si="1"/>
        <v>0</v>
      </c>
      <c r="K47">
        <v>46</v>
      </c>
      <c r="L47">
        <v>4.861E-2</v>
      </c>
      <c r="M47">
        <v>4.8860000000000001E-2</v>
      </c>
    </row>
    <row r="48" spans="1:13" x14ac:dyDescent="0.35">
      <c r="A48" s="2" t="e">
        <v>#N/A</v>
      </c>
      <c r="B48" s="5">
        <v>4.8570000000000002E-2</v>
      </c>
      <c r="D48">
        <v>4.8570000000000002E-2</v>
      </c>
      <c r="F48" s="7" t="str">
        <f t="shared" si="0"/>
        <v/>
      </c>
      <c r="G48" s="7">
        <f t="shared" si="1"/>
        <v>0</v>
      </c>
      <c r="K48">
        <v>47</v>
      </c>
      <c r="L48">
        <v>4.8259999999999997E-2</v>
      </c>
      <c r="M48">
        <v>4.8570000000000002E-2</v>
      </c>
    </row>
    <row r="49" spans="1:13" x14ac:dyDescent="0.35">
      <c r="A49" s="2" t="e">
        <v>#N/A</v>
      </c>
      <c r="B49" s="5">
        <v>4.8280000000000003E-2</v>
      </c>
      <c r="D49">
        <v>4.8280000000000003E-2</v>
      </c>
      <c r="F49" s="7" t="str">
        <f t="shared" si="0"/>
        <v/>
      </c>
      <c r="G49" s="7">
        <f t="shared" si="1"/>
        <v>0</v>
      </c>
      <c r="K49">
        <v>48</v>
      </c>
      <c r="L49">
        <v>4.7919999999999997E-2</v>
      </c>
      <c r="M49">
        <v>4.8280000000000003E-2</v>
      </c>
    </row>
    <row r="50" spans="1:13" x14ac:dyDescent="0.35">
      <c r="A50" s="2" t="e">
        <v>#N/A</v>
      </c>
      <c r="B50" s="5">
        <v>4.8009999999999997E-2</v>
      </c>
      <c r="D50">
        <v>4.8009999999999997E-2</v>
      </c>
      <c r="F50" s="7" t="str">
        <f t="shared" si="0"/>
        <v/>
      </c>
      <c r="G50" s="7">
        <f t="shared" si="1"/>
        <v>0</v>
      </c>
      <c r="K50">
        <v>49</v>
      </c>
      <c r="L50">
        <v>4.759E-2</v>
      </c>
      <c r="M50">
        <v>4.8009999999999997E-2</v>
      </c>
    </row>
    <row r="51" spans="1:13" x14ac:dyDescent="0.35">
      <c r="A51" s="2" t="e">
        <v>#N/A</v>
      </c>
      <c r="B51" s="5">
        <v>4.7739999999999998E-2</v>
      </c>
      <c r="D51">
        <v>4.7739999999999998E-2</v>
      </c>
      <c r="F51" s="7" t="str">
        <f t="shared" si="0"/>
        <v/>
      </c>
      <c r="G51" s="7">
        <f t="shared" si="1"/>
        <v>0</v>
      </c>
      <c r="K51">
        <v>50</v>
      </c>
      <c r="L51">
        <v>4.727E-2</v>
      </c>
      <c r="M51">
        <v>4.7739999999999998E-2</v>
      </c>
    </row>
    <row r="52" spans="1:13" x14ac:dyDescent="0.35">
      <c r="A52" s="3" t="e">
        <v>#N/A</v>
      </c>
      <c r="B52" s="5">
        <v>4.7469999999999998E-2</v>
      </c>
      <c r="D52">
        <v>4.7469999999999998E-2</v>
      </c>
      <c r="F52" s="7" t="str">
        <f t="shared" si="0"/>
        <v/>
      </c>
      <c r="G52" s="7">
        <f t="shared" si="1"/>
        <v>0</v>
      </c>
      <c r="K52">
        <v>51</v>
      </c>
      <c r="L52">
        <v>4.6969999999999998E-2</v>
      </c>
      <c r="M52">
        <v>4.7469999999999998E-2</v>
      </c>
    </row>
    <row r="53" spans="1:13" x14ac:dyDescent="0.35">
      <c r="A53" s="3" t="e">
        <v>#N/A</v>
      </c>
      <c r="B53" s="5">
        <v>4.7219999999999998E-2</v>
      </c>
      <c r="D53">
        <v>4.7219999999999998E-2</v>
      </c>
      <c r="F53" s="7" t="str">
        <f t="shared" si="0"/>
        <v/>
      </c>
      <c r="G53" s="7">
        <f t="shared" si="1"/>
        <v>0</v>
      </c>
      <c r="K53">
        <v>52</v>
      </c>
      <c r="L53">
        <v>4.6679999999999999E-2</v>
      </c>
      <c r="M53">
        <v>4.7219999999999998E-2</v>
      </c>
    </row>
    <row r="54" spans="1:13" x14ac:dyDescent="0.35">
      <c r="A54" s="3" t="e">
        <v>#N/A</v>
      </c>
      <c r="B54" s="5">
        <v>4.6969999999999998E-2</v>
      </c>
      <c r="D54">
        <v>4.6969999999999998E-2</v>
      </c>
      <c r="F54" s="7" t="str">
        <f t="shared" si="0"/>
        <v/>
      </c>
      <c r="G54" s="7">
        <f t="shared" si="1"/>
        <v>0</v>
      </c>
      <c r="K54">
        <v>53</v>
      </c>
      <c r="L54">
        <v>4.6399999999999997E-2</v>
      </c>
      <c r="M54">
        <v>4.6969999999999998E-2</v>
      </c>
    </row>
    <row r="55" spans="1:13" x14ac:dyDescent="0.35">
      <c r="A55" s="3" t="e">
        <v>#N/A</v>
      </c>
      <c r="B55" s="5">
        <v>4.6730000000000001E-2</v>
      </c>
      <c r="D55">
        <v>4.6730000000000001E-2</v>
      </c>
      <c r="F55" s="7" t="str">
        <f t="shared" si="0"/>
        <v/>
      </c>
      <c r="G55" s="7">
        <f t="shared" si="1"/>
        <v>0</v>
      </c>
      <c r="K55">
        <v>54</v>
      </c>
      <c r="L55">
        <v>4.6129999999999997E-2</v>
      </c>
      <c r="M55">
        <v>4.6730000000000001E-2</v>
      </c>
    </row>
    <row r="56" spans="1:13" x14ac:dyDescent="0.35">
      <c r="A56" s="3" t="e">
        <v>#N/A</v>
      </c>
      <c r="B56" s="5">
        <v>4.65E-2</v>
      </c>
      <c r="D56">
        <v>4.65E-2</v>
      </c>
      <c r="F56" s="7" t="str">
        <f t="shared" si="0"/>
        <v/>
      </c>
      <c r="G56" s="7">
        <f t="shared" si="1"/>
        <v>0</v>
      </c>
      <c r="K56">
        <v>55</v>
      </c>
      <c r="L56">
        <v>4.5870000000000001E-2</v>
      </c>
      <c r="M56">
        <v>4.65E-2</v>
      </c>
    </row>
    <row r="57" spans="1:13" x14ac:dyDescent="0.35">
      <c r="A57" s="3" t="e">
        <v>#N/A</v>
      </c>
      <c r="B57" s="5">
        <v>4.6269999999999999E-2</v>
      </c>
      <c r="D57">
        <v>4.6269999999999999E-2</v>
      </c>
      <c r="F57" s="7" t="str">
        <f t="shared" si="0"/>
        <v/>
      </c>
      <c r="G57" s="7">
        <f t="shared" si="1"/>
        <v>0</v>
      </c>
      <c r="K57">
        <v>56</v>
      </c>
      <c r="L57">
        <v>4.5629999999999997E-2</v>
      </c>
      <c r="M57">
        <v>4.6269999999999999E-2</v>
      </c>
    </row>
    <row r="58" spans="1:13" x14ac:dyDescent="0.35">
      <c r="A58" s="3" t="e">
        <v>#N/A</v>
      </c>
      <c r="B58" s="5">
        <v>4.6050000000000001E-2</v>
      </c>
      <c r="D58">
        <v>4.6050000000000001E-2</v>
      </c>
      <c r="F58" s="7" t="str">
        <f t="shared" si="0"/>
        <v/>
      </c>
      <c r="G58" s="7">
        <f t="shared" si="1"/>
        <v>0</v>
      </c>
      <c r="K58">
        <v>57</v>
      </c>
      <c r="L58">
        <v>4.539E-2</v>
      </c>
      <c r="M58">
        <v>4.6050000000000001E-2</v>
      </c>
    </row>
    <row r="59" spans="1:13" x14ac:dyDescent="0.35">
      <c r="A59" s="3" t="e">
        <v>#N/A</v>
      </c>
      <c r="B59" s="5">
        <v>4.5830000000000003E-2</v>
      </c>
      <c r="D59">
        <v>4.5830000000000003E-2</v>
      </c>
      <c r="F59" s="7" t="str">
        <f t="shared" si="0"/>
        <v/>
      </c>
      <c r="G59" s="7">
        <f t="shared" si="1"/>
        <v>0</v>
      </c>
      <c r="K59">
        <v>58</v>
      </c>
      <c r="L59">
        <v>4.5159999999999999E-2</v>
      </c>
      <c r="M59">
        <v>4.5830000000000003E-2</v>
      </c>
    </row>
    <row r="60" spans="1:13" x14ac:dyDescent="0.35">
      <c r="A60" s="3" t="e">
        <v>#N/A</v>
      </c>
      <c r="B60" s="5">
        <v>4.5620000000000001E-2</v>
      </c>
      <c r="D60">
        <v>4.5620000000000001E-2</v>
      </c>
      <c r="F60" s="7" t="str">
        <f t="shared" si="0"/>
        <v/>
      </c>
      <c r="G60" s="7">
        <f t="shared" si="1"/>
        <v>0</v>
      </c>
      <c r="K60">
        <v>59</v>
      </c>
      <c r="L60">
        <v>4.4940000000000001E-2</v>
      </c>
      <c r="M60">
        <v>4.5620000000000001E-2</v>
      </c>
    </row>
    <row r="61" spans="1:13" x14ac:dyDescent="0.35">
      <c r="A61" s="3" t="e">
        <v>#N/A</v>
      </c>
      <c r="B61" s="5">
        <v>4.5420000000000002E-2</v>
      </c>
      <c r="D61">
        <v>4.5420000000000002E-2</v>
      </c>
      <c r="F61" s="7" t="str">
        <f t="shared" si="0"/>
        <v/>
      </c>
      <c r="G61" s="7">
        <f t="shared" si="1"/>
        <v>0</v>
      </c>
      <c r="K61">
        <v>60</v>
      </c>
      <c r="L61">
        <v>4.4729999999999999E-2</v>
      </c>
      <c r="M61">
        <v>4.5420000000000002E-2</v>
      </c>
    </row>
    <row r="62" spans="1:13" x14ac:dyDescent="0.35">
      <c r="A62" s="3" t="e">
        <v>#N/A</v>
      </c>
      <c r="B62" s="5">
        <v>4.5229999999999999E-2</v>
      </c>
      <c r="D62">
        <v>4.5229999999999999E-2</v>
      </c>
      <c r="F62" s="7" t="str">
        <f t="shared" si="0"/>
        <v/>
      </c>
      <c r="G62" s="7">
        <f t="shared" si="1"/>
        <v>0</v>
      </c>
      <c r="K62">
        <v>61</v>
      </c>
      <c r="L62">
        <v>4.453E-2</v>
      </c>
      <c r="M62">
        <v>4.5229999999999999E-2</v>
      </c>
    </row>
    <row r="63" spans="1:13" x14ac:dyDescent="0.35">
      <c r="A63" s="3" t="e">
        <v>#N/A</v>
      </c>
      <c r="B63" s="5">
        <v>4.5030000000000001E-2</v>
      </c>
      <c r="D63">
        <v>4.5030000000000001E-2</v>
      </c>
      <c r="F63" s="7" t="str">
        <f t="shared" si="0"/>
        <v/>
      </c>
      <c r="G63" s="7">
        <f t="shared" si="1"/>
        <v>0</v>
      </c>
      <c r="K63">
        <v>62</v>
      </c>
      <c r="L63">
        <v>4.4330000000000001E-2</v>
      </c>
      <c r="M63">
        <v>4.5030000000000001E-2</v>
      </c>
    </row>
    <row r="64" spans="1:13" x14ac:dyDescent="0.35">
      <c r="A64" s="3" t="e">
        <v>#N/A</v>
      </c>
      <c r="B64" s="5">
        <v>4.4850000000000001E-2</v>
      </c>
      <c r="D64">
        <v>4.4850000000000001E-2</v>
      </c>
      <c r="F64" s="7" t="str">
        <f t="shared" si="0"/>
        <v/>
      </c>
      <c r="G64" s="7">
        <f t="shared" si="1"/>
        <v>0</v>
      </c>
      <c r="K64">
        <v>63</v>
      </c>
      <c r="L64">
        <v>4.4139999999999999E-2</v>
      </c>
      <c r="M64">
        <v>4.4850000000000001E-2</v>
      </c>
    </row>
    <row r="65" spans="1:13" x14ac:dyDescent="0.35">
      <c r="A65" s="3" t="e">
        <v>#N/A</v>
      </c>
      <c r="B65" s="5">
        <v>4.4670000000000001E-2</v>
      </c>
      <c r="D65">
        <v>4.4670000000000001E-2</v>
      </c>
      <c r="F65" s="7" t="str">
        <f t="shared" si="0"/>
        <v/>
      </c>
      <c r="G65" s="7">
        <f t="shared" si="1"/>
        <v>0</v>
      </c>
      <c r="K65">
        <v>64</v>
      </c>
      <c r="L65">
        <v>4.3959999999999999E-2</v>
      </c>
      <c r="M65">
        <v>4.4670000000000001E-2</v>
      </c>
    </row>
    <row r="66" spans="1:13" x14ac:dyDescent="0.35">
      <c r="A66" s="3" t="e">
        <v>#N/A</v>
      </c>
      <c r="B66" s="5">
        <v>4.4490000000000002E-2</v>
      </c>
      <c r="D66">
        <v>4.4490000000000002E-2</v>
      </c>
      <c r="F66" s="7" t="str">
        <f t="shared" si="0"/>
        <v/>
      </c>
      <c r="G66" s="7">
        <f t="shared" si="1"/>
        <v>0</v>
      </c>
      <c r="K66">
        <v>65</v>
      </c>
      <c r="L66">
        <v>4.3779999999999999E-2</v>
      </c>
      <c r="M66">
        <v>4.4490000000000002E-2</v>
      </c>
    </row>
    <row r="67" spans="1:13" x14ac:dyDescent="0.35">
      <c r="A67" s="3" t="e">
        <v>#N/A</v>
      </c>
      <c r="B67" s="5">
        <v>4.4319999999999998E-2</v>
      </c>
      <c r="D67">
        <v>4.4319999999999998E-2</v>
      </c>
      <c r="F67" s="7" t="str">
        <f t="shared" ref="F67:F130" si="2">IF(C67&lt;&gt;"",A67-C67,"")</f>
        <v/>
      </c>
      <c r="G67" s="7">
        <f t="shared" ref="G67:G130" si="3">B67-D67</f>
        <v>0</v>
      </c>
      <c r="K67">
        <v>66</v>
      </c>
      <c r="L67">
        <v>4.3610000000000003E-2</v>
      </c>
      <c r="M67">
        <v>4.4319999999999998E-2</v>
      </c>
    </row>
    <row r="68" spans="1:13" x14ac:dyDescent="0.35">
      <c r="A68" s="3" t="e">
        <v>#N/A</v>
      </c>
      <c r="B68" s="5">
        <v>4.4150000000000002E-2</v>
      </c>
      <c r="D68">
        <v>4.4150000000000002E-2</v>
      </c>
      <c r="F68" s="7" t="str">
        <f t="shared" si="2"/>
        <v/>
      </c>
      <c r="G68" s="7">
        <f t="shared" si="3"/>
        <v>0</v>
      </c>
      <c r="K68">
        <v>67</v>
      </c>
      <c r="L68">
        <v>4.3450000000000003E-2</v>
      </c>
      <c r="M68">
        <v>4.4150000000000002E-2</v>
      </c>
    </row>
    <row r="69" spans="1:13" x14ac:dyDescent="0.35">
      <c r="A69" s="3" t="e">
        <v>#N/A</v>
      </c>
      <c r="B69" s="5">
        <v>4.3990000000000001E-2</v>
      </c>
      <c r="D69">
        <v>4.3990000000000001E-2</v>
      </c>
      <c r="F69" s="7" t="str">
        <f t="shared" si="2"/>
        <v/>
      </c>
      <c r="G69" s="7">
        <f t="shared" si="3"/>
        <v>0</v>
      </c>
      <c r="K69">
        <v>68</v>
      </c>
      <c r="L69">
        <v>4.3290000000000002E-2</v>
      </c>
      <c r="M69">
        <v>4.3990000000000001E-2</v>
      </c>
    </row>
    <row r="70" spans="1:13" x14ac:dyDescent="0.35">
      <c r="A70" s="3" t="e">
        <v>#N/A</v>
      </c>
      <c r="B70" s="5">
        <v>4.3839999999999997E-2</v>
      </c>
      <c r="D70">
        <v>4.3839999999999997E-2</v>
      </c>
      <c r="F70" s="7" t="str">
        <f t="shared" si="2"/>
        <v/>
      </c>
      <c r="G70" s="7">
        <f t="shared" si="3"/>
        <v>0</v>
      </c>
      <c r="K70">
        <v>69</v>
      </c>
      <c r="L70">
        <v>4.3130000000000002E-2</v>
      </c>
      <c r="M70">
        <v>4.3839999999999997E-2</v>
      </c>
    </row>
    <row r="71" spans="1:13" x14ac:dyDescent="0.35">
      <c r="A71" s="3" t="e">
        <v>#N/A</v>
      </c>
      <c r="B71" s="5">
        <v>4.3679999999999997E-2</v>
      </c>
      <c r="D71">
        <v>4.3679999999999997E-2</v>
      </c>
      <c r="F71" s="7" t="str">
        <f t="shared" si="2"/>
        <v/>
      </c>
      <c r="G71" s="7">
        <f t="shared" si="3"/>
        <v>0</v>
      </c>
      <c r="K71">
        <v>70</v>
      </c>
      <c r="L71">
        <v>4.2979999999999997E-2</v>
      </c>
      <c r="M71">
        <v>4.3679999999999997E-2</v>
      </c>
    </row>
    <row r="72" spans="1:13" x14ac:dyDescent="0.35">
      <c r="A72" s="3" t="e">
        <v>#N/A</v>
      </c>
      <c r="B72" s="5">
        <v>4.3529999999999999E-2</v>
      </c>
      <c r="D72">
        <v>4.3529999999999999E-2</v>
      </c>
      <c r="F72" s="7" t="str">
        <f t="shared" si="2"/>
        <v/>
      </c>
      <c r="G72" s="7">
        <f t="shared" si="3"/>
        <v>0</v>
      </c>
      <c r="K72">
        <v>71</v>
      </c>
      <c r="L72">
        <v>4.2840000000000003E-2</v>
      </c>
      <c r="M72">
        <v>4.3529999999999999E-2</v>
      </c>
    </row>
    <row r="73" spans="1:13" x14ac:dyDescent="0.35">
      <c r="A73" s="3" t="e">
        <v>#N/A</v>
      </c>
      <c r="B73" s="5">
        <v>4.3389999999999998E-2</v>
      </c>
      <c r="D73">
        <v>4.3389999999999998E-2</v>
      </c>
      <c r="F73" s="7" t="str">
        <f t="shared" si="2"/>
        <v/>
      </c>
      <c r="G73" s="7">
        <f t="shared" si="3"/>
        <v>0</v>
      </c>
      <c r="K73">
        <v>72</v>
      </c>
      <c r="L73">
        <v>4.2689999999999999E-2</v>
      </c>
      <c r="M73">
        <v>4.3389999999999998E-2</v>
      </c>
    </row>
    <row r="74" spans="1:13" x14ac:dyDescent="0.35">
      <c r="A74" s="3" t="e">
        <v>#N/A</v>
      </c>
      <c r="B74" s="5">
        <v>4.3249999999999997E-2</v>
      </c>
      <c r="D74">
        <v>4.3249999999999997E-2</v>
      </c>
      <c r="F74" s="7" t="str">
        <f t="shared" si="2"/>
        <v/>
      </c>
      <c r="G74" s="7">
        <f t="shared" si="3"/>
        <v>0</v>
      </c>
      <c r="K74">
        <v>73</v>
      </c>
      <c r="L74">
        <v>4.2560000000000001E-2</v>
      </c>
      <c r="M74">
        <v>4.3249999999999997E-2</v>
      </c>
    </row>
    <row r="75" spans="1:13" x14ac:dyDescent="0.35">
      <c r="A75" s="3" t="e">
        <v>#N/A</v>
      </c>
      <c r="B75" s="5">
        <v>4.3110000000000002E-2</v>
      </c>
      <c r="D75">
        <v>4.3110000000000002E-2</v>
      </c>
      <c r="F75" s="7" t="str">
        <f t="shared" si="2"/>
        <v/>
      </c>
      <c r="G75" s="7">
        <f t="shared" si="3"/>
        <v>0</v>
      </c>
      <c r="K75">
        <v>74</v>
      </c>
      <c r="L75">
        <v>4.2419999999999999E-2</v>
      </c>
      <c r="M75">
        <v>4.3110000000000002E-2</v>
      </c>
    </row>
    <row r="76" spans="1:13" x14ac:dyDescent="0.35">
      <c r="A76" s="3" t="e">
        <v>#N/A</v>
      </c>
      <c r="B76" s="5">
        <v>4.2979999999999997E-2</v>
      </c>
      <c r="D76">
        <v>4.2979999999999997E-2</v>
      </c>
      <c r="F76" s="7" t="str">
        <f t="shared" si="2"/>
        <v/>
      </c>
      <c r="G76" s="7">
        <f t="shared" si="3"/>
        <v>0</v>
      </c>
      <c r="K76">
        <v>75</v>
      </c>
      <c r="L76">
        <v>4.2290000000000001E-2</v>
      </c>
      <c r="M76">
        <v>4.2979999999999997E-2</v>
      </c>
    </row>
    <row r="77" spans="1:13" x14ac:dyDescent="0.35">
      <c r="A77" s="3" t="e">
        <v>#N/A</v>
      </c>
      <c r="B77" s="5">
        <v>4.2849999999999999E-2</v>
      </c>
      <c r="D77">
        <v>4.2849999999999999E-2</v>
      </c>
      <c r="F77" s="7" t="str">
        <f t="shared" si="2"/>
        <v/>
      </c>
      <c r="G77" s="7">
        <f t="shared" si="3"/>
        <v>0</v>
      </c>
      <c r="K77">
        <v>76</v>
      </c>
      <c r="L77">
        <v>4.2169999999999999E-2</v>
      </c>
      <c r="M77">
        <v>4.2849999999999999E-2</v>
      </c>
    </row>
    <row r="78" spans="1:13" x14ac:dyDescent="0.35">
      <c r="A78" s="3" t="e">
        <v>#N/A</v>
      </c>
      <c r="B78" s="5">
        <v>4.2720000000000001E-2</v>
      </c>
      <c r="D78">
        <v>4.2720000000000001E-2</v>
      </c>
      <c r="F78" s="7" t="str">
        <f t="shared" si="2"/>
        <v/>
      </c>
      <c r="G78" s="7">
        <f t="shared" si="3"/>
        <v>0</v>
      </c>
      <c r="K78">
        <v>77</v>
      </c>
      <c r="L78">
        <v>4.2040000000000001E-2</v>
      </c>
      <c r="M78">
        <v>4.2720000000000001E-2</v>
      </c>
    </row>
    <row r="79" spans="1:13" x14ac:dyDescent="0.35">
      <c r="A79" s="3" t="e">
        <v>#N/A</v>
      </c>
      <c r="B79" s="5">
        <v>4.2590000000000003E-2</v>
      </c>
      <c r="D79">
        <v>4.2590000000000003E-2</v>
      </c>
      <c r="F79" s="7" t="str">
        <f t="shared" si="2"/>
        <v/>
      </c>
      <c r="G79" s="7">
        <f t="shared" si="3"/>
        <v>0</v>
      </c>
      <c r="K79">
        <v>78</v>
      </c>
      <c r="L79">
        <v>4.1930000000000002E-2</v>
      </c>
      <c r="M79">
        <v>4.2590000000000003E-2</v>
      </c>
    </row>
    <row r="80" spans="1:13" x14ac:dyDescent="0.35">
      <c r="A80" s="3" t="e">
        <v>#N/A</v>
      </c>
      <c r="B80" s="5">
        <v>4.2470000000000001E-2</v>
      </c>
      <c r="D80">
        <v>4.2470000000000001E-2</v>
      </c>
      <c r="F80" s="7" t="str">
        <f t="shared" si="2"/>
        <v/>
      </c>
      <c r="G80" s="7">
        <f t="shared" si="3"/>
        <v>0</v>
      </c>
      <c r="K80">
        <v>79</v>
      </c>
      <c r="L80">
        <v>4.181E-2</v>
      </c>
      <c r="M80">
        <v>4.2470000000000001E-2</v>
      </c>
    </row>
    <row r="81" spans="1:13" x14ac:dyDescent="0.35">
      <c r="A81" s="3" t="e">
        <v>#N/A</v>
      </c>
      <c r="B81" s="5">
        <v>4.2349999999999999E-2</v>
      </c>
      <c r="D81">
        <v>4.2349999999999999E-2</v>
      </c>
      <c r="F81" s="7" t="str">
        <f t="shared" si="2"/>
        <v/>
      </c>
      <c r="G81" s="7">
        <f t="shared" si="3"/>
        <v>0</v>
      </c>
      <c r="K81">
        <v>80</v>
      </c>
      <c r="L81">
        <v>4.1700000000000001E-2</v>
      </c>
      <c r="M81">
        <v>4.2349999999999999E-2</v>
      </c>
    </row>
    <row r="82" spans="1:13" x14ac:dyDescent="0.35">
      <c r="A82" s="3" t="e">
        <v>#N/A</v>
      </c>
      <c r="B82" s="5">
        <v>4.224E-2</v>
      </c>
      <c r="D82">
        <v>4.224E-2</v>
      </c>
      <c r="F82" s="7" t="str">
        <f t="shared" si="2"/>
        <v/>
      </c>
      <c r="G82" s="7">
        <f t="shared" si="3"/>
        <v>0</v>
      </c>
      <c r="K82">
        <v>81</v>
      </c>
      <c r="L82">
        <v>4.1590000000000002E-2</v>
      </c>
      <c r="M82">
        <v>4.224E-2</v>
      </c>
    </row>
    <row r="83" spans="1:13" x14ac:dyDescent="0.35">
      <c r="A83" s="3" t="e">
        <v>#N/A</v>
      </c>
      <c r="B83" s="5">
        <v>4.2130000000000001E-2</v>
      </c>
      <c r="D83">
        <v>4.2130000000000001E-2</v>
      </c>
      <c r="F83" s="7" t="str">
        <f t="shared" si="2"/>
        <v/>
      </c>
      <c r="G83" s="7">
        <f t="shared" si="3"/>
        <v>0</v>
      </c>
      <c r="K83">
        <v>82</v>
      </c>
      <c r="L83">
        <v>4.1480000000000003E-2</v>
      </c>
      <c r="M83">
        <v>4.2130000000000001E-2</v>
      </c>
    </row>
    <row r="84" spans="1:13" x14ac:dyDescent="0.35">
      <c r="A84" s="3" t="e">
        <v>#N/A</v>
      </c>
      <c r="B84" s="5">
        <v>4.2020000000000002E-2</v>
      </c>
      <c r="D84">
        <v>4.2020000000000002E-2</v>
      </c>
      <c r="F84" s="7" t="str">
        <f t="shared" si="2"/>
        <v/>
      </c>
      <c r="G84" s="7">
        <f t="shared" si="3"/>
        <v>0</v>
      </c>
      <c r="K84">
        <v>83</v>
      </c>
      <c r="L84">
        <v>4.1369999999999997E-2</v>
      </c>
      <c r="M84">
        <v>4.2020000000000002E-2</v>
      </c>
    </row>
    <row r="85" spans="1:13" x14ac:dyDescent="0.35">
      <c r="A85" s="3" t="e">
        <v>#N/A</v>
      </c>
      <c r="B85" s="5">
        <v>4.1910000000000003E-2</v>
      </c>
      <c r="D85">
        <v>4.1910000000000003E-2</v>
      </c>
      <c r="F85" s="7" t="str">
        <f t="shared" si="2"/>
        <v/>
      </c>
      <c r="G85" s="7">
        <f t="shared" si="3"/>
        <v>0</v>
      </c>
      <c r="K85">
        <v>84</v>
      </c>
      <c r="L85">
        <v>4.1270000000000001E-2</v>
      </c>
      <c r="M85">
        <v>4.1910000000000003E-2</v>
      </c>
    </row>
    <row r="86" spans="1:13" x14ac:dyDescent="0.35">
      <c r="A86" s="3" t="e">
        <v>#N/A</v>
      </c>
      <c r="B86" s="5">
        <v>4.1799999999999997E-2</v>
      </c>
      <c r="D86">
        <v>4.1799999999999997E-2</v>
      </c>
      <c r="F86" s="7" t="str">
        <f t="shared" si="2"/>
        <v/>
      </c>
      <c r="G86" s="7">
        <f t="shared" si="3"/>
        <v>0</v>
      </c>
      <c r="K86">
        <v>85</v>
      </c>
      <c r="L86">
        <v>4.1169999999999998E-2</v>
      </c>
      <c r="M86">
        <v>4.1799999999999997E-2</v>
      </c>
    </row>
    <row r="87" spans="1:13" x14ac:dyDescent="0.35">
      <c r="A87" s="3" t="e">
        <v>#N/A</v>
      </c>
      <c r="B87" s="5">
        <v>4.1700000000000001E-2</v>
      </c>
      <c r="D87">
        <v>4.1700000000000001E-2</v>
      </c>
      <c r="F87" s="7" t="str">
        <f t="shared" si="2"/>
        <v/>
      </c>
      <c r="G87" s="7">
        <f t="shared" si="3"/>
        <v>0</v>
      </c>
      <c r="K87">
        <v>86</v>
      </c>
      <c r="L87">
        <v>4.1079999999999998E-2</v>
      </c>
      <c r="M87">
        <v>4.1700000000000001E-2</v>
      </c>
    </row>
    <row r="88" spans="1:13" x14ac:dyDescent="0.35">
      <c r="A88" s="3" t="e">
        <v>#N/A</v>
      </c>
      <c r="B88" s="5">
        <v>4.1599999999999998E-2</v>
      </c>
      <c r="D88">
        <v>4.1599999999999998E-2</v>
      </c>
      <c r="F88" s="7" t="str">
        <f t="shared" si="2"/>
        <v/>
      </c>
      <c r="G88" s="7">
        <f t="shared" si="3"/>
        <v>0</v>
      </c>
      <c r="K88">
        <v>87</v>
      </c>
      <c r="L88">
        <v>4.0980000000000003E-2</v>
      </c>
      <c r="M88">
        <v>4.1599999999999998E-2</v>
      </c>
    </row>
    <row r="89" spans="1:13" x14ac:dyDescent="0.35">
      <c r="A89" s="3" t="e">
        <v>#N/A</v>
      </c>
      <c r="B89" s="5">
        <v>4.1500000000000002E-2</v>
      </c>
      <c r="D89">
        <v>4.1500000000000002E-2</v>
      </c>
      <c r="F89" s="7" t="str">
        <f t="shared" si="2"/>
        <v/>
      </c>
      <c r="G89" s="7">
        <f t="shared" si="3"/>
        <v>0</v>
      </c>
      <c r="K89">
        <v>88</v>
      </c>
      <c r="L89">
        <v>4.0890000000000003E-2</v>
      </c>
      <c r="M89">
        <v>4.1500000000000002E-2</v>
      </c>
    </row>
    <row r="90" spans="1:13" x14ac:dyDescent="0.35">
      <c r="A90" s="3" t="e">
        <v>#N/A</v>
      </c>
      <c r="B90" s="5">
        <v>4.1410000000000002E-2</v>
      </c>
      <c r="D90">
        <v>4.1410000000000002E-2</v>
      </c>
      <c r="F90" s="7" t="str">
        <f t="shared" si="2"/>
        <v/>
      </c>
      <c r="G90" s="7">
        <f t="shared" si="3"/>
        <v>0</v>
      </c>
      <c r="K90">
        <v>89</v>
      </c>
      <c r="L90">
        <v>4.0800000000000003E-2</v>
      </c>
      <c r="M90">
        <v>4.1410000000000002E-2</v>
      </c>
    </row>
    <row r="91" spans="1:13" x14ac:dyDescent="0.35">
      <c r="A91" s="3" t="e">
        <v>#N/A</v>
      </c>
      <c r="B91" s="5">
        <v>4.1309999999999999E-2</v>
      </c>
      <c r="D91">
        <v>4.1309999999999999E-2</v>
      </c>
      <c r="F91" s="7" t="str">
        <f t="shared" si="2"/>
        <v/>
      </c>
      <c r="G91" s="7">
        <f t="shared" si="3"/>
        <v>0</v>
      </c>
      <c r="K91">
        <v>90</v>
      </c>
      <c r="L91">
        <v>4.0710000000000003E-2</v>
      </c>
      <c r="M91">
        <v>4.1309999999999999E-2</v>
      </c>
    </row>
    <row r="92" spans="1:13" x14ac:dyDescent="0.35">
      <c r="A92" s="3" t="e">
        <v>#N/A</v>
      </c>
      <c r="B92" s="5">
        <v>4.122E-2</v>
      </c>
      <c r="D92">
        <v>4.122E-2</v>
      </c>
      <c r="F92" s="7" t="str">
        <f t="shared" si="2"/>
        <v/>
      </c>
      <c r="G92" s="7">
        <f t="shared" si="3"/>
        <v>0</v>
      </c>
      <c r="K92">
        <v>91</v>
      </c>
      <c r="L92">
        <v>4.0620000000000003E-2</v>
      </c>
      <c r="M92">
        <v>4.122E-2</v>
      </c>
    </row>
    <row r="93" spans="1:13" x14ac:dyDescent="0.35">
      <c r="A93" s="3" t="e">
        <v>#N/A</v>
      </c>
      <c r="B93" s="5">
        <v>4.113E-2</v>
      </c>
      <c r="D93">
        <v>4.113E-2</v>
      </c>
      <c r="F93" s="7" t="str">
        <f t="shared" si="2"/>
        <v/>
      </c>
      <c r="G93" s="7">
        <f t="shared" si="3"/>
        <v>0</v>
      </c>
      <c r="K93">
        <v>92</v>
      </c>
      <c r="L93">
        <v>4.054E-2</v>
      </c>
      <c r="M93">
        <v>4.113E-2</v>
      </c>
    </row>
    <row r="94" spans="1:13" x14ac:dyDescent="0.35">
      <c r="A94" s="3" t="e">
        <v>#N/A</v>
      </c>
      <c r="B94" s="5">
        <v>4.1050000000000003E-2</v>
      </c>
      <c r="D94">
        <v>4.1050000000000003E-2</v>
      </c>
      <c r="F94" s="7" t="str">
        <f t="shared" si="2"/>
        <v/>
      </c>
      <c r="G94" s="7">
        <f t="shared" si="3"/>
        <v>0</v>
      </c>
      <c r="K94">
        <v>93</v>
      </c>
      <c r="L94">
        <v>4.0460000000000003E-2</v>
      </c>
      <c r="M94">
        <v>4.1050000000000003E-2</v>
      </c>
    </row>
    <row r="95" spans="1:13" x14ac:dyDescent="0.35">
      <c r="A95" s="3" t="e">
        <v>#N/A</v>
      </c>
      <c r="B95" s="5">
        <v>4.0960000000000003E-2</v>
      </c>
      <c r="D95">
        <v>4.0960000000000003E-2</v>
      </c>
      <c r="F95" s="7" t="str">
        <f t="shared" si="2"/>
        <v/>
      </c>
      <c r="G95" s="7">
        <f t="shared" si="3"/>
        <v>0</v>
      </c>
      <c r="K95">
        <v>94</v>
      </c>
      <c r="L95">
        <v>4.0379999999999999E-2</v>
      </c>
      <c r="M95">
        <v>4.0960000000000003E-2</v>
      </c>
    </row>
    <row r="96" spans="1:13" x14ac:dyDescent="0.35">
      <c r="A96" s="3" t="e">
        <v>#N/A</v>
      </c>
      <c r="B96" s="5">
        <v>4.088E-2</v>
      </c>
      <c r="D96">
        <v>4.088E-2</v>
      </c>
      <c r="F96" s="7" t="str">
        <f t="shared" si="2"/>
        <v/>
      </c>
      <c r="G96" s="7">
        <f t="shared" si="3"/>
        <v>0</v>
      </c>
      <c r="K96">
        <v>95</v>
      </c>
      <c r="L96">
        <v>4.0300000000000002E-2</v>
      </c>
      <c r="M96">
        <v>4.088E-2</v>
      </c>
    </row>
    <row r="97" spans="1:13" x14ac:dyDescent="0.35">
      <c r="A97" s="3" t="e">
        <v>#N/A</v>
      </c>
      <c r="B97" s="5">
        <v>4.079E-2</v>
      </c>
      <c r="D97">
        <v>4.079E-2</v>
      </c>
      <c r="F97" s="7" t="str">
        <f t="shared" si="2"/>
        <v/>
      </c>
      <c r="G97" s="7">
        <f t="shared" si="3"/>
        <v>0</v>
      </c>
      <c r="K97">
        <v>96</v>
      </c>
      <c r="L97">
        <v>4.0219999999999999E-2</v>
      </c>
      <c r="M97">
        <v>4.079E-2</v>
      </c>
    </row>
    <row r="98" spans="1:13" x14ac:dyDescent="0.35">
      <c r="A98" s="3" t="e">
        <v>#N/A</v>
      </c>
      <c r="B98" s="5">
        <v>4.0710000000000003E-2</v>
      </c>
      <c r="D98">
        <v>4.0710000000000003E-2</v>
      </c>
      <c r="F98" s="7" t="str">
        <f t="shared" si="2"/>
        <v/>
      </c>
      <c r="G98" s="7">
        <f t="shared" si="3"/>
        <v>0</v>
      </c>
      <c r="K98">
        <v>97</v>
      </c>
      <c r="L98">
        <v>4.0149999999999998E-2</v>
      </c>
      <c r="M98">
        <v>4.0710000000000003E-2</v>
      </c>
    </row>
    <row r="99" spans="1:13" x14ac:dyDescent="0.35">
      <c r="A99" s="3" t="e">
        <v>#N/A</v>
      </c>
      <c r="B99" s="5">
        <v>4.0629999999999999E-2</v>
      </c>
      <c r="D99">
        <v>4.0629999999999999E-2</v>
      </c>
      <c r="F99" s="7" t="str">
        <f t="shared" si="2"/>
        <v/>
      </c>
      <c r="G99" s="7">
        <f t="shared" si="3"/>
        <v>0</v>
      </c>
      <c r="K99">
        <v>98</v>
      </c>
      <c r="L99">
        <v>4.0070000000000001E-2</v>
      </c>
      <c r="M99">
        <v>4.0629999999999999E-2</v>
      </c>
    </row>
    <row r="100" spans="1:13" x14ac:dyDescent="0.35">
      <c r="A100" s="3" t="e">
        <v>#N/A</v>
      </c>
      <c r="B100" s="5">
        <v>4.0559999999999999E-2</v>
      </c>
      <c r="D100">
        <v>4.0559999999999999E-2</v>
      </c>
      <c r="F100" s="7" t="str">
        <f t="shared" si="2"/>
        <v/>
      </c>
      <c r="G100" s="7">
        <f t="shared" si="3"/>
        <v>0</v>
      </c>
      <c r="K100">
        <v>99</v>
      </c>
      <c r="L100">
        <v>0.04</v>
      </c>
      <c r="M100">
        <v>4.0559999999999999E-2</v>
      </c>
    </row>
    <row r="101" spans="1:13" x14ac:dyDescent="0.35">
      <c r="A101" s="3" t="e">
        <v>#N/A</v>
      </c>
      <c r="B101" s="5">
        <v>4.0480000000000002E-2</v>
      </c>
      <c r="D101">
        <v>4.0480000000000002E-2</v>
      </c>
      <c r="F101" s="7" t="str">
        <f t="shared" si="2"/>
        <v/>
      </c>
      <c r="G101" s="7">
        <f t="shared" si="3"/>
        <v>0</v>
      </c>
      <c r="K101">
        <v>100</v>
      </c>
      <c r="L101">
        <v>3.993E-2</v>
      </c>
      <c r="M101">
        <v>4.0480000000000002E-2</v>
      </c>
    </row>
    <row r="102" spans="1:13" x14ac:dyDescent="0.35">
      <c r="A102" s="3" t="e">
        <v>#N/A</v>
      </c>
      <c r="B102" s="5">
        <v>4.0410000000000001E-2</v>
      </c>
      <c r="D102">
        <v>4.0410000000000001E-2</v>
      </c>
      <c r="F102" s="7" t="str">
        <f t="shared" si="2"/>
        <v/>
      </c>
      <c r="G102" s="7">
        <f t="shared" si="3"/>
        <v>0</v>
      </c>
      <c r="K102">
        <v>101</v>
      </c>
      <c r="L102">
        <v>3.986E-2</v>
      </c>
      <c r="M102">
        <v>4.0410000000000001E-2</v>
      </c>
    </row>
    <row r="103" spans="1:13" x14ac:dyDescent="0.35">
      <c r="A103" s="3" t="e">
        <v>#N/A</v>
      </c>
      <c r="B103" s="5">
        <v>4.0329999999999998E-2</v>
      </c>
      <c r="D103">
        <v>4.0329999999999998E-2</v>
      </c>
      <c r="F103" s="7" t="str">
        <f t="shared" si="2"/>
        <v/>
      </c>
      <c r="G103" s="7">
        <f t="shared" si="3"/>
        <v>0</v>
      </c>
      <c r="K103">
        <v>102</v>
      </c>
      <c r="L103">
        <v>3.9789999999999999E-2</v>
      </c>
      <c r="M103">
        <v>4.0329999999999998E-2</v>
      </c>
    </row>
    <row r="104" spans="1:13" x14ac:dyDescent="0.35">
      <c r="A104" s="3" t="e">
        <v>#N/A</v>
      </c>
      <c r="B104" s="5">
        <v>4.0259999999999997E-2</v>
      </c>
      <c r="D104">
        <v>4.0259999999999997E-2</v>
      </c>
      <c r="F104" s="7" t="str">
        <f t="shared" si="2"/>
        <v/>
      </c>
      <c r="G104" s="7">
        <f t="shared" si="3"/>
        <v>0</v>
      </c>
      <c r="K104">
        <v>103</v>
      </c>
      <c r="L104">
        <v>3.9730000000000001E-2</v>
      </c>
      <c r="M104">
        <v>4.0259999999999997E-2</v>
      </c>
    </row>
    <row r="105" spans="1:13" x14ac:dyDescent="0.35">
      <c r="A105" s="3" t="e">
        <v>#N/A</v>
      </c>
      <c r="B105" s="5">
        <v>4.0189999999999997E-2</v>
      </c>
      <c r="D105">
        <v>4.0189999999999997E-2</v>
      </c>
      <c r="F105" s="7" t="str">
        <f t="shared" si="2"/>
        <v/>
      </c>
      <c r="G105" s="7">
        <f t="shared" si="3"/>
        <v>0</v>
      </c>
      <c r="K105">
        <v>104</v>
      </c>
      <c r="L105">
        <v>3.9660000000000001E-2</v>
      </c>
      <c r="M105">
        <v>4.0189999999999997E-2</v>
      </c>
    </row>
    <row r="106" spans="1:13" x14ac:dyDescent="0.35">
      <c r="A106" s="3" t="e">
        <v>#N/A</v>
      </c>
      <c r="B106" s="5">
        <v>4.0120000000000003E-2</v>
      </c>
      <c r="D106">
        <v>4.0120000000000003E-2</v>
      </c>
      <c r="F106" s="7" t="str">
        <f t="shared" si="2"/>
        <v/>
      </c>
      <c r="G106" s="7">
        <f t="shared" si="3"/>
        <v>0</v>
      </c>
      <c r="K106">
        <v>105</v>
      </c>
      <c r="L106">
        <v>3.9600000000000003E-2</v>
      </c>
      <c r="M106">
        <v>4.0120000000000003E-2</v>
      </c>
    </row>
    <row r="107" spans="1:13" x14ac:dyDescent="0.35">
      <c r="A107" s="3" t="e">
        <v>#N/A</v>
      </c>
      <c r="B107" s="5">
        <v>4.0059999999999998E-2</v>
      </c>
      <c r="D107">
        <v>4.0059999999999998E-2</v>
      </c>
      <c r="F107" s="7" t="str">
        <f t="shared" si="2"/>
        <v/>
      </c>
      <c r="G107" s="7">
        <f t="shared" si="3"/>
        <v>0</v>
      </c>
      <c r="K107">
        <v>106</v>
      </c>
      <c r="L107">
        <v>3.9530000000000003E-2</v>
      </c>
      <c r="M107">
        <v>4.0059999999999998E-2</v>
      </c>
    </row>
    <row r="108" spans="1:13" x14ac:dyDescent="0.35">
      <c r="A108" s="3" t="e">
        <v>#N/A</v>
      </c>
      <c r="B108" s="5">
        <v>3.9989999999999998E-2</v>
      </c>
      <c r="D108">
        <v>3.9989999999999998E-2</v>
      </c>
      <c r="F108" s="7" t="str">
        <f t="shared" si="2"/>
        <v/>
      </c>
      <c r="G108" s="7">
        <f t="shared" si="3"/>
        <v>0</v>
      </c>
      <c r="K108">
        <v>107</v>
      </c>
      <c r="L108">
        <v>3.9469999999999998E-2</v>
      </c>
      <c r="M108">
        <v>3.9989999999999998E-2</v>
      </c>
    </row>
    <row r="109" spans="1:13" x14ac:dyDescent="0.35">
      <c r="A109" s="3" t="e">
        <v>#N/A</v>
      </c>
      <c r="B109" s="5">
        <v>3.993E-2</v>
      </c>
      <c r="D109">
        <v>3.993E-2</v>
      </c>
      <c r="F109" s="7" t="str">
        <f t="shared" si="2"/>
        <v/>
      </c>
      <c r="G109" s="7">
        <f t="shared" si="3"/>
        <v>0</v>
      </c>
      <c r="K109">
        <v>108</v>
      </c>
      <c r="L109">
        <v>3.9410000000000001E-2</v>
      </c>
      <c r="M109">
        <v>3.993E-2</v>
      </c>
    </row>
    <row r="110" spans="1:13" x14ac:dyDescent="0.35">
      <c r="A110" s="3" t="e">
        <v>#N/A</v>
      </c>
      <c r="B110" s="5">
        <v>3.986E-2</v>
      </c>
      <c r="D110">
        <v>3.986E-2</v>
      </c>
      <c r="F110" s="7" t="str">
        <f t="shared" si="2"/>
        <v/>
      </c>
      <c r="G110" s="7">
        <f t="shared" si="3"/>
        <v>0</v>
      </c>
      <c r="K110">
        <v>109</v>
      </c>
      <c r="L110">
        <v>3.9350000000000003E-2</v>
      </c>
      <c r="M110">
        <v>3.986E-2</v>
      </c>
    </row>
    <row r="111" spans="1:13" x14ac:dyDescent="0.35">
      <c r="A111" s="3" t="e">
        <v>#N/A</v>
      </c>
      <c r="B111" s="5">
        <v>3.9800000000000002E-2</v>
      </c>
      <c r="D111">
        <v>3.9800000000000002E-2</v>
      </c>
      <c r="F111" s="7" t="str">
        <f t="shared" si="2"/>
        <v/>
      </c>
      <c r="G111" s="7">
        <f t="shared" si="3"/>
        <v>0</v>
      </c>
      <c r="K111">
        <v>110</v>
      </c>
      <c r="L111">
        <v>3.9289999999999999E-2</v>
      </c>
      <c r="M111">
        <v>3.9800000000000002E-2</v>
      </c>
    </row>
    <row r="112" spans="1:13" x14ac:dyDescent="0.35">
      <c r="A112" s="3" t="e">
        <v>#N/A</v>
      </c>
      <c r="B112" s="5">
        <v>3.9739999999999998E-2</v>
      </c>
      <c r="D112">
        <v>3.9739999999999998E-2</v>
      </c>
      <c r="F112" s="7" t="str">
        <f t="shared" si="2"/>
        <v/>
      </c>
      <c r="G112" s="7">
        <f t="shared" si="3"/>
        <v>0</v>
      </c>
      <c r="K112">
        <v>111</v>
      </c>
      <c r="L112">
        <v>3.9239999999999997E-2</v>
      </c>
      <c r="M112">
        <v>3.9739999999999998E-2</v>
      </c>
    </row>
    <row r="113" spans="1:13" x14ac:dyDescent="0.35">
      <c r="A113" s="3" t="e">
        <v>#N/A</v>
      </c>
      <c r="B113" s="5">
        <v>3.968E-2</v>
      </c>
      <c r="D113">
        <v>3.968E-2</v>
      </c>
      <c r="F113" s="7" t="str">
        <f t="shared" si="2"/>
        <v/>
      </c>
      <c r="G113" s="7">
        <f t="shared" si="3"/>
        <v>0</v>
      </c>
      <c r="K113">
        <v>112</v>
      </c>
      <c r="L113">
        <v>3.918E-2</v>
      </c>
      <c r="M113">
        <v>3.968E-2</v>
      </c>
    </row>
    <row r="114" spans="1:13" x14ac:dyDescent="0.35">
      <c r="A114" s="3" t="e">
        <v>#N/A</v>
      </c>
      <c r="B114" s="5">
        <v>3.9620000000000002E-2</v>
      </c>
      <c r="D114">
        <v>3.9620000000000002E-2</v>
      </c>
      <c r="F114" s="7" t="str">
        <f t="shared" si="2"/>
        <v/>
      </c>
      <c r="G114" s="7">
        <f t="shared" si="3"/>
        <v>0</v>
      </c>
      <c r="K114">
        <v>113</v>
      </c>
      <c r="L114">
        <v>3.9120000000000002E-2</v>
      </c>
      <c r="M114">
        <v>3.9620000000000002E-2</v>
      </c>
    </row>
    <row r="115" spans="1:13" x14ac:dyDescent="0.35">
      <c r="A115" s="3" t="e">
        <v>#N/A</v>
      </c>
      <c r="B115" s="5">
        <v>3.9559999999999998E-2</v>
      </c>
      <c r="D115">
        <v>3.9559999999999998E-2</v>
      </c>
      <c r="F115" s="7" t="str">
        <f t="shared" si="2"/>
        <v/>
      </c>
      <c r="G115" s="7">
        <f t="shared" si="3"/>
        <v>0</v>
      </c>
      <c r="K115">
        <v>114</v>
      </c>
      <c r="L115">
        <v>3.9070000000000001E-2</v>
      </c>
      <c r="M115">
        <v>3.9559999999999998E-2</v>
      </c>
    </row>
    <row r="116" spans="1:13" x14ac:dyDescent="0.35">
      <c r="A116" s="3" t="e">
        <v>#N/A</v>
      </c>
      <c r="B116" s="5">
        <v>3.95E-2</v>
      </c>
      <c r="D116">
        <v>3.95E-2</v>
      </c>
      <c r="F116" s="7" t="str">
        <f t="shared" si="2"/>
        <v/>
      </c>
      <c r="G116" s="7">
        <f t="shared" si="3"/>
        <v>0</v>
      </c>
      <c r="K116">
        <v>115</v>
      </c>
      <c r="L116">
        <v>3.9019999999999999E-2</v>
      </c>
      <c r="M116">
        <v>3.95E-2</v>
      </c>
    </row>
    <row r="117" spans="1:13" x14ac:dyDescent="0.35">
      <c r="A117" s="3" t="e">
        <v>#N/A</v>
      </c>
      <c r="B117" s="5">
        <v>3.9449999999999999E-2</v>
      </c>
      <c r="D117">
        <v>3.9449999999999999E-2</v>
      </c>
      <c r="F117" s="7" t="str">
        <f t="shared" si="2"/>
        <v/>
      </c>
      <c r="G117" s="7">
        <f t="shared" si="3"/>
        <v>0</v>
      </c>
      <c r="K117">
        <v>116</v>
      </c>
      <c r="L117">
        <v>3.8969999999999998E-2</v>
      </c>
      <c r="M117">
        <v>3.9449999999999999E-2</v>
      </c>
    </row>
    <row r="118" spans="1:13" x14ac:dyDescent="0.35">
      <c r="A118" s="3" t="e">
        <v>#N/A</v>
      </c>
      <c r="B118" s="5">
        <v>3.9390000000000001E-2</v>
      </c>
      <c r="D118">
        <v>3.9390000000000001E-2</v>
      </c>
      <c r="F118" s="7" t="str">
        <f t="shared" si="2"/>
        <v/>
      </c>
      <c r="G118" s="7">
        <f t="shared" si="3"/>
        <v>0</v>
      </c>
      <c r="K118">
        <v>117</v>
      </c>
      <c r="L118">
        <v>3.891E-2</v>
      </c>
      <c r="M118">
        <v>3.9390000000000001E-2</v>
      </c>
    </row>
    <row r="119" spans="1:13" x14ac:dyDescent="0.35">
      <c r="A119" s="3" t="e">
        <v>#N/A</v>
      </c>
      <c r="B119" s="5">
        <v>3.934E-2</v>
      </c>
      <c r="D119">
        <v>3.934E-2</v>
      </c>
      <c r="F119" s="7" t="str">
        <f t="shared" si="2"/>
        <v/>
      </c>
      <c r="G119" s="7">
        <f t="shared" si="3"/>
        <v>0</v>
      </c>
      <c r="K119">
        <v>118</v>
      </c>
      <c r="L119">
        <v>3.8859999999999999E-2</v>
      </c>
      <c r="M119">
        <v>3.934E-2</v>
      </c>
    </row>
    <row r="120" spans="1:13" x14ac:dyDescent="0.35">
      <c r="A120" s="3" t="e">
        <v>#N/A</v>
      </c>
      <c r="B120" s="5">
        <v>3.9280000000000002E-2</v>
      </c>
      <c r="D120">
        <v>3.9280000000000002E-2</v>
      </c>
      <c r="F120" s="7" t="str">
        <f t="shared" si="2"/>
        <v/>
      </c>
      <c r="G120" s="7">
        <f t="shared" si="3"/>
        <v>0</v>
      </c>
      <c r="K120">
        <v>119</v>
      </c>
      <c r="L120">
        <v>3.8809999999999997E-2</v>
      </c>
      <c r="M120">
        <v>3.9280000000000002E-2</v>
      </c>
    </row>
    <row r="121" spans="1:13" x14ac:dyDescent="0.35">
      <c r="A121" s="3" t="e">
        <v>#N/A</v>
      </c>
      <c r="B121" s="5">
        <v>3.9230000000000001E-2</v>
      </c>
      <c r="D121">
        <v>3.9230000000000001E-2</v>
      </c>
      <c r="F121" s="7" t="str">
        <f t="shared" si="2"/>
        <v/>
      </c>
      <c r="G121" s="7">
        <f t="shared" si="3"/>
        <v>0</v>
      </c>
      <c r="K121">
        <v>120</v>
      </c>
      <c r="L121">
        <v>3.8769999999999999E-2</v>
      </c>
      <c r="M121">
        <v>3.9230000000000001E-2</v>
      </c>
    </row>
    <row r="122" spans="1:13" x14ac:dyDescent="0.35">
      <c r="A122" s="3" t="e">
        <v>#N/A</v>
      </c>
      <c r="B122" s="5">
        <v>3.918E-2</v>
      </c>
      <c r="D122">
        <v>3.918E-2</v>
      </c>
      <c r="F122" s="7" t="str">
        <f t="shared" si="2"/>
        <v/>
      </c>
      <c r="G122" s="7">
        <f t="shared" si="3"/>
        <v>0</v>
      </c>
      <c r="K122">
        <v>121</v>
      </c>
      <c r="L122">
        <v>3.8719999999999997E-2</v>
      </c>
      <c r="M122">
        <v>3.918E-2</v>
      </c>
    </row>
    <row r="123" spans="1:13" x14ac:dyDescent="0.35">
      <c r="A123" s="3" t="e">
        <v>#N/A</v>
      </c>
      <c r="B123" s="5">
        <v>3.9129999999999998E-2</v>
      </c>
      <c r="D123">
        <v>3.9129999999999998E-2</v>
      </c>
      <c r="F123" s="7" t="str">
        <f t="shared" si="2"/>
        <v/>
      </c>
      <c r="G123" s="7">
        <f t="shared" si="3"/>
        <v>0</v>
      </c>
      <c r="K123">
        <v>122</v>
      </c>
      <c r="L123">
        <v>3.8670000000000003E-2</v>
      </c>
      <c r="M123">
        <v>3.9129999999999998E-2</v>
      </c>
    </row>
    <row r="124" spans="1:13" x14ac:dyDescent="0.35">
      <c r="A124" s="3" t="e">
        <v>#N/A</v>
      </c>
      <c r="B124" s="5">
        <v>3.9079999999999997E-2</v>
      </c>
      <c r="D124">
        <v>3.9079999999999997E-2</v>
      </c>
      <c r="F124" s="7" t="str">
        <f t="shared" si="2"/>
        <v/>
      </c>
      <c r="G124" s="7">
        <f t="shared" si="3"/>
        <v>0</v>
      </c>
      <c r="K124">
        <v>123</v>
      </c>
      <c r="L124">
        <v>3.8620000000000002E-2</v>
      </c>
      <c r="M124">
        <v>3.9079999999999997E-2</v>
      </c>
    </row>
    <row r="125" spans="1:13" x14ac:dyDescent="0.35">
      <c r="A125" s="3" t="e">
        <v>#N/A</v>
      </c>
      <c r="B125" s="5">
        <v>3.9030000000000002E-2</v>
      </c>
      <c r="D125">
        <v>3.9030000000000002E-2</v>
      </c>
      <c r="F125" s="7" t="str">
        <f t="shared" si="2"/>
        <v/>
      </c>
      <c r="G125" s="7">
        <f t="shared" si="3"/>
        <v>0</v>
      </c>
      <c r="K125">
        <v>124</v>
      </c>
      <c r="L125">
        <v>3.8580000000000003E-2</v>
      </c>
      <c r="M125">
        <v>3.9030000000000002E-2</v>
      </c>
    </row>
    <row r="126" spans="1:13" x14ac:dyDescent="0.35">
      <c r="A126" s="3" t="e">
        <v>#N/A</v>
      </c>
      <c r="B126" s="5">
        <v>3.8980000000000001E-2</v>
      </c>
      <c r="D126">
        <v>3.8980000000000001E-2</v>
      </c>
      <c r="F126" s="7" t="str">
        <f t="shared" si="2"/>
        <v/>
      </c>
      <c r="G126" s="7">
        <f t="shared" si="3"/>
        <v>0</v>
      </c>
      <c r="K126">
        <v>125</v>
      </c>
      <c r="L126">
        <v>3.8530000000000002E-2</v>
      </c>
      <c r="M126">
        <v>3.8980000000000001E-2</v>
      </c>
    </row>
    <row r="127" spans="1:13" x14ac:dyDescent="0.35">
      <c r="A127" s="3" t="e">
        <v>#N/A</v>
      </c>
      <c r="B127" s="5">
        <v>3.8929999999999999E-2</v>
      </c>
      <c r="D127">
        <v>3.8929999999999999E-2</v>
      </c>
      <c r="F127" s="7" t="str">
        <f t="shared" si="2"/>
        <v/>
      </c>
      <c r="G127" s="7">
        <f t="shared" si="3"/>
        <v>0</v>
      </c>
      <c r="K127">
        <v>126</v>
      </c>
      <c r="L127">
        <v>3.8490000000000003E-2</v>
      </c>
      <c r="M127">
        <v>3.8929999999999999E-2</v>
      </c>
    </row>
    <row r="128" spans="1:13" x14ac:dyDescent="0.35">
      <c r="A128" s="3" t="e">
        <v>#N/A</v>
      </c>
      <c r="B128" s="5">
        <v>3.8890000000000001E-2</v>
      </c>
      <c r="D128">
        <v>3.8890000000000001E-2</v>
      </c>
      <c r="F128" s="7" t="str">
        <f t="shared" si="2"/>
        <v/>
      </c>
      <c r="G128" s="7">
        <f t="shared" si="3"/>
        <v>0</v>
      </c>
      <c r="K128">
        <v>127</v>
      </c>
      <c r="L128">
        <v>3.8449999999999998E-2</v>
      </c>
      <c r="M128">
        <v>3.8890000000000001E-2</v>
      </c>
    </row>
    <row r="129" spans="1:13" x14ac:dyDescent="0.35">
      <c r="A129" s="3" t="e">
        <v>#N/A</v>
      </c>
      <c r="B129" s="5">
        <v>3.884E-2</v>
      </c>
      <c r="D129">
        <v>3.884E-2</v>
      </c>
      <c r="F129" s="7" t="str">
        <f t="shared" si="2"/>
        <v/>
      </c>
      <c r="G129" s="7">
        <f t="shared" si="3"/>
        <v>0</v>
      </c>
      <c r="K129">
        <v>128</v>
      </c>
      <c r="L129">
        <v>3.8399999999999997E-2</v>
      </c>
      <c r="M129">
        <v>3.884E-2</v>
      </c>
    </row>
    <row r="130" spans="1:13" x14ac:dyDescent="0.35">
      <c r="A130" s="3" t="e">
        <v>#N/A</v>
      </c>
      <c r="B130" s="5">
        <v>3.8800000000000001E-2</v>
      </c>
      <c r="D130">
        <v>3.8800000000000001E-2</v>
      </c>
      <c r="F130" s="7" t="str">
        <f t="shared" si="2"/>
        <v/>
      </c>
      <c r="G130" s="7">
        <f t="shared" si="3"/>
        <v>0</v>
      </c>
      <c r="K130">
        <v>129</v>
      </c>
      <c r="L130">
        <v>3.8359999999999998E-2</v>
      </c>
      <c r="M130">
        <v>3.8800000000000001E-2</v>
      </c>
    </row>
    <row r="131" spans="1:13" x14ac:dyDescent="0.35">
      <c r="A131" s="3" t="e">
        <v>#N/A</v>
      </c>
      <c r="B131" s="5">
        <v>3.875E-2</v>
      </c>
      <c r="D131">
        <v>3.875E-2</v>
      </c>
      <c r="F131" s="7" t="str">
        <f t="shared" ref="F131:F151" si="4">IF(C131&lt;&gt;"",A131-C131,"")</f>
        <v/>
      </c>
      <c r="G131" s="7">
        <f t="shared" ref="G131:G151" si="5">B131-D131</f>
        <v>0</v>
      </c>
      <c r="K131">
        <v>130</v>
      </c>
      <c r="L131">
        <v>3.832E-2</v>
      </c>
      <c r="M131">
        <v>3.875E-2</v>
      </c>
    </row>
    <row r="132" spans="1:13" x14ac:dyDescent="0.35">
      <c r="A132" s="3" t="e">
        <v>#N/A</v>
      </c>
      <c r="B132" s="5">
        <v>3.8710000000000001E-2</v>
      </c>
      <c r="D132">
        <v>3.8710000000000001E-2</v>
      </c>
      <c r="F132" s="7" t="str">
        <f t="shared" si="4"/>
        <v/>
      </c>
      <c r="G132" s="7">
        <f t="shared" si="5"/>
        <v>0</v>
      </c>
      <c r="K132">
        <v>131</v>
      </c>
      <c r="L132">
        <v>3.8280000000000002E-2</v>
      </c>
      <c r="M132">
        <v>3.8710000000000001E-2</v>
      </c>
    </row>
    <row r="133" spans="1:13" x14ac:dyDescent="0.35">
      <c r="A133" s="3" t="e">
        <v>#N/A</v>
      </c>
      <c r="B133" s="5">
        <v>3.866E-2</v>
      </c>
      <c r="D133">
        <v>3.866E-2</v>
      </c>
      <c r="F133" s="7" t="str">
        <f t="shared" si="4"/>
        <v/>
      </c>
      <c r="G133" s="7">
        <f t="shared" si="5"/>
        <v>0</v>
      </c>
      <c r="K133">
        <v>132</v>
      </c>
      <c r="L133">
        <v>3.8240000000000003E-2</v>
      </c>
      <c r="M133">
        <v>3.866E-2</v>
      </c>
    </row>
    <row r="134" spans="1:13" x14ac:dyDescent="0.35">
      <c r="A134" s="3" t="e">
        <v>#N/A</v>
      </c>
      <c r="B134" s="5">
        <v>3.8620000000000002E-2</v>
      </c>
      <c r="D134">
        <v>3.8620000000000002E-2</v>
      </c>
      <c r="F134" s="7" t="str">
        <f t="shared" si="4"/>
        <v/>
      </c>
      <c r="G134" s="7">
        <f t="shared" si="5"/>
        <v>0</v>
      </c>
      <c r="K134">
        <v>133</v>
      </c>
      <c r="L134">
        <v>3.8199999999999998E-2</v>
      </c>
      <c r="M134">
        <v>3.8620000000000002E-2</v>
      </c>
    </row>
    <row r="135" spans="1:13" x14ac:dyDescent="0.35">
      <c r="A135" s="3" t="e">
        <v>#N/A</v>
      </c>
      <c r="B135" s="5">
        <v>3.8580000000000003E-2</v>
      </c>
      <c r="D135">
        <v>3.8580000000000003E-2</v>
      </c>
      <c r="F135" s="7" t="str">
        <f t="shared" si="4"/>
        <v/>
      </c>
      <c r="G135" s="7">
        <f t="shared" si="5"/>
        <v>0</v>
      </c>
      <c r="K135">
        <v>134</v>
      </c>
      <c r="L135">
        <v>3.8159999999999999E-2</v>
      </c>
      <c r="M135">
        <v>3.8580000000000003E-2</v>
      </c>
    </row>
    <row r="136" spans="1:13" x14ac:dyDescent="0.35">
      <c r="A136" s="3" t="e">
        <v>#N/A</v>
      </c>
      <c r="B136" s="5">
        <v>3.8539999999999998E-2</v>
      </c>
      <c r="D136">
        <v>3.8539999999999998E-2</v>
      </c>
      <c r="F136" s="7" t="str">
        <f t="shared" si="4"/>
        <v/>
      </c>
      <c r="G136" s="7">
        <f t="shared" si="5"/>
        <v>0</v>
      </c>
      <c r="K136">
        <v>135</v>
      </c>
      <c r="L136">
        <v>3.8120000000000001E-2</v>
      </c>
      <c r="M136">
        <v>3.8539999999999998E-2</v>
      </c>
    </row>
    <row r="137" spans="1:13" x14ac:dyDescent="0.35">
      <c r="A137" s="3" t="e">
        <v>#N/A</v>
      </c>
      <c r="B137" s="5">
        <v>3.85E-2</v>
      </c>
      <c r="D137">
        <v>3.85E-2</v>
      </c>
      <c r="F137" s="7" t="str">
        <f t="shared" si="4"/>
        <v/>
      </c>
      <c r="G137" s="7">
        <f t="shared" si="5"/>
        <v>0</v>
      </c>
      <c r="K137">
        <v>136</v>
      </c>
      <c r="L137">
        <v>3.8080000000000003E-2</v>
      </c>
      <c r="M137">
        <v>3.85E-2</v>
      </c>
    </row>
    <row r="138" spans="1:13" x14ac:dyDescent="0.35">
      <c r="A138" s="3" t="e">
        <v>#N/A</v>
      </c>
      <c r="B138" s="5">
        <v>3.8460000000000001E-2</v>
      </c>
      <c r="D138">
        <v>3.8460000000000001E-2</v>
      </c>
      <c r="F138" s="7" t="str">
        <f t="shared" si="4"/>
        <v/>
      </c>
      <c r="G138" s="7">
        <f t="shared" si="5"/>
        <v>0</v>
      </c>
      <c r="K138">
        <v>137</v>
      </c>
      <c r="L138">
        <v>3.805E-2</v>
      </c>
      <c r="M138">
        <v>3.8460000000000001E-2</v>
      </c>
    </row>
    <row r="139" spans="1:13" x14ac:dyDescent="0.35">
      <c r="A139" s="3" t="e">
        <v>#N/A</v>
      </c>
      <c r="B139" s="5">
        <v>3.8420000000000003E-2</v>
      </c>
      <c r="D139">
        <v>3.8420000000000003E-2</v>
      </c>
      <c r="F139" s="7" t="str">
        <f t="shared" si="4"/>
        <v/>
      </c>
      <c r="G139" s="7">
        <f t="shared" si="5"/>
        <v>0</v>
      </c>
      <c r="K139">
        <v>138</v>
      </c>
      <c r="L139">
        <v>3.8010000000000002E-2</v>
      </c>
      <c r="M139">
        <v>3.8420000000000003E-2</v>
      </c>
    </row>
    <row r="140" spans="1:13" x14ac:dyDescent="0.35">
      <c r="A140" s="3" t="e">
        <v>#N/A</v>
      </c>
      <c r="B140" s="5">
        <v>3.8379999999999997E-2</v>
      </c>
      <c r="D140">
        <v>3.8379999999999997E-2</v>
      </c>
      <c r="F140" s="7" t="str">
        <f t="shared" si="4"/>
        <v/>
      </c>
      <c r="G140" s="7">
        <f t="shared" si="5"/>
        <v>0</v>
      </c>
      <c r="K140">
        <v>139</v>
      </c>
      <c r="L140">
        <v>3.7969999999999997E-2</v>
      </c>
      <c r="M140">
        <v>3.8379999999999997E-2</v>
      </c>
    </row>
    <row r="141" spans="1:13" x14ac:dyDescent="0.35">
      <c r="A141" s="3" t="e">
        <v>#N/A</v>
      </c>
      <c r="B141" s="5">
        <v>3.8339999999999999E-2</v>
      </c>
      <c r="D141">
        <v>3.8339999999999999E-2</v>
      </c>
      <c r="F141" s="7" t="str">
        <f t="shared" si="4"/>
        <v/>
      </c>
      <c r="G141" s="7">
        <f t="shared" si="5"/>
        <v>0</v>
      </c>
      <c r="K141">
        <v>140</v>
      </c>
      <c r="L141">
        <v>3.7940000000000002E-2</v>
      </c>
      <c r="M141">
        <v>3.8339999999999999E-2</v>
      </c>
    </row>
    <row r="142" spans="1:13" x14ac:dyDescent="0.35">
      <c r="A142" s="3" t="e">
        <v>#N/A</v>
      </c>
      <c r="B142" s="5">
        <v>3.8300000000000001E-2</v>
      </c>
      <c r="D142">
        <v>3.8300000000000001E-2</v>
      </c>
      <c r="F142" s="7" t="str">
        <f t="shared" si="4"/>
        <v/>
      </c>
      <c r="G142" s="7">
        <f t="shared" si="5"/>
        <v>0</v>
      </c>
      <c r="K142">
        <v>141</v>
      </c>
      <c r="L142">
        <v>3.7900000000000003E-2</v>
      </c>
      <c r="M142">
        <v>3.8300000000000001E-2</v>
      </c>
    </row>
    <row r="143" spans="1:13" x14ac:dyDescent="0.35">
      <c r="A143" s="3" t="e">
        <v>#N/A</v>
      </c>
      <c r="B143" s="5">
        <v>3.8260000000000002E-2</v>
      </c>
      <c r="D143">
        <v>3.8260000000000002E-2</v>
      </c>
      <c r="F143" s="7" t="str">
        <f t="shared" si="4"/>
        <v/>
      </c>
      <c r="G143" s="7">
        <f t="shared" si="5"/>
        <v>0</v>
      </c>
      <c r="K143">
        <v>142</v>
      </c>
      <c r="L143">
        <v>3.7870000000000001E-2</v>
      </c>
      <c r="M143">
        <v>3.8260000000000002E-2</v>
      </c>
    </row>
    <row r="144" spans="1:13" x14ac:dyDescent="0.35">
      <c r="A144" s="3" t="e">
        <v>#N/A</v>
      </c>
      <c r="B144" s="5">
        <v>3.823E-2</v>
      </c>
      <c r="D144">
        <v>3.823E-2</v>
      </c>
      <c r="F144" s="7" t="str">
        <f t="shared" si="4"/>
        <v/>
      </c>
      <c r="G144" s="7">
        <f t="shared" si="5"/>
        <v>0</v>
      </c>
      <c r="K144">
        <v>143</v>
      </c>
      <c r="L144">
        <v>3.7830000000000003E-2</v>
      </c>
      <c r="M144">
        <v>3.823E-2</v>
      </c>
    </row>
    <row r="145" spans="1:13" x14ac:dyDescent="0.35">
      <c r="A145" s="3" t="e">
        <v>#N/A</v>
      </c>
      <c r="B145" s="5">
        <v>3.8190000000000002E-2</v>
      </c>
      <c r="D145">
        <v>3.8190000000000002E-2</v>
      </c>
      <c r="F145" s="7" t="str">
        <f t="shared" si="4"/>
        <v/>
      </c>
      <c r="G145" s="7">
        <f t="shared" si="5"/>
        <v>0</v>
      </c>
      <c r="K145">
        <v>144</v>
      </c>
      <c r="L145">
        <v>3.78E-2</v>
      </c>
      <c r="M145">
        <v>3.8190000000000002E-2</v>
      </c>
    </row>
    <row r="146" spans="1:13" x14ac:dyDescent="0.35">
      <c r="A146" s="3" t="e">
        <v>#N/A</v>
      </c>
      <c r="B146" s="5">
        <v>3.8150000000000003E-2</v>
      </c>
      <c r="D146">
        <v>3.8150000000000003E-2</v>
      </c>
      <c r="F146" s="7" t="str">
        <f t="shared" si="4"/>
        <v/>
      </c>
      <c r="G146" s="7">
        <f t="shared" si="5"/>
        <v>0</v>
      </c>
      <c r="K146">
        <v>145</v>
      </c>
      <c r="L146">
        <v>3.7769999999999998E-2</v>
      </c>
      <c r="M146">
        <v>3.8150000000000003E-2</v>
      </c>
    </row>
    <row r="147" spans="1:13" x14ac:dyDescent="0.35">
      <c r="A147" s="3" t="e">
        <v>#N/A</v>
      </c>
      <c r="B147" s="5">
        <v>3.8120000000000001E-2</v>
      </c>
      <c r="D147">
        <v>3.8120000000000001E-2</v>
      </c>
      <c r="F147" s="7" t="str">
        <f t="shared" si="4"/>
        <v/>
      </c>
      <c r="G147" s="7">
        <f t="shared" si="5"/>
        <v>0</v>
      </c>
      <c r="K147">
        <v>146</v>
      </c>
      <c r="L147">
        <v>3.773E-2</v>
      </c>
      <c r="M147">
        <v>3.8120000000000001E-2</v>
      </c>
    </row>
    <row r="148" spans="1:13" x14ac:dyDescent="0.35">
      <c r="A148" s="3" t="e">
        <v>#N/A</v>
      </c>
      <c r="B148" s="5">
        <v>3.8080000000000003E-2</v>
      </c>
      <c r="D148">
        <v>3.8080000000000003E-2</v>
      </c>
      <c r="F148" s="7" t="str">
        <f t="shared" si="4"/>
        <v/>
      </c>
      <c r="G148" s="7">
        <f t="shared" si="5"/>
        <v>0</v>
      </c>
      <c r="K148">
        <v>147</v>
      </c>
      <c r="L148">
        <v>3.7699999999999997E-2</v>
      </c>
      <c r="M148">
        <v>3.8080000000000003E-2</v>
      </c>
    </row>
    <row r="149" spans="1:13" x14ac:dyDescent="0.35">
      <c r="A149" s="3" t="e">
        <v>#N/A</v>
      </c>
      <c r="B149" s="5">
        <v>3.805E-2</v>
      </c>
      <c r="D149">
        <v>3.805E-2</v>
      </c>
      <c r="F149" s="7" t="str">
        <f t="shared" si="4"/>
        <v/>
      </c>
      <c r="G149" s="7">
        <f t="shared" si="5"/>
        <v>0</v>
      </c>
      <c r="K149">
        <v>148</v>
      </c>
      <c r="L149">
        <v>3.7670000000000002E-2</v>
      </c>
      <c r="M149">
        <v>3.805E-2</v>
      </c>
    </row>
    <row r="150" spans="1:13" x14ac:dyDescent="0.35">
      <c r="A150" s="3" t="e">
        <v>#N/A</v>
      </c>
      <c r="B150" s="5">
        <v>3.8019999999999998E-2</v>
      </c>
      <c r="D150">
        <v>3.8019999999999998E-2</v>
      </c>
      <c r="F150" s="7" t="str">
        <f t="shared" si="4"/>
        <v/>
      </c>
      <c r="G150" s="7">
        <f t="shared" si="5"/>
        <v>0</v>
      </c>
      <c r="K150">
        <v>149</v>
      </c>
      <c r="L150">
        <v>3.764E-2</v>
      </c>
      <c r="M150">
        <v>3.8019999999999998E-2</v>
      </c>
    </row>
    <row r="151" spans="1:13" x14ac:dyDescent="0.35">
      <c r="A151" s="3" t="e">
        <v>#N/A</v>
      </c>
      <c r="B151" s="6">
        <v>3.798E-2</v>
      </c>
      <c r="D151">
        <v>3.798E-2</v>
      </c>
      <c r="F151" s="7" t="str">
        <f t="shared" si="4"/>
        <v/>
      </c>
      <c r="G151" s="7">
        <f t="shared" si="5"/>
        <v>0</v>
      </c>
      <c r="K151">
        <v>150</v>
      </c>
      <c r="L151">
        <v>3.7609999999999998E-2</v>
      </c>
      <c r="M151">
        <v>3.798E-2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0F818B-0C70-470F-8F4A-5256067F8247}">
  <dimension ref="A1:M151"/>
  <sheetViews>
    <sheetView tabSelected="1" topLeftCell="G1" zoomScale="88" zoomScaleNormal="88" workbookViewId="0">
      <selection activeCell="O21" sqref="O21"/>
    </sheetView>
  </sheetViews>
  <sheetFormatPr defaultRowHeight="14.5" x14ac:dyDescent="0.35"/>
  <cols>
    <col min="6" max="6" width="20.7265625" bestFit="1" customWidth="1"/>
    <col min="7" max="7" width="21.81640625" bestFit="1" customWidth="1"/>
    <col min="12" max="12" width="14.1796875" bestFit="1" customWidth="1"/>
  </cols>
  <sheetData>
    <row r="1" spans="1:13" ht="72.5" x14ac:dyDescent="0.35">
      <c r="A1" s="1" t="s">
        <v>0</v>
      </c>
      <c r="B1" s="1" t="s">
        <v>1</v>
      </c>
      <c r="C1" t="s">
        <v>0</v>
      </c>
      <c r="D1" t="s">
        <v>2</v>
      </c>
      <c r="F1" s="7">
        <f>SUM(F2:F151)</f>
        <v>3.1918911957973251E-16</v>
      </c>
      <c r="G1" s="7">
        <f>SUM(G2:G151)</f>
        <v>0</v>
      </c>
      <c r="K1" t="s">
        <v>3</v>
      </c>
      <c r="L1" t="s">
        <v>4</v>
      </c>
      <c r="M1" t="s">
        <v>5</v>
      </c>
    </row>
    <row r="2" spans="1:13" x14ac:dyDescent="0.35">
      <c r="A2" s="2">
        <v>7.8774211164225338E-2</v>
      </c>
      <c r="B2" s="4">
        <v>8.1960000000000005E-2</v>
      </c>
      <c r="C2">
        <v>7.8774211164225297E-2</v>
      </c>
      <c r="D2">
        <v>8.1960000000000005E-2</v>
      </c>
      <c r="F2" s="7">
        <f>IF(C2&lt;&gt;"",A2-C2,"")</f>
        <v>4.163336342344337E-17</v>
      </c>
      <c r="G2" s="7">
        <f>B2-D2</f>
        <v>0</v>
      </c>
      <c r="K2">
        <v>1</v>
      </c>
      <c r="L2">
        <v>8.1960000000000005E-2</v>
      </c>
      <c r="M2">
        <f>D2</f>
        <v>8.1960000000000005E-2</v>
      </c>
    </row>
    <row r="3" spans="1:13" x14ac:dyDescent="0.35">
      <c r="A3" s="2">
        <v>7.5091295238671973E-2</v>
      </c>
      <c r="B3" s="5">
        <v>7.7979999999999994E-2</v>
      </c>
      <c r="C3">
        <v>7.5091295238671904E-2</v>
      </c>
      <c r="D3">
        <v>7.7979999999999994E-2</v>
      </c>
      <c r="F3" s="7">
        <f t="shared" ref="F3:F66" si="0">IF(C3&lt;&gt;"",A3-C3,"")</f>
        <v>6.9388939039072284E-17</v>
      </c>
      <c r="G3" s="7">
        <f t="shared" ref="G3:G66" si="1">B3-D3</f>
        <v>0</v>
      </c>
      <c r="K3">
        <v>2</v>
      </c>
      <c r="L3">
        <v>7.9219999999999999E-2</v>
      </c>
      <c r="M3">
        <f t="shared" ref="M3:M66" si="2">D3</f>
        <v>7.7979999999999994E-2</v>
      </c>
    </row>
    <row r="4" spans="1:13" x14ac:dyDescent="0.35">
      <c r="A4" s="2">
        <v>7.3863656596820856E-2</v>
      </c>
      <c r="B4" s="5">
        <v>7.6660000000000006E-2</v>
      </c>
      <c r="C4">
        <v>7.3863656596820801E-2</v>
      </c>
      <c r="D4">
        <v>7.6660000000000006E-2</v>
      </c>
      <c r="F4" s="7">
        <f t="shared" si="0"/>
        <v>5.5511151231257827E-17</v>
      </c>
      <c r="G4" s="7">
        <f t="shared" si="1"/>
        <v>0</v>
      </c>
      <c r="K4">
        <v>3</v>
      </c>
      <c r="L4">
        <v>7.6660000000000006E-2</v>
      </c>
      <c r="M4">
        <f t="shared" si="2"/>
        <v>7.6660000000000006E-2</v>
      </c>
    </row>
    <row r="5" spans="1:13" x14ac:dyDescent="0.35">
      <c r="A5" s="2">
        <v>7.1892660558865396E-2</v>
      </c>
      <c r="B5" s="5">
        <v>7.4539999999999995E-2</v>
      </c>
      <c r="C5">
        <v>7.1892660558865396E-2</v>
      </c>
      <c r="D5">
        <v>7.4539999999999995E-2</v>
      </c>
      <c r="F5" s="7">
        <f t="shared" si="0"/>
        <v>0</v>
      </c>
      <c r="G5" s="7">
        <f t="shared" si="1"/>
        <v>0</v>
      </c>
      <c r="K5">
        <v>4</v>
      </c>
      <c r="L5">
        <v>7.4779999999999999E-2</v>
      </c>
      <c r="M5">
        <f t="shared" si="2"/>
        <v>7.4539999999999995E-2</v>
      </c>
    </row>
    <row r="6" spans="1:13" x14ac:dyDescent="0.35">
      <c r="A6" s="2">
        <v>7.0710062936092111E-2</v>
      </c>
      <c r="B6" s="5">
        <v>7.3270000000000002E-2</v>
      </c>
      <c r="C6">
        <v>7.0710062936092097E-2</v>
      </c>
      <c r="D6">
        <v>7.3270000000000002E-2</v>
      </c>
      <c r="F6" s="7">
        <f t="shared" si="0"/>
        <v>1.3877787807814457E-17</v>
      </c>
      <c r="G6" s="7">
        <f t="shared" si="1"/>
        <v>0</v>
      </c>
      <c r="K6">
        <v>5</v>
      </c>
      <c r="L6">
        <v>7.3270000000000002E-2</v>
      </c>
      <c r="M6">
        <f t="shared" si="2"/>
        <v>7.3270000000000002E-2</v>
      </c>
    </row>
    <row r="7" spans="1:13" x14ac:dyDescent="0.35">
      <c r="A7" s="2">
        <v>6.8990575231848719E-2</v>
      </c>
      <c r="B7" s="5">
        <v>7.1429999999999993E-2</v>
      </c>
      <c r="C7">
        <v>6.8990575231848705E-2</v>
      </c>
      <c r="D7">
        <v>7.1429999999999993E-2</v>
      </c>
      <c r="F7" s="7">
        <f t="shared" si="0"/>
        <v>1.3877787807814457E-17</v>
      </c>
      <c r="G7" s="7">
        <f t="shared" si="1"/>
        <v>0</v>
      </c>
      <c r="K7">
        <v>6</v>
      </c>
      <c r="L7">
        <v>7.1940000000000004E-2</v>
      </c>
      <c r="M7">
        <f t="shared" si="2"/>
        <v>7.1429999999999993E-2</v>
      </c>
    </row>
    <row r="8" spans="1:13" x14ac:dyDescent="0.35">
      <c r="A8" s="2">
        <v>6.7762369728817731E-2</v>
      </c>
      <c r="B8" s="5">
        <v>7.0110000000000006E-2</v>
      </c>
      <c r="C8">
        <v>6.7762369728817703E-2</v>
      </c>
      <c r="D8">
        <v>7.0110000000000006E-2</v>
      </c>
      <c r="F8" s="7">
        <f t="shared" si="0"/>
        <v>2.7755575615628914E-17</v>
      </c>
      <c r="G8" s="7">
        <f t="shared" si="1"/>
        <v>0</v>
      </c>
      <c r="K8">
        <v>7</v>
      </c>
      <c r="L8">
        <v>7.0699999999999999E-2</v>
      </c>
      <c r="M8">
        <f t="shared" si="2"/>
        <v>7.0110000000000006E-2</v>
      </c>
    </row>
    <row r="9" spans="1:13" x14ac:dyDescent="0.35">
      <c r="A9" s="2">
        <v>6.6841215601544463E-2</v>
      </c>
      <c r="B9" s="5">
        <v>6.9129999999999997E-2</v>
      </c>
      <c r="C9">
        <v>6.6841215601544393E-2</v>
      </c>
      <c r="D9">
        <v>6.9129999999999997E-2</v>
      </c>
      <c r="F9" s="7">
        <f t="shared" si="0"/>
        <v>6.9388939039072284E-17</v>
      </c>
      <c r="G9" s="7">
        <f t="shared" si="1"/>
        <v>0</v>
      </c>
      <c r="K9">
        <v>8</v>
      </c>
      <c r="L9">
        <v>6.9519999999999998E-2</v>
      </c>
      <c r="M9">
        <f t="shared" si="2"/>
        <v>6.9129999999999997E-2</v>
      </c>
    </row>
    <row r="10" spans="1:13" x14ac:dyDescent="0.35">
      <c r="A10" s="2">
        <v>6.6124762391443034E-2</v>
      </c>
      <c r="B10" s="5">
        <v>6.8360000000000004E-2</v>
      </c>
      <c r="C10">
        <v>6.6124762391443007E-2</v>
      </c>
      <c r="D10">
        <v>6.8360000000000004E-2</v>
      </c>
      <c r="F10" s="7">
        <f t="shared" si="0"/>
        <v>2.7755575615628914E-17</v>
      </c>
      <c r="G10" s="7">
        <f t="shared" si="1"/>
        <v>0</v>
      </c>
      <c r="K10">
        <v>9</v>
      </c>
      <c r="L10">
        <v>6.8360000000000004E-2</v>
      </c>
      <c r="M10">
        <f t="shared" si="2"/>
        <v>6.8360000000000004E-2</v>
      </c>
    </row>
    <row r="11" spans="1:13" x14ac:dyDescent="0.35">
      <c r="A11" s="2" t="e">
        <v>#N/A</v>
      </c>
      <c r="B11" s="5">
        <v>6.7589999999999997E-2</v>
      </c>
      <c r="D11">
        <v>6.7589999999999997E-2</v>
      </c>
      <c r="F11" s="7" t="str">
        <f t="shared" si="0"/>
        <v/>
      </c>
      <c r="G11" s="7">
        <f t="shared" si="1"/>
        <v>0</v>
      </c>
      <c r="K11">
        <v>10</v>
      </c>
      <c r="L11">
        <v>6.7210000000000006E-2</v>
      </c>
      <c r="M11">
        <f t="shared" si="2"/>
        <v>6.7589999999999997E-2</v>
      </c>
    </row>
    <row r="12" spans="1:13" x14ac:dyDescent="0.35">
      <c r="A12" s="2" t="e">
        <v>#N/A</v>
      </c>
      <c r="B12" s="5">
        <v>6.6689999999999999E-2</v>
      </c>
      <c r="D12">
        <v>6.6689999999999999E-2</v>
      </c>
      <c r="F12" s="7" t="str">
        <f t="shared" si="0"/>
        <v/>
      </c>
      <c r="G12" s="7">
        <f t="shared" si="1"/>
        <v>0</v>
      </c>
      <c r="K12">
        <v>11</v>
      </c>
      <c r="L12">
        <v>6.608E-2</v>
      </c>
      <c r="M12">
        <f t="shared" si="2"/>
        <v>6.6689999999999999E-2</v>
      </c>
    </row>
    <row r="13" spans="1:13" x14ac:dyDescent="0.35">
      <c r="A13" s="2" t="e">
        <v>#N/A</v>
      </c>
      <c r="B13" s="5">
        <v>6.5729999999999997E-2</v>
      </c>
      <c r="D13">
        <v>6.5729999999999997E-2</v>
      </c>
      <c r="F13" s="7" t="str">
        <f t="shared" si="0"/>
        <v/>
      </c>
      <c r="G13" s="7">
        <f t="shared" si="1"/>
        <v>0</v>
      </c>
      <c r="K13">
        <v>12</v>
      </c>
      <c r="L13">
        <v>6.4979999999999996E-2</v>
      </c>
      <c r="M13">
        <f t="shared" si="2"/>
        <v>6.5729999999999997E-2</v>
      </c>
    </row>
    <row r="14" spans="1:13" x14ac:dyDescent="0.35">
      <c r="A14" s="2" t="e">
        <v>#N/A</v>
      </c>
      <c r="B14" s="5">
        <v>6.4729999999999996E-2</v>
      </c>
      <c r="D14">
        <v>6.4729999999999996E-2</v>
      </c>
      <c r="F14" s="7" t="str">
        <f t="shared" si="0"/>
        <v/>
      </c>
      <c r="G14" s="7">
        <f t="shared" si="1"/>
        <v>0</v>
      </c>
      <c r="K14">
        <v>13</v>
      </c>
      <c r="L14">
        <v>6.3909999999999995E-2</v>
      </c>
      <c r="M14">
        <f t="shared" si="2"/>
        <v>6.4729999999999996E-2</v>
      </c>
    </row>
    <row r="15" spans="1:13" x14ac:dyDescent="0.35">
      <c r="A15" s="2" t="e">
        <v>#N/A</v>
      </c>
      <c r="B15" s="5">
        <v>6.3719999999999999E-2</v>
      </c>
      <c r="D15">
        <v>6.3719999999999999E-2</v>
      </c>
      <c r="F15" s="7" t="str">
        <f t="shared" si="0"/>
        <v/>
      </c>
      <c r="G15" s="7">
        <f t="shared" si="1"/>
        <v>0</v>
      </c>
      <c r="K15">
        <v>14</v>
      </c>
      <c r="L15">
        <v>6.2869999999999995E-2</v>
      </c>
      <c r="M15">
        <f t="shared" si="2"/>
        <v>6.3719999999999999E-2</v>
      </c>
    </row>
    <row r="16" spans="1:13" x14ac:dyDescent="0.35">
      <c r="A16" s="2" t="e">
        <v>#N/A</v>
      </c>
      <c r="B16" s="5">
        <v>6.2729999999999994E-2</v>
      </c>
      <c r="D16">
        <v>6.2729999999999994E-2</v>
      </c>
      <c r="F16" s="7" t="str">
        <f t="shared" si="0"/>
        <v/>
      </c>
      <c r="G16" s="7">
        <f t="shared" si="1"/>
        <v>0</v>
      </c>
      <c r="K16">
        <v>15</v>
      </c>
      <c r="L16">
        <v>6.1870000000000001E-2</v>
      </c>
      <c r="M16">
        <f t="shared" si="2"/>
        <v>6.2729999999999994E-2</v>
      </c>
    </row>
    <row r="17" spans="1:13" x14ac:dyDescent="0.35">
      <c r="A17" s="2" t="e">
        <v>#N/A</v>
      </c>
      <c r="B17" s="5">
        <v>6.1749999999999999E-2</v>
      </c>
      <c r="D17">
        <v>6.1749999999999999E-2</v>
      </c>
      <c r="F17" s="7" t="str">
        <f t="shared" si="0"/>
        <v/>
      </c>
      <c r="G17" s="7">
        <f t="shared" si="1"/>
        <v>0</v>
      </c>
      <c r="K17">
        <v>16</v>
      </c>
      <c r="L17">
        <v>6.0900000000000003E-2</v>
      </c>
      <c r="M17">
        <f t="shared" si="2"/>
        <v>6.1749999999999999E-2</v>
      </c>
    </row>
    <row r="18" spans="1:13" x14ac:dyDescent="0.35">
      <c r="A18" s="2" t="e">
        <v>#N/A</v>
      </c>
      <c r="B18" s="5">
        <v>6.08E-2</v>
      </c>
      <c r="D18">
        <v>6.08E-2</v>
      </c>
      <c r="F18" s="7" t="str">
        <f t="shared" si="0"/>
        <v/>
      </c>
      <c r="G18" s="7">
        <f t="shared" si="1"/>
        <v>0</v>
      </c>
      <c r="K18">
        <v>17</v>
      </c>
      <c r="L18">
        <v>5.9970000000000002E-2</v>
      </c>
      <c r="M18">
        <f t="shared" si="2"/>
        <v>6.08E-2</v>
      </c>
    </row>
    <row r="19" spans="1:13" x14ac:dyDescent="0.35">
      <c r="A19" s="2" t="e">
        <v>#N/A</v>
      </c>
      <c r="B19" s="5">
        <v>5.9880000000000003E-2</v>
      </c>
      <c r="D19">
        <v>5.9880000000000003E-2</v>
      </c>
      <c r="F19" s="7" t="str">
        <f t="shared" si="0"/>
        <v/>
      </c>
      <c r="G19" s="7">
        <f t="shared" si="1"/>
        <v>0</v>
      </c>
      <c r="K19">
        <v>18</v>
      </c>
      <c r="L19">
        <v>5.9080000000000001E-2</v>
      </c>
      <c r="M19">
        <f t="shared" si="2"/>
        <v>5.9880000000000003E-2</v>
      </c>
    </row>
    <row r="20" spans="1:13" x14ac:dyDescent="0.35">
      <c r="A20" s="2" t="e">
        <v>#N/A</v>
      </c>
      <c r="B20" s="5">
        <v>5.8999999999999997E-2</v>
      </c>
      <c r="D20">
        <v>5.8999999999999997E-2</v>
      </c>
      <c r="F20" s="7" t="str">
        <f t="shared" si="0"/>
        <v/>
      </c>
      <c r="G20" s="7">
        <f t="shared" si="1"/>
        <v>0</v>
      </c>
      <c r="K20">
        <v>19</v>
      </c>
      <c r="L20">
        <v>5.8229999999999997E-2</v>
      </c>
      <c r="M20">
        <f t="shared" si="2"/>
        <v>5.8999999999999997E-2</v>
      </c>
    </row>
    <row r="21" spans="1:13" x14ac:dyDescent="0.35">
      <c r="A21" s="2" t="e">
        <v>#N/A</v>
      </c>
      <c r="B21" s="5">
        <v>5.815E-2</v>
      </c>
      <c r="D21">
        <v>5.815E-2</v>
      </c>
      <c r="F21" s="7" t="str">
        <f t="shared" si="0"/>
        <v/>
      </c>
      <c r="G21" s="7">
        <f t="shared" si="1"/>
        <v>0</v>
      </c>
      <c r="K21">
        <v>20</v>
      </c>
      <c r="L21">
        <v>5.7410000000000003E-2</v>
      </c>
      <c r="M21">
        <f t="shared" si="2"/>
        <v>5.815E-2</v>
      </c>
    </row>
    <row r="22" spans="1:13" x14ac:dyDescent="0.35">
      <c r="A22" s="2" t="e">
        <v>#N/A</v>
      </c>
      <c r="B22" s="5">
        <v>5.7329999999999999E-2</v>
      </c>
      <c r="D22">
        <v>5.7329999999999999E-2</v>
      </c>
      <c r="F22" s="7" t="str">
        <f t="shared" si="0"/>
        <v/>
      </c>
      <c r="G22" s="7">
        <f t="shared" si="1"/>
        <v>0</v>
      </c>
      <c r="K22">
        <v>21</v>
      </c>
      <c r="L22">
        <v>5.6619999999999997E-2</v>
      </c>
      <c r="M22">
        <f t="shared" si="2"/>
        <v>5.7329999999999999E-2</v>
      </c>
    </row>
    <row r="23" spans="1:13" x14ac:dyDescent="0.35">
      <c r="A23" s="2" t="e">
        <v>#N/A</v>
      </c>
      <c r="B23" s="5">
        <v>5.6559999999999999E-2</v>
      </c>
      <c r="D23">
        <v>5.6559999999999999E-2</v>
      </c>
      <c r="F23" s="7" t="str">
        <f t="shared" si="0"/>
        <v/>
      </c>
      <c r="G23" s="7">
        <f t="shared" si="1"/>
        <v>0</v>
      </c>
      <c r="K23">
        <v>22</v>
      </c>
      <c r="L23">
        <v>5.5879999999999999E-2</v>
      </c>
      <c r="M23">
        <f t="shared" si="2"/>
        <v>5.6559999999999999E-2</v>
      </c>
    </row>
    <row r="24" spans="1:13" x14ac:dyDescent="0.35">
      <c r="A24" s="2" t="e">
        <v>#N/A</v>
      </c>
      <c r="B24" s="5">
        <v>5.5809999999999998E-2</v>
      </c>
      <c r="D24">
        <v>5.5809999999999998E-2</v>
      </c>
      <c r="F24" s="7" t="str">
        <f t="shared" si="0"/>
        <v/>
      </c>
      <c r="G24" s="7">
        <f t="shared" si="1"/>
        <v>0</v>
      </c>
      <c r="K24">
        <v>23</v>
      </c>
      <c r="L24">
        <v>5.5160000000000001E-2</v>
      </c>
      <c r="M24">
        <f t="shared" si="2"/>
        <v>5.5809999999999998E-2</v>
      </c>
    </row>
    <row r="25" spans="1:13" x14ac:dyDescent="0.35">
      <c r="A25" s="2" t="e">
        <v>#N/A</v>
      </c>
      <c r="B25" s="5">
        <v>5.5100000000000003E-2</v>
      </c>
      <c r="D25">
        <v>5.5100000000000003E-2</v>
      </c>
      <c r="F25" s="7" t="str">
        <f t="shared" si="0"/>
        <v/>
      </c>
      <c r="G25" s="7">
        <f t="shared" si="1"/>
        <v>0</v>
      </c>
      <c r="K25">
        <v>24</v>
      </c>
      <c r="L25">
        <v>5.4480000000000001E-2</v>
      </c>
      <c r="M25">
        <f t="shared" si="2"/>
        <v>5.5100000000000003E-2</v>
      </c>
    </row>
    <row r="26" spans="1:13" x14ac:dyDescent="0.35">
      <c r="A26" s="2" t="e">
        <v>#N/A</v>
      </c>
      <c r="B26" s="5">
        <v>5.4420000000000003E-2</v>
      </c>
      <c r="D26">
        <v>5.4420000000000003E-2</v>
      </c>
      <c r="F26" s="7" t="str">
        <f t="shared" si="0"/>
        <v/>
      </c>
      <c r="G26" s="7">
        <f t="shared" si="1"/>
        <v>0</v>
      </c>
      <c r="K26">
        <v>25</v>
      </c>
      <c r="L26">
        <v>5.3830000000000003E-2</v>
      </c>
      <c r="M26">
        <f t="shared" si="2"/>
        <v>5.4420000000000003E-2</v>
      </c>
    </row>
    <row r="27" spans="1:13" x14ac:dyDescent="0.35">
      <c r="A27" s="2" t="e">
        <v>#N/A</v>
      </c>
      <c r="B27" s="5">
        <v>5.3769999999999998E-2</v>
      </c>
      <c r="D27">
        <v>5.3769999999999998E-2</v>
      </c>
      <c r="F27" s="7" t="str">
        <f t="shared" si="0"/>
        <v/>
      </c>
      <c r="G27" s="7">
        <f t="shared" si="1"/>
        <v>0</v>
      </c>
      <c r="K27">
        <v>26</v>
      </c>
      <c r="L27">
        <v>5.3199999999999997E-2</v>
      </c>
      <c r="M27">
        <f t="shared" si="2"/>
        <v>5.3769999999999998E-2</v>
      </c>
    </row>
    <row r="28" spans="1:13" x14ac:dyDescent="0.35">
      <c r="A28" s="2" t="e">
        <v>#N/A</v>
      </c>
      <c r="B28" s="5">
        <v>5.3159999999999999E-2</v>
      </c>
      <c r="D28">
        <v>5.3159999999999999E-2</v>
      </c>
      <c r="F28" s="7" t="str">
        <f t="shared" si="0"/>
        <v/>
      </c>
      <c r="G28" s="7">
        <f t="shared" si="1"/>
        <v>0</v>
      </c>
      <c r="K28">
        <v>27</v>
      </c>
      <c r="L28">
        <v>5.2609999999999997E-2</v>
      </c>
      <c r="M28">
        <f t="shared" si="2"/>
        <v>5.3159999999999999E-2</v>
      </c>
    </row>
    <row r="29" spans="1:13" x14ac:dyDescent="0.35">
      <c r="A29" s="2" t="e">
        <v>#N/A</v>
      </c>
      <c r="B29" s="5">
        <v>5.2569999999999999E-2</v>
      </c>
      <c r="D29">
        <v>5.2569999999999999E-2</v>
      </c>
      <c r="F29" s="7" t="str">
        <f t="shared" si="0"/>
        <v/>
      </c>
      <c r="G29" s="7">
        <f t="shared" si="1"/>
        <v>0</v>
      </c>
      <c r="K29">
        <v>28</v>
      </c>
      <c r="L29">
        <v>5.2040000000000003E-2</v>
      </c>
      <c r="M29">
        <f t="shared" si="2"/>
        <v>5.2569999999999999E-2</v>
      </c>
    </row>
    <row r="30" spans="1:13" x14ac:dyDescent="0.35">
      <c r="A30" s="2" t="e">
        <v>#N/A</v>
      </c>
      <c r="B30" s="5">
        <v>5.1999999999999998E-2</v>
      </c>
      <c r="D30">
        <v>5.1999999999999998E-2</v>
      </c>
      <c r="F30" s="7" t="str">
        <f t="shared" si="0"/>
        <v/>
      </c>
      <c r="G30" s="7">
        <f t="shared" si="1"/>
        <v>0</v>
      </c>
      <c r="K30">
        <v>29</v>
      </c>
      <c r="L30">
        <v>5.1499999999999997E-2</v>
      </c>
      <c r="M30">
        <f t="shared" si="2"/>
        <v>5.1999999999999998E-2</v>
      </c>
    </row>
    <row r="31" spans="1:13" x14ac:dyDescent="0.35">
      <c r="A31" s="2" t="e">
        <v>#N/A</v>
      </c>
      <c r="B31" s="5">
        <v>5.1470000000000002E-2</v>
      </c>
      <c r="D31">
        <v>5.1470000000000002E-2</v>
      </c>
      <c r="F31" s="7" t="str">
        <f t="shared" si="0"/>
        <v/>
      </c>
      <c r="G31" s="7">
        <f t="shared" si="1"/>
        <v>0</v>
      </c>
      <c r="K31">
        <v>30</v>
      </c>
      <c r="L31">
        <v>5.0979999999999998E-2</v>
      </c>
      <c r="M31">
        <f t="shared" si="2"/>
        <v>5.1470000000000002E-2</v>
      </c>
    </row>
    <row r="32" spans="1:13" x14ac:dyDescent="0.35">
      <c r="A32" s="2" t="e">
        <v>#N/A</v>
      </c>
      <c r="B32" s="5">
        <v>5.0959999999999998E-2</v>
      </c>
      <c r="D32">
        <v>5.0959999999999998E-2</v>
      </c>
      <c r="F32" s="7" t="str">
        <f t="shared" si="0"/>
        <v/>
      </c>
      <c r="G32" s="7">
        <f t="shared" si="1"/>
        <v>0</v>
      </c>
      <c r="K32">
        <v>31</v>
      </c>
      <c r="L32">
        <v>5.049E-2</v>
      </c>
      <c r="M32">
        <f t="shared" si="2"/>
        <v>5.0959999999999998E-2</v>
      </c>
    </row>
    <row r="33" spans="1:13" x14ac:dyDescent="0.35">
      <c r="A33" s="2" t="e">
        <v>#N/A</v>
      </c>
      <c r="B33" s="5">
        <v>5.0470000000000001E-2</v>
      </c>
      <c r="D33">
        <v>5.0470000000000001E-2</v>
      </c>
      <c r="F33" s="7" t="str">
        <f t="shared" si="0"/>
        <v/>
      </c>
      <c r="G33" s="7">
        <f t="shared" si="1"/>
        <v>0</v>
      </c>
      <c r="K33">
        <v>32</v>
      </c>
      <c r="L33">
        <v>5.0020000000000002E-2</v>
      </c>
      <c r="M33">
        <f t="shared" si="2"/>
        <v>5.0470000000000001E-2</v>
      </c>
    </row>
    <row r="34" spans="1:13" x14ac:dyDescent="0.35">
      <c r="A34" s="2" t="e">
        <v>#N/A</v>
      </c>
      <c r="B34" s="5">
        <v>0.05</v>
      </c>
      <c r="D34">
        <v>0.05</v>
      </c>
      <c r="F34" s="7" t="str">
        <f t="shared" si="0"/>
        <v/>
      </c>
      <c r="G34" s="7">
        <f t="shared" si="1"/>
        <v>0</v>
      </c>
      <c r="K34">
        <v>33</v>
      </c>
      <c r="L34">
        <v>4.956E-2</v>
      </c>
      <c r="M34">
        <f t="shared" si="2"/>
        <v>0.05</v>
      </c>
    </row>
    <row r="35" spans="1:13" x14ac:dyDescent="0.35">
      <c r="A35" s="2" t="e">
        <v>#N/A</v>
      </c>
      <c r="B35" s="5">
        <v>4.9549999999999997E-2</v>
      </c>
      <c r="D35">
        <v>4.9549999999999997E-2</v>
      </c>
      <c r="F35" s="7" t="str">
        <f t="shared" si="0"/>
        <v/>
      </c>
      <c r="G35" s="7">
        <f t="shared" si="1"/>
        <v>0</v>
      </c>
      <c r="K35">
        <v>34</v>
      </c>
      <c r="L35">
        <v>4.913E-2</v>
      </c>
      <c r="M35">
        <f t="shared" si="2"/>
        <v>4.9549999999999997E-2</v>
      </c>
    </row>
    <row r="36" spans="1:13" x14ac:dyDescent="0.35">
      <c r="A36" s="2" t="e">
        <v>#N/A</v>
      </c>
      <c r="B36" s="5">
        <v>4.913E-2</v>
      </c>
      <c r="D36">
        <v>4.913E-2</v>
      </c>
      <c r="F36" s="7" t="str">
        <f t="shared" si="0"/>
        <v/>
      </c>
      <c r="G36" s="7">
        <f t="shared" si="1"/>
        <v>0</v>
      </c>
      <c r="K36">
        <v>35</v>
      </c>
      <c r="L36">
        <v>4.8719999999999999E-2</v>
      </c>
      <c r="M36">
        <f t="shared" si="2"/>
        <v>4.913E-2</v>
      </c>
    </row>
    <row r="37" spans="1:13" x14ac:dyDescent="0.35">
      <c r="A37" s="2" t="e">
        <v>#N/A</v>
      </c>
      <c r="B37" s="5">
        <v>4.8719999999999999E-2</v>
      </c>
      <c r="D37">
        <v>4.8719999999999999E-2</v>
      </c>
      <c r="F37" s="7" t="str">
        <f t="shared" si="0"/>
        <v/>
      </c>
      <c r="G37" s="7">
        <f t="shared" si="1"/>
        <v>0</v>
      </c>
      <c r="K37">
        <v>36</v>
      </c>
      <c r="L37">
        <v>4.8320000000000002E-2</v>
      </c>
      <c r="M37">
        <f t="shared" si="2"/>
        <v>4.8719999999999999E-2</v>
      </c>
    </row>
    <row r="38" spans="1:13" x14ac:dyDescent="0.35">
      <c r="A38" s="2" t="e">
        <v>#N/A</v>
      </c>
      <c r="B38" s="5">
        <v>4.8329999999999998E-2</v>
      </c>
      <c r="D38">
        <v>4.8329999999999998E-2</v>
      </c>
      <c r="F38" s="7" t="str">
        <f t="shared" si="0"/>
        <v/>
      </c>
      <c r="G38" s="7">
        <f t="shared" si="1"/>
        <v>0</v>
      </c>
      <c r="K38">
        <v>37</v>
      </c>
      <c r="L38">
        <v>4.795E-2</v>
      </c>
      <c r="M38">
        <f t="shared" si="2"/>
        <v>4.8329999999999998E-2</v>
      </c>
    </row>
    <row r="39" spans="1:13" x14ac:dyDescent="0.35">
      <c r="A39" s="2" t="e">
        <v>#N/A</v>
      </c>
      <c r="B39" s="5">
        <v>4.7960000000000003E-2</v>
      </c>
      <c r="D39">
        <v>4.7960000000000003E-2</v>
      </c>
      <c r="F39" s="7" t="str">
        <f t="shared" si="0"/>
        <v/>
      </c>
      <c r="G39" s="7">
        <f t="shared" si="1"/>
        <v>0</v>
      </c>
      <c r="K39">
        <v>38</v>
      </c>
      <c r="L39">
        <v>4.7579999999999997E-2</v>
      </c>
      <c r="M39">
        <f t="shared" si="2"/>
        <v>4.7960000000000003E-2</v>
      </c>
    </row>
    <row r="40" spans="1:13" x14ac:dyDescent="0.35">
      <c r="A40" s="2" t="e">
        <v>#N/A</v>
      </c>
      <c r="B40" s="5">
        <v>4.7600000000000003E-2</v>
      </c>
      <c r="D40">
        <v>4.7600000000000003E-2</v>
      </c>
      <c r="F40" s="7" t="str">
        <f t="shared" si="0"/>
        <v/>
      </c>
      <c r="G40" s="7">
        <f t="shared" si="1"/>
        <v>0</v>
      </c>
      <c r="K40">
        <v>39</v>
      </c>
      <c r="L40">
        <v>4.7239999999999997E-2</v>
      </c>
      <c r="M40">
        <f t="shared" si="2"/>
        <v>4.7600000000000003E-2</v>
      </c>
    </row>
    <row r="41" spans="1:13" x14ac:dyDescent="0.35">
      <c r="A41" s="2" t="e">
        <v>#N/A</v>
      </c>
      <c r="B41" s="5">
        <v>4.7260000000000003E-2</v>
      </c>
      <c r="D41">
        <v>4.7260000000000003E-2</v>
      </c>
      <c r="F41" s="7" t="str">
        <f t="shared" si="0"/>
        <v/>
      </c>
      <c r="G41" s="7">
        <f t="shared" si="1"/>
        <v>0</v>
      </c>
      <c r="K41">
        <v>40</v>
      </c>
      <c r="L41">
        <v>4.691E-2</v>
      </c>
      <c r="M41">
        <f t="shared" si="2"/>
        <v>4.7260000000000003E-2</v>
      </c>
    </row>
    <row r="42" spans="1:13" x14ac:dyDescent="0.35">
      <c r="A42" s="2" t="e">
        <v>#N/A</v>
      </c>
      <c r="B42" s="5">
        <v>4.6929999999999999E-2</v>
      </c>
      <c r="D42">
        <v>4.6929999999999999E-2</v>
      </c>
      <c r="F42" s="7" t="str">
        <f t="shared" si="0"/>
        <v/>
      </c>
      <c r="G42" s="7">
        <f t="shared" si="1"/>
        <v>0</v>
      </c>
      <c r="K42">
        <v>41</v>
      </c>
      <c r="L42">
        <v>4.6589999999999999E-2</v>
      </c>
      <c r="M42">
        <f t="shared" si="2"/>
        <v>4.6929999999999999E-2</v>
      </c>
    </row>
    <row r="43" spans="1:13" x14ac:dyDescent="0.35">
      <c r="A43" s="2" t="e">
        <v>#N/A</v>
      </c>
      <c r="B43" s="5">
        <v>4.6620000000000002E-2</v>
      </c>
      <c r="D43">
        <v>4.6620000000000002E-2</v>
      </c>
      <c r="F43" s="7" t="str">
        <f t="shared" si="0"/>
        <v/>
      </c>
      <c r="G43" s="7">
        <f t="shared" si="1"/>
        <v>0</v>
      </c>
      <c r="K43">
        <v>42</v>
      </c>
      <c r="L43">
        <v>4.6280000000000002E-2</v>
      </c>
      <c r="M43">
        <f t="shared" si="2"/>
        <v>4.6620000000000002E-2</v>
      </c>
    </row>
    <row r="44" spans="1:13" x14ac:dyDescent="0.35">
      <c r="A44" s="2" t="e">
        <v>#N/A</v>
      </c>
      <c r="B44" s="5">
        <v>4.632E-2</v>
      </c>
      <c r="D44">
        <v>4.632E-2</v>
      </c>
      <c r="F44" s="7" t="str">
        <f t="shared" si="0"/>
        <v/>
      </c>
      <c r="G44" s="7">
        <f t="shared" si="1"/>
        <v>0</v>
      </c>
      <c r="K44">
        <v>43</v>
      </c>
      <c r="L44">
        <v>4.5990000000000003E-2</v>
      </c>
      <c r="M44">
        <f t="shared" si="2"/>
        <v>4.632E-2</v>
      </c>
    </row>
    <row r="45" spans="1:13" x14ac:dyDescent="0.35">
      <c r="A45" s="2" t="e">
        <v>#N/A</v>
      </c>
      <c r="B45" s="5">
        <v>4.6030000000000001E-2</v>
      </c>
      <c r="D45">
        <v>4.6030000000000001E-2</v>
      </c>
      <c r="F45" s="7" t="str">
        <f t="shared" si="0"/>
        <v/>
      </c>
      <c r="G45" s="7">
        <f t="shared" si="1"/>
        <v>0</v>
      </c>
      <c r="K45">
        <v>44</v>
      </c>
      <c r="L45">
        <v>4.5699999999999998E-2</v>
      </c>
      <c r="M45">
        <f t="shared" si="2"/>
        <v>4.6030000000000001E-2</v>
      </c>
    </row>
    <row r="46" spans="1:13" x14ac:dyDescent="0.35">
      <c r="A46" s="2" t="e">
        <v>#N/A</v>
      </c>
      <c r="B46" s="5">
        <v>4.5749999999999999E-2</v>
      </c>
      <c r="D46">
        <v>4.5749999999999999E-2</v>
      </c>
      <c r="F46" s="7" t="str">
        <f t="shared" si="0"/>
        <v/>
      </c>
      <c r="G46" s="7">
        <f t="shared" si="1"/>
        <v>0</v>
      </c>
      <c r="K46">
        <v>45</v>
      </c>
      <c r="L46">
        <v>4.5429999999999998E-2</v>
      </c>
      <c r="M46">
        <f t="shared" si="2"/>
        <v>4.5749999999999999E-2</v>
      </c>
    </row>
    <row r="47" spans="1:13" x14ac:dyDescent="0.35">
      <c r="A47" s="2" t="e">
        <v>#N/A</v>
      </c>
      <c r="B47" s="5">
        <v>4.548E-2</v>
      </c>
      <c r="D47">
        <v>4.548E-2</v>
      </c>
      <c r="F47" s="7" t="str">
        <f t="shared" si="0"/>
        <v/>
      </c>
      <c r="G47" s="7">
        <f t="shared" si="1"/>
        <v>0</v>
      </c>
      <c r="K47">
        <v>46</v>
      </c>
      <c r="L47">
        <v>4.5170000000000002E-2</v>
      </c>
      <c r="M47">
        <f t="shared" si="2"/>
        <v>4.548E-2</v>
      </c>
    </row>
    <row r="48" spans="1:13" x14ac:dyDescent="0.35">
      <c r="A48" s="2" t="e">
        <v>#N/A</v>
      </c>
      <c r="B48" s="5">
        <v>4.5220000000000003E-2</v>
      </c>
      <c r="D48">
        <v>4.5220000000000003E-2</v>
      </c>
      <c r="F48" s="7" t="str">
        <f t="shared" si="0"/>
        <v/>
      </c>
      <c r="G48" s="7">
        <f t="shared" si="1"/>
        <v>0</v>
      </c>
      <c r="K48">
        <v>47</v>
      </c>
      <c r="L48">
        <v>4.4920000000000002E-2</v>
      </c>
      <c r="M48">
        <f t="shared" si="2"/>
        <v>4.5220000000000003E-2</v>
      </c>
    </row>
    <row r="49" spans="1:13" x14ac:dyDescent="0.35">
      <c r="A49" s="2" t="e">
        <v>#N/A</v>
      </c>
      <c r="B49" s="5">
        <v>4.4979999999999999E-2</v>
      </c>
      <c r="D49">
        <v>4.4979999999999999E-2</v>
      </c>
      <c r="F49" s="7" t="str">
        <f t="shared" si="0"/>
        <v/>
      </c>
      <c r="G49" s="7">
        <f t="shared" si="1"/>
        <v>0</v>
      </c>
      <c r="K49">
        <v>48</v>
      </c>
      <c r="L49">
        <v>4.4679999999999997E-2</v>
      </c>
      <c r="M49">
        <f t="shared" si="2"/>
        <v>4.4979999999999999E-2</v>
      </c>
    </row>
    <row r="50" spans="1:13" x14ac:dyDescent="0.35">
      <c r="A50" s="2" t="e">
        <v>#N/A</v>
      </c>
      <c r="B50" s="5">
        <v>4.4740000000000002E-2</v>
      </c>
      <c r="D50">
        <v>4.4740000000000002E-2</v>
      </c>
      <c r="F50" s="7" t="str">
        <f t="shared" si="0"/>
        <v/>
      </c>
      <c r="G50" s="7">
        <f t="shared" si="1"/>
        <v>0</v>
      </c>
      <c r="K50">
        <v>49</v>
      </c>
      <c r="L50">
        <v>4.4450000000000003E-2</v>
      </c>
      <c r="M50">
        <f t="shared" si="2"/>
        <v>4.4740000000000002E-2</v>
      </c>
    </row>
    <row r="51" spans="1:13" x14ac:dyDescent="0.35">
      <c r="A51" s="2" t="e">
        <v>#N/A</v>
      </c>
      <c r="B51" s="5">
        <v>4.4510000000000001E-2</v>
      </c>
      <c r="D51">
        <v>4.4510000000000001E-2</v>
      </c>
      <c r="F51" s="7" t="str">
        <f t="shared" si="0"/>
        <v/>
      </c>
      <c r="G51" s="7">
        <f t="shared" si="1"/>
        <v>0</v>
      </c>
      <c r="K51">
        <v>50</v>
      </c>
      <c r="L51">
        <v>4.4229999999999998E-2</v>
      </c>
      <c r="M51">
        <f t="shared" si="2"/>
        <v>4.4510000000000001E-2</v>
      </c>
    </row>
    <row r="52" spans="1:13" x14ac:dyDescent="0.35">
      <c r="A52" s="3" t="e">
        <v>#N/A</v>
      </c>
      <c r="B52" s="5">
        <v>4.4290000000000003E-2</v>
      </c>
      <c r="D52">
        <v>4.4290000000000003E-2</v>
      </c>
      <c r="F52" s="7" t="str">
        <f t="shared" si="0"/>
        <v/>
      </c>
      <c r="G52" s="7">
        <f t="shared" si="1"/>
        <v>0</v>
      </c>
      <c r="K52">
        <v>51</v>
      </c>
      <c r="L52">
        <v>4.4010000000000001E-2</v>
      </c>
      <c r="M52">
        <f t="shared" si="2"/>
        <v>4.4290000000000003E-2</v>
      </c>
    </row>
    <row r="53" spans="1:13" x14ac:dyDescent="0.35">
      <c r="A53" s="3" t="e">
        <v>#N/A</v>
      </c>
      <c r="B53" s="5">
        <v>4.4080000000000001E-2</v>
      </c>
      <c r="D53">
        <v>4.4080000000000001E-2</v>
      </c>
      <c r="F53" s="7" t="str">
        <f t="shared" si="0"/>
        <v/>
      </c>
      <c r="G53" s="7">
        <f t="shared" si="1"/>
        <v>0</v>
      </c>
      <c r="K53">
        <v>52</v>
      </c>
      <c r="L53">
        <v>4.3799999999999999E-2</v>
      </c>
      <c r="M53">
        <f t="shared" si="2"/>
        <v>4.4080000000000001E-2</v>
      </c>
    </row>
    <row r="54" spans="1:13" x14ac:dyDescent="0.35">
      <c r="A54" s="3" t="e">
        <v>#N/A</v>
      </c>
      <c r="B54" s="5">
        <v>4.3869999999999999E-2</v>
      </c>
      <c r="D54">
        <v>4.3869999999999999E-2</v>
      </c>
      <c r="F54" s="7" t="str">
        <f t="shared" si="0"/>
        <v/>
      </c>
      <c r="G54" s="7">
        <f t="shared" si="1"/>
        <v>0</v>
      </c>
      <c r="K54">
        <v>53</v>
      </c>
      <c r="L54">
        <v>4.36E-2</v>
      </c>
      <c r="M54">
        <f t="shared" si="2"/>
        <v>4.3869999999999999E-2</v>
      </c>
    </row>
    <row r="55" spans="1:13" x14ac:dyDescent="0.35">
      <c r="A55" s="3" t="e">
        <v>#N/A</v>
      </c>
      <c r="B55" s="5">
        <v>4.367E-2</v>
      </c>
      <c r="D55">
        <v>4.367E-2</v>
      </c>
      <c r="F55" s="7" t="str">
        <f t="shared" si="0"/>
        <v/>
      </c>
      <c r="G55" s="7">
        <f t="shared" si="1"/>
        <v>0</v>
      </c>
      <c r="K55">
        <v>54</v>
      </c>
      <c r="L55">
        <v>4.3409999999999997E-2</v>
      </c>
      <c r="M55">
        <f t="shared" si="2"/>
        <v>4.367E-2</v>
      </c>
    </row>
    <row r="56" spans="1:13" x14ac:dyDescent="0.35">
      <c r="A56" s="3" t="e">
        <v>#N/A</v>
      </c>
      <c r="B56" s="5">
        <v>4.3479999999999998E-2</v>
      </c>
      <c r="D56">
        <v>4.3479999999999998E-2</v>
      </c>
      <c r="F56" s="7" t="str">
        <f t="shared" si="0"/>
        <v/>
      </c>
      <c r="G56" s="7">
        <f t="shared" si="1"/>
        <v>0</v>
      </c>
      <c r="K56">
        <v>55</v>
      </c>
      <c r="L56">
        <v>4.3220000000000001E-2</v>
      </c>
      <c r="M56">
        <f t="shared" si="2"/>
        <v>4.3479999999999998E-2</v>
      </c>
    </row>
    <row r="57" spans="1:13" x14ac:dyDescent="0.35">
      <c r="A57" s="3" t="e">
        <v>#N/A</v>
      </c>
      <c r="B57" s="5">
        <v>4.3299999999999998E-2</v>
      </c>
      <c r="D57">
        <v>4.3299999999999998E-2</v>
      </c>
      <c r="F57" s="7" t="str">
        <f t="shared" si="0"/>
        <v/>
      </c>
      <c r="G57" s="7">
        <f t="shared" si="1"/>
        <v>0</v>
      </c>
      <c r="K57">
        <v>56</v>
      </c>
      <c r="L57">
        <v>4.3040000000000002E-2</v>
      </c>
      <c r="M57">
        <f t="shared" si="2"/>
        <v>4.3299999999999998E-2</v>
      </c>
    </row>
    <row r="58" spans="1:13" x14ac:dyDescent="0.35">
      <c r="A58" s="3" t="e">
        <v>#N/A</v>
      </c>
      <c r="B58" s="5">
        <v>4.3119999999999999E-2</v>
      </c>
      <c r="D58">
        <v>4.3119999999999999E-2</v>
      </c>
      <c r="F58" s="7" t="str">
        <f t="shared" si="0"/>
        <v/>
      </c>
      <c r="G58" s="7">
        <f t="shared" si="1"/>
        <v>0</v>
      </c>
      <c r="K58">
        <v>57</v>
      </c>
      <c r="L58">
        <v>4.2869999999999998E-2</v>
      </c>
      <c r="M58">
        <f t="shared" si="2"/>
        <v>4.3119999999999999E-2</v>
      </c>
    </row>
    <row r="59" spans="1:13" x14ac:dyDescent="0.35">
      <c r="A59" s="3" t="e">
        <v>#N/A</v>
      </c>
      <c r="B59" s="5">
        <v>4.2939999999999999E-2</v>
      </c>
      <c r="D59">
        <v>4.2939999999999999E-2</v>
      </c>
      <c r="F59" s="7" t="str">
        <f t="shared" si="0"/>
        <v/>
      </c>
      <c r="G59" s="7">
        <f t="shared" si="1"/>
        <v>0</v>
      </c>
      <c r="K59">
        <v>58</v>
      </c>
      <c r="L59">
        <v>4.2700000000000002E-2</v>
      </c>
      <c r="M59">
        <f t="shared" si="2"/>
        <v>4.2939999999999999E-2</v>
      </c>
    </row>
    <row r="60" spans="1:13" x14ac:dyDescent="0.35">
      <c r="A60" s="3" t="e">
        <v>#N/A</v>
      </c>
      <c r="B60" s="5">
        <v>4.2779999999999999E-2</v>
      </c>
      <c r="D60">
        <v>4.2779999999999999E-2</v>
      </c>
      <c r="F60" s="7" t="str">
        <f t="shared" si="0"/>
        <v/>
      </c>
      <c r="G60" s="7">
        <f t="shared" si="1"/>
        <v>0</v>
      </c>
      <c r="K60">
        <v>59</v>
      </c>
      <c r="L60">
        <v>4.2540000000000001E-2</v>
      </c>
      <c r="M60">
        <f t="shared" si="2"/>
        <v>4.2779999999999999E-2</v>
      </c>
    </row>
    <row r="61" spans="1:13" x14ac:dyDescent="0.35">
      <c r="A61" s="3" t="e">
        <v>#N/A</v>
      </c>
      <c r="B61" s="5">
        <v>4.2610000000000002E-2</v>
      </c>
      <c r="D61">
        <v>4.2610000000000002E-2</v>
      </c>
      <c r="F61" s="7" t="str">
        <f t="shared" si="0"/>
        <v/>
      </c>
      <c r="G61" s="7">
        <f t="shared" si="1"/>
        <v>0</v>
      </c>
      <c r="K61">
        <v>60</v>
      </c>
      <c r="L61">
        <v>4.2380000000000001E-2</v>
      </c>
      <c r="M61">
        <f t="shared" si="2"/>
        <v>4.2610000000000002E-2</v>
      </c>
    </row>
    <row r="62" spans="1:13" x14ac:dyDescent="0.35">
      <c r="A62" s="3" t="e">
        <v>#N/A</v>
      </c>
      <c r="B62" s="5">
        <v>4.2459999999999998E-2</v>
      </c>
      <c r="D62">
        <v>4.2459999999999998E-2</v>
      </c>
      <c r="F62" s="7" t="str">
        <f t="shared" si="0"/>
        <v/>
      </c>
      <c r="G62" s="7">
        <f t="shared" si="1"/>
        <v>0</v>
      </c>
      <c r="K62">
        <v>61</v>
      </c>
      <c r="L62">
        <v>4.2229999999999997E-2</v>
      </c>
      <c r="M62">
        <f t="shared" si="2"/>
        <v>4.2459999999999998E-2</v>
      </c>
    </row>
    <row r="63" spans="1:13" x14ac:dyDescent="0.35">
      <c r="A63" s="3" t="e">
        <v>#N/A</v>
      </c>
      <c r="B63" s="5">
        <v>4.231E-2</v>
      </c>
      <c r="D63">
        <v>4.231E-2</v>
      </c>
      <c r="F63" s="7" t="str">
        <f t="shared" si="0"/>
        <v/>
      </c>
      <c r="G63" s="7">
        <f t="shared" si="1"/>
        <v>0</v>
      </c>
      <c r="K63">
        <v>62</v>
      </c>
      <c r="L63">
        <v>4.2079999999999999E-2</v>
      </c>
      <c r="M63">
        <f t="shared" si="2"/>
        <v>4.231E-2</v>
      </c>
    </row>
    <row r="64" spans="1:13" x14ac:dyDescent="0.35">
      <c r="A64" s="3" t="e">
        <v>#N/A</v>
      </c>
      <c r="B64" s="5">
        <v>4.2160000000000003E-2</v>
      </c>
      <c r="D64">
        <v>4.2160000000000003E-2</v>
      </c>
      <c r="F64" s="7" t="str">
        <f t="shared" si="0"/>
        <v/>
      </c>
      <c r="G64" s="7">
        <f t="shared" si="1"/>
        <v>0</v>
      </c>
      <c r="K64">
        <v>63</v>
      </c>
      <c r="L64">
        <v>4.1930000000000002E-2</v>
      </c>
      <c r="M64">
        <f t="shared" si="2"/>
        <v>4.2160000000000003E-2</v>
      </c>
    </row>
    <row r="65" spans="1:13" x14ac:dyDescent="0.35">
      <c r="A65" s="3" t="e">
        <v>#N/A</v>
      </c>
      <c r="B65" s="5">
        <v>4.2020000000000002E-2</v>
      </c>
      <c r="D65">
        <v>4.2020000000000002E-2</v>
      </c>
      <c r="F65" s="7" t="str">
        <f t="shared" si="0"/>
        <v/>
      </c>
      <c r="G65" s="7">
        <f t="shared" si="1"/>
        <v>0</v>
      </c>
      <c r="K65">
        <v>64</v>
      </c>
      <c r="L65">
        <v>4.1799999999999997E-2</v>
      </c>
      <c r="M65">
        <f t="shared" si="2"/>
        <v>4.2020000000000002E-2</v>
      </c>
    </row>
    <row r="66" spans="1:13" x14ac:dyDescent="0.35">
      <c r="A66" s="3" t="e">
        <v>#N/A</v>
      </c>
      <c r="B66" s="5">
        <v>4.1880000000000001E-2</v>
      </c>
      <c r="D66">
        <v>4.1880000000000001E-2</v>
      </c>
      <c r="F66" s="7" t="str">
        <f t="shared" si="0"/>
        <v/>
      </c>
      <c r="G66" s="7">
        <f t="shared" si="1"/>
        <v>0</v>
      </c>
      <c r="K66">
        <v>65</v>
      </c>
      <c r="L66">
        <v>4.1660000000000003E-2</v>
      </c>
      <c r="M66">
        <f t="shared" si="2"/>
        <v>4.1880000000000001E-2</v>
      </c>
    </row>
    <row r="67" spans="1:13" x14ac:dyDescent="0.35">
      <c r="A67" s="3" t="e">
        <v>#N/A</v>
      </c>
      <c r="B67" s="5">
        <v>4.1739999999999999E-2</v>
      </c>
      <c r="D67">
        <v>4.1739999999999999E-2</v>
      </c>
      <c r="F67" s="7" t="str">
        <f t="shared" ref="F67:F130" si="3">IF(C67&lt;&gt;"",A67-C67,"")</f>
        <v/>
      </c>
      <c r="G67" s="7">
        <f t="shared" ref="G67:G130" si="4">B67-D67</f>
        <v>0</v>
      </c>
      <c r="K67">
        <v>66</v>
      </c>
      <c r="L67">
        <v>4.1529999999999997E-2</v>
      </c>
      <c r="M67">
        <f t="shared" ref="M67:M130" si="5">D67</f>
        <v>4.1739999999999999E-2</v>
      </c>
    </row>
    <row r="68" spans="1:13" x14ac:dyDescent="0.35">
      <c r="A68" s="3" t="e">
        <v>#N/A</v>
      </c>
      <c r="B68" s="5">
        <v>4.1610000000000001E-2</v>
      </c>
      <c r="D68">
        <v>4.1610000000000001E-2</v>
      </c>
      <c r="F68" s="7" t="str">
        <f t="shared" si="3"/>
        <v/>
      </c>
      <c r="G68" s="7">
        <f t="shared" si="4"/>
        <v>0</v>
      </c>
      <c r="K68">
        <v>67</v>
      </c>
      <c r="L68">
        <v>4.1399999999999999E-2</v>
      </c>
      <c r="M68">
        <f t="shared" si="5"/>
        <v>4.1610000000000001E-2</v>
      </c>
    </row>
    <row r="69" spans="1:13" x14ac:dyDescent="0.35">
      <c r="A69" s="3" t="e">
        <v>#N/A</v>
      </c>
      <c r="B69" s="5">
        <v>4.1489999999999999E-2</v>
      </c>
      <c r="D69">
        <v>4.1489999999999999E-2</v>
      </c>
      <c r="F69" s="7" t="str">
        <f t="shared" si="3"/>
        <v/>
      </c>
      <c r="G69" s="7">
        <f t="shared" si="4"/>
        <v>0</v>
      </c>
      <c r="K69">
        <v>68</v>
      </c>
      <c r="L69">
        <v>4.1279999999999997E-2</v>
      </c>
      <c r="M69">
        <f t="shared" si="5"/>
        <v>4.1489999999999999E-2</v>
      </c>
    </row>
    <row r="70" spans="1:13" x14ac:dyDescent="0.35">
      <c r="A70" s="3" t="e">
        <v>#N/A</v>
      </c>
      <c r="B70" s="5">
        <v>4.1360000000000001E-2</v>
      </c>
      <c r="D70">
        <v>4.1360000000000001E-2</v>
      </c>
      <c r="F70" s="7" t="str">
        <f t="shared" si="3"/>
        <v/>
      </c>
      <c r="G70" s="7">
        <f t="shared" si="4"/>
        <v>0</v>
      </c>
      <c r="K70">
        <v>69</v>
      </c>
      <c r="L70">
        <v>4.1160000000000002E-2</v>
      </c>
      <c r="M70">
        <f t="shared" si="5"/>
        <v>4.1360000000000001E-2</v>
      </c>
    </row>
    <row r="71" spans="1:13" x14ac:dyDescent="0.35">
      <c r="A71" s="3" t="e">
        <v>#N/A</v>
      </c>
      <c r="B71" s="5">
        <v>4.1239999999999999E-2</v>
      </c>
      <c r="D71">
        <v>4.1239999999999999E-2</v>
      </c>
      <c r="F71" s="7" t="str">
        <f t="shared" si="3"/>
        <v/>
      </c>
      <c r="G71" s="7">
        <f t="shared" si="4"/>
        <v>0</v>
      </c>
      <c r="K71">
        <v>70</v>
      </c>
      <c r="L71">
        <v>4.104E-2</v>
      </c>
      <c r="M71">
        <f t="shared" si="5"/>
        <v>4.1239999999999999E-2</v>
      </c>
    </row>
    <row r="72" spans="1:13" x14ac:dyDescent="0.35">
      <c r="A72" s="3" t="e">
        <v>#N/A</v>
      </c>
      <c r="B72" s="5">
        <v>4.113E-2</v>
      </c>
      <c r="D72">
        <v>4.113E-2</v>
      </c>
      <c r="F72" s="7" t="str">
        <f t="shared" si="3"/>
        <v/>
      </c>
      <c r="G72" s="7">
        <f t="shared" si="4"/>
        <v>0</v>
      </c>
      <c r="K72">
        <v>71</v>
      </c>
      <c r="L72">
        <v>4.0930000000000001E-2</v>
      </c>
      <c r="M72">
        <f t="shared" si="5"/>
        <v>4.113E-2</v>
      </c>
    </row>
    <row r="73" spans="1:13" x14ac:dyDescent="0.35">
      <c r="A73" s="3" t="e">
        <v>#N/A</v>
      </c>
      <c r="B73" s="5">
        <v>4.1020000000000001E-2</v>
      </c>
      <c r="D73">
        <v>4.1020000000000001E-2</v>
      </c>
      <c r="F73" s="7" t="str">
        <f t="shared" si="3"/>
        <v/>
      </c>
      <c r="G73" s="7">
        <f t="shared" si="4"/>
        <v>0</v>
      </c>
      <c r="K73">
        <v>72</v>
      </c>
      <c r="L73">
        <v>4.0820000000000002E-2</v>
      </c>
      <c r="M73">
        <f t="shared" si="5"/>
        <v>4.1020000000000001E-2</v>
      </c>
    </row>
    <row r="74" spans="1:13" x14ac:dyDescent="0.35">
      <c r="A74" s="3" t="e">
        <v>#N/A</v>
      </c>
      <c r="B74" s="5">
        <v>4.0910000000000002E-2</v>
      </c>
      <c r="D74">
        <v>4.0910000000000002E-2</v>
      </c>
      <c r="F74" s="7" t="str">
        <f t="shared" si="3"/>
        <v/>
      </c>
      <c r="G74" s="7">
        <f t="shared" si="4"/>
        <v>0</v>
      </c>
      <c r="K74">
        <v>73</v>
      </c>
      <c r="L74">
        <v>4.0710000000000003E-2</v>
      </c>
      <c r="M74">
        <f t="shared" si="5"/>
        <v>4.0910000000000002E-2</v>
      </c>
    </row>
    <row r="75" spans="1:13" x14ac:dyDescent="0.35">
      <c r="A75" s="3" t="e">
        <v>#N/A</v>
      </c>
      <c r="B75" s="5">
        <v>4.0800000000000003E-2</v>
      </c>
      <c r="D75">
        <v>4.0800000000000003E-2</v>
      </c>
      <c r="F75" s="7" t="str">
        <f t="shared" si="3"/>
        <v/>
      </c>
      <c r="G75" s="7">
        <f t="shared" si="4"/>
        <v>0</v>
      </c>
      <c r="K75">
        <v>74</v>
      </c>
      <c r="L75">
        <v>4.061E-2</v>
      </c>
      <c r="M75">
        <f t="shared" si="5"/>
        <v>4.0800000000000003E-2</v>
      </c>
    </row>
    <row r="76" spans="1:13" x14ac:dyDescent="0.35">
      <c r="A76" s="3" t="e">
        <v>#N/A</v>
      </c>
      <c r="B76" s="5">
        <v>4.0689999999999997E-2</v>
      </c>
      <c r="D76">
        <v>4.0689999999999997E-2</v>
      </c>
      <c r="F76" s="7" t="str">
        <f t="shared" si="3"/>
        <v/>
      </c>
      <c r="G76" s="7">
        <f t="shared" si="4"/>
        <v>0</v>
      </c>
      <c r="K76">
        <v>75</v>
      </c>
      <c r="L76">
        <v>4.0509999999999997E-2</v>
      </c>
      <c r="M76">
        <f t="shared" si="5"/>
        <v>4.0689999999999997E-2</v>
      </c>
    </row>
    <row r="77" spans="1:13" x14ac:dyDescent="0.35">
      <c r="A77" s="3" t="e">
        <v>#N/A</v>
      </c>
      <c r="B77" s="5">
        <v>4.0590000000000001E-2</v>
      </c>
      <c r="D77">
        <v>4.0590000000000001E-2</v>
      </c>
      <c r="F77" s="7" t="str">
        <f t="shared" si="3"/>
        <v/>
      </c>
      <c r="G77" s="7">
        <f t="shared" si="4"/>
        <v>0</v>
      </c>
      <c r="K77">
        <v>76</v>
      </c>
      <c r="L77">
        <v>4.0410000000000001E-2</v>
      </c>
      <c r="M77">
        <f t="shared" si="5"/>
        <v>4.0590000000000001E-2</v>
      </c>
    </row>
    <row r="78" spans="1:13" x14ac:dyDescent="0.35">
      <c r="A78" s="3" t="e">
        <v>#N/A</v>
      </c>
      <c r="B78" s="5">
        <v>4.0489999999999998E-2</v>
      </c>
      <c r="D78">
        <v>4.0489999999999998E-2</v>
      </c>
      <c r="F78" s="7" t="str">
        <f t="shared" si="3"/>
        <v/>
      </c>
      <c r="G78" s="7">
        <f t="shared" si="4"/>
        <v>0</v>
      </c>
      <c r="K78">
        <v>77</v>
      </c>
      <c r="L78">
        <v>4.0309999999999999E-2</v>
      </c>
      <c r="M78">
        <f t="shared" si="5"/>
        <v>4.0489999999999998E-2</v>
      </c>
    </row>
    <row r="79" spans="1:13" x14ac:dyDescent="0.35">
      <c r="A79" s="3" t="e">
        <v>#N/A</v>
      </c>
      <c r="B79" s="5">
        <v>4.0399999999999998E-2</v>
      </c>
      <c r="D79">
        <v>4.0399999999999998E-2</v>
      </c>
      <c r="F79" s="7" t="str">
        <f t="shared" si="3"/>
        <v/>
      </c>
      <c r="G79" s="7">
        <f t="shared" si="4"/>
        <v>0</v>
      </c>
      <c r="K79">
        <v>78</v>
      </c>
      <c r="L79">
        <v>4.0219999999999999E-2</v>
      </c>
      <c r="M79">
        <f t="shared" si="5"/>
        <v>4.0399999999999998E-2</v>
      </c>
    </row>
    <row r="80" spans="1:13" x14ac:dyDescent="0.35">
      <c r="A80" s="3" t="e">
        <v>#N/A</v>
      </c>
      <c r="B80" s="5">
        <v>4.0300000000000002E-2</v>
      </c>
      <c r="D80">
        <v>4.0300000000000002E-2</v>
      </c>
      <c r="F80" s="7" t="str">
        <f t="shared" si="3"/>
        <v/>
      </c>
      <c r="G80" s="7">
        <f t="shared" si="4"/>
        <v>0</v>
      </c>
      <c r="K80">
        <v>79</v>
      </c>
      <c r="L80">
        <v>4.0129999999999999E-2</v>
      </c>
      <c r="M80">
        <f t="shared" si="5"/>
        <v>4.0300000000000002E-2</v>
      </c>
    </row>
    <row r="81" spans="1:13" x14ac:dyDescent="0.35">
      <c r="A81" s="3" t="e">
        <v>#N/A</v>
      </c>
      <c r="B81" s="5">
        <v>4.0210000000000003E-2</v>
      </c>
      <c r="D81">
        <v>4.0210000000000003E-2</v>
      </c>
      <c r="F81" s="7" t="str">
        <f t="shared" si="3"/>
        <v/>
      </c>
      <c r="G81" s="7">
        <f t="shared" si="4"/>
        <v>0</v>
      </c>
      <c r="K81">
        <v>80</v>
      </c>
      <c r="L81">
        <v>4.0039999999999999E-2</v>
      </c>
      <c r="M81">
        <f t="shared" si="5"/>
        <v>4.0210000000000003E-2</v>
      </c>
    </row>
    <row r="82" spans="1:13" x14ac:dyDescent="0.35">
      <c r="A82" s="3" t="e">
        <v>#N/A</v>
      </c>
      <c r="B82" s="5">
        <v>4.0120000000000003E-2</v>
      </c>
      <c r="D82">
        <v>4.0120000000000003E-2</v>
      </c>
      <c r="F82" s="7" t="str">
        <f t="shared" si="3"/>
        <v/>
      </c>
      <c r="G82" s="7">
        <f t="shared" si="4"/>
        <v>0</v>
      </c>
      <c r="K82">
        <v>81</v>
      </c>
      <c r="L82">
        <v>3.9949999999999999E-2</v>
      </c>
      <c r="M82">
        <f t="shared" si="5"/>
        <v>4.0120000000000003E-2</v>
      </c>
    </row>
    <row r="83" spans="1:13" x14ac:dyDescent="0.35">
      <c r="A83" s="3" t="e">
        <v>#N/A</v>
      </c>
      <c r="B83" s="5">
        <v>4.0039999999999999E-2</v>
      </c>
      <c r="D83">
        <v>4.0039999999999999E-2</v>
      </c>
      <c r="F83" s="7" t="str">
        <f t="shared" si="3"/>
        <v/>
      </c>
      <c r="G83" s="7">
        <f t="shared" si="4"/>
        <v>0</v>
      </c>
      <c r="K83">
        <v>82</v>
      </c>
      <c r="L83">
        <v>3.986E-2</v>
      </c>
      <c r="M83">
        <f t="shared" si="5"/>
        <v>4.0039999999999999E-2</v>
      </c>
    </row>
    <row r="84" spans="1:13" x14ac:dyDescent="0.35">
      <c r="A84" s="3" t="e">
        <v>#N/A</v>
      </c>
      <c r="B84" s="5">
        <v>3.9949999999999999E-2</v>
      </c>
      <c r="D84">
        <v>3.9949999999999999E-2</v>
      </c>
      <c r="F84" s="7" t="str">
        <f t="shared" si="3"/>
        <v/>
      </c>
      <c r="G84" s="7">
        <f t="shared" si="4"/>
        <v>0</v>
      </c>
      <c r="K84">
        <v>83</v>
      </c>
      <c r="L84">
        <v>3.9780000000000003E-2</v>
      </c>
      <c r="M84">
        <f t="shared" si="5"/>
        <v>3.9949999999999999E-2</v>
      </c>
    </row>
    <row r="85" spans="1:13" x14ac:dyDescent="0.35">
      <c r="A85" s="3" t="e">
        <v>#N/A</v>
      </c>
      <c r="B85" s="5">
        <v>3.9870000000000003E-2</v>
      </c>
      <c r="D85">
        <v>3.9870000000000003E-2</v>
      </c>
      <c r="F85" s="7" t="str">
        <f t="shared" si="3"/>
        <v/>
      </c>
      <c r="G85" s="7">
        <f t="shared" si="4"/>
        <v>0</v>
      </c>
      <c r="K85">
        <v>84</v>
      </c>
      <c r="L85">
        <v>3.9699999999999999E-2</v>
      </c>
      <c r="M85">
        <f t="shared" si="5"/>
        <v>3.9870000000000003E-2</v>
      </c>
    </row>
    <row r="86" spans="1:13" x14ac:dyDescent="0.35">
      <c r="A86" s="3" t="e">
        <v>#N/A</v>
      </c>
      <c r="B86" s="5">
        <v>3.9789999999999999E-2</v>
      </c>
      <c r="D86">
        <v>3.9789999999999999E-2</v>
      </c>
      <c r="F86" s="7" t="str">
        <f t="shared" si="3"/>
        <v/>
      </c>
      <c r="G86" s="7">
        <f t="shared" si="4"/>
        <v>0</v>
      </c>
      <c r="K86">
        <v>85</v>
      </c>
      <c r="L86">
        <v>3.9620000000000002E-2</v>
      </c>
      <c r="M86">
        <f t="shared" si="5"/>
        <v>3.9789999999999999E-2</v>
      </c>
    </row>
    <row r="87" spans="1:13" x14ac:dyDescent="0.35">
      <c r="A87" s="3" t="e">
        <v>#N/A</v>
      </c>
      <c r="B87" s="5">
        <v>3.9710000000000002E-2</v>
      </c>
      <c r="D87">
        <v>3.9710000000000002E-2</v>
      </c>
      <c r="F87" s="7" t="str">
        <f t="shared" si="3"/>
        <v/>
      </c>
      <c r="G87" s="7">
        <f t="shared" si="4"/>
        <v>0</v>
      </c>
      <c r="K87">
        <v>86</v>
      </c>
      <c r="L87">
        <v>3.9539999999999999E-2</v>
      </c>
      <c r="M87">
        <f t="shared" si="5"/>
        <v>3.9710000000000002E-2</v>
      </c>
    </row>
    <row r="88" spans="1:13" x14ac:dyDescent="0.35">
      <c r="A88" s="3" t="e">
        <v>#N/A</v>
      </c>
      <c r="B88" s="5">
        <v>3.9629999999999999E-2</v>
      </c>
      <c r="D88">
        <v>3.9629999999999999E-2</v>
      </c>
      <c r="F88" s="7" t="str">
        <f t="shared" si="3"/>
        <v/>
      </c>
      <c r="G88" s="7">
        <f t="shared" si="4"/>
        <v>0</v>
      </c>
      <c r="K88">
        <v>87</v>
      </c>
      <c r="L88">
        <v>3.9469999999999998E-2</v>
      </c>
      <c r="M88">
        <f t="shared" si="5"/>
        <v>3.9629999999999999E-2</v>
      </c>
    </row>
    <row r="89" spans="1:13" x14ac:dyDescent="0.35">
      <c r="A89" s="3" t="e">
        <v>#N/A</v>
      </c>
      <c r="B89" s="5">
        <v>3.9559999999999998E-2</v>
      </c>
      <c r="D89">
        <v>3.9559999999999998E-2</v>
      </c>
      <c r="F89" s="7" t="str">
        <f t="shared" si="3"/>
        <v/>
      </c>
      <c r="G89" s="7">
        <f t="shared" si="4"/>
        <v>0</v>
      </c>
      <c r="K89">
        <v>88</v>
      </c>
      <c r="L89">
        <v>3.9399999999999998E-2</v>
      </c>
      <c r="M89">
        <f t="shared" si="5"/>
        <v>3.9559999999999998E-2</v>
      </c>
    </row>
    <row r="90" spans="1:13" x14ac:dyDescent="0.35">
      <c r="A90" s="3" t="e">
        <v>#N/A</v>
      </c>
      <c r="B90" s="5">
        <v>3.9480000000000001E-2</v>
      </c>
      <c r="D90">
        <v>3.9480000000000001E-2</v>
      </c>
      <c r="F90" s="7" t="str">
        <f t="shared" si="3"/>
        <v/>
      </c>
      <c r="G90" s="7">
        <f t="shared" si="4"/>
        <v>0</v>
      </c>
      <c r="K90">
        <v>89</v>
      </c>
      <c r="L90">
        <v>3.9320000000000001E-2</v>
      </c>
      <c r="M90">
        <f t="shared" si="5"/>
        <v>3.9480000000000001E-2</v>
      </c>
    </row>
    <row r="91" spans="1:13" x14ac:dyDescent="0.35">
      <c r="A91" s="3" t="e">
        <v>#N/A</v>
      </c>
      <c r="B91" s="5">
        <v>3.9410000000000001E-2</v>
      </c>
      <c r="D91">
        <v>3.9410000000000001E-2</v>
      </c>
      <c r="F91" s="7" t="str">
        <f t="shared" si="3"/>
        <v/>
      </c>
      <c r="G91" s="7">
        <f t="shared" si="4"/>
        <v>0</v>
      </c>
      <c r="K91">
        <v>90</v>
      </c>
      <c r="L91">
        <v>3.925E-2</v>
      </c>
      <c r="M91">
        <f t="shared" si="5"/>
        <v>3.9410000000000001E-2</v>
      </c>
    </row>
    <row r="92" spans="1:13" x14ac:dyDescent="0.35">
      <c r="A92" s="3" t="e">
        <v>#N/A</v>
      </c>
      <c r="B92" s="5">
        <v>3.934E-2</v>
      </c>
      <c r="D92">
        <v>3.934E-2</v>
      </c>
      <c r="F92" s="7" t="str">
        <f t="shared" si="3"/>
        <v/>
      </c>
      <c r="G92" s="7">
        <f t="shared" si="4"/>
        <v>0</v>
      </c>
      <c r="K92">
        <v>91</v>
      </c>
      <c r="L92">
        <v>3.918E-2</v>
      </c>
      <c r="M92">
        <f t="shared" si="5"/>
        <v>3.934E-2</v>
      </c>
    </row>
    <row r="93" spans="1:13" x14ac:dyDescent="0.35">
      <c r="A93" s="3" t="e">
        <v>#N/A</v>
      </c>
      <c r="B93" s="5">
        <v>3.9269999999999999E-2</v>
      </c>
      <c r="D93">
        <v>3.9269999999999999E-2</v>
      </c>
      <c r="F93" s="7" t="str">
        <f t="shared" si="3"/>
        <v/>
      </c>
      <c r="G93" s="7">
        <f t="shared" si="4"/>
        <v>0</v>
      </c>
      <c r="K93">
        <v>92</v>
      </c>
      <c r="L93">
        <v>3.9120000000000002E-2</v>
      </c>
      <c r="M93">
        <f t="shared" si="5"/>
        <v>3.9269999999999999E-2</v>
      </c>
    </row>
    <row r="94" spans="1:13" x14ac:dyDescent="0.35">
      <c r="A94" s="3" t="e">
        <v>#N/A</v>
      </c>
      <c r="B94" s="5">
        <v>3.9199999999999999E-2</v>
      </c>
      <c r="D94">
        <v>3.9199999999999999E-2</v>
      </c>
      <c r="F94" s="7" t="str">
        <f t="shared" si="3"/>
        <v/>
      </c>
      <c r="G94" s="7">
        <f t="shared" si="4"/>
        <v>0</v>
      </c>
      <c r="K94">
        <v>93</v>
      </c>
      <c r="L94">
        <v>3.9050000000000001E-2</v>
      </c>
      <c r="M94">
        <f t="shared" si="5"/>
        <v>3.9199999999999999E-2</v>
      </c>
    </row>
    <row r="95" spans="1:13" x14ac:dyDescent="0.35">
      <c r="A95" s="3" t="e">
        <v>#N/A</v>
      </c>
      <c r="B95" s="5">
        <v>3.9140000000000001E-2</v>
      </c>
      <c r="D95">
        <v>3.9140000000000001E-2</v>
      </c>
      <c r="F95" s="7" t="str">
        <f t="shared" si="3"/>
        <v/>
      </c>
      <c r="G95" s="7">
        <f t="shared" si="4"/>
        <v>0</v>
      </c>
      <c r="K95">
        <v>94</v>
      </c>
      <c r="L95">
        <v>3.8989999999999997E-2</v>
      </c>
      <c r="M95">
        <f t="shared" si="5"/>
        <v>3.9140000000000001E-2</v>
      </c>
    </row>
    <row r="96" spans="1:13" x14ac:dyDescent="0.35">
      <c r="A96" s="3" t="e">
        <v>#N/A</v>
      </c>
      <c r="B96" s="5">
        <v>3.9070000000000001E-2</v>
      </c>
      <c r="D96">
        <v>3.9070000000000001E-2</v>
      </c>
      <c r="F96" s="7" t="str">
        <f t="shared" si="3"/>
        <v/>
      </c>
      <c r="G96" s="7">
        <f t="shared" si="4"/>
        <v>0</v>
      </c>
      <c r="K96">
        <v>95</v>
      </c>
      <c r="L96">
        <v>3.8920000000000003E-2</v>
      </c>
      <c r="M96">
        <f t="shared" si="5"/>
        <v>3.9070000000000001E-2</v>
      </c>
    </row>
    <row r="97" spans="1:13" x14ac:dyDescent="0.35">
      <c r="A97" s="3" t="e">
        <v>#N/A</v>
      </c>
      <c r="B97" s="5">
        <v>3.9010000000000003E-2</v>
      </c>
      <c r="D97">
        <v>3.9010000000000003E-2</v>
      </c>
      <c r="F97" s="7" t="str">
        <f t="shared" si="3"/>
        <v/>
      </c>
      <c r="G97" s="7">
        <f t="shared" si="4"/>
        <v>0</v>
      </c>
      <c r="K97">
        <v>96</v>
      </c>
      <c r="L97">
        <v>3.8859999999999999E-2</v>
      </c>
      <c r="M97">
        <f t="shared" si="5"/>
        <v>3.9010000000000003E-2</v>
      </c>
    </row>
    <row r="98" spans="1:13" x14ac:dyDescent="0.35">
      <c r="A98" s="3" t="e">
        <v>#N/A</v>
      </c>
      <c r="B98" s="5">
        <v>3.8949999999999999E-2</v>
      </c>
      <c r="D98">
        <v>3.8949999999999999E-2</v>
      </c>
      <c r="F98" s="7" t="str">
        <f t="shared" si="3"/>
        <v/>
      </c>
      <c r="G98" s="7">
        <f t="shared" si="4"/>
        <v>0</v>
      </c>
      <c r="K98">
        <v>97</v>
      </c>
      <c r="L98">
        <v>3.8800000000000001E-2</v>
      </c>
      <c r="M98">
        <f t="shared" si="5"/>
        <v>3.8949999999999999E-2</v>
      </c>
    </row>
    <row r="99" spans="1:13" x14ac:dyDescent="0.35">
      <c r="A99" s="3" t="e">
        <v>#N/A</v>
      </c>
      <c r="B99" s="5">
        <v>3.8890000000000001E-2</v>
      </c>
      <c r="D99">
        <v>3.8890000000000001E-2</v>
      </c>
      <c r="F99" s="7" t="str">
        <f t="shared" si="3"/>
        <v/>
      </c>
      <c r="G99" s="7">
        <f t="shared" si="4"/>
        <v>0</v>
      </c>
      <c r="K99">
        <v>98</v>
      </c>
      <c r="L99">
        <v>3.8739999999999997E-2</v>
      </c>
      <c r="M99">
        <f t="shared" si="5"/>
        <v>3.8890000000000001E-2</v>
      </c>
    </row>
    <row r="100" spans="1:13" x14ac:dyDescent="0.35">
      <c r="A100" s="3" t="e">
        <v>#N/A</v>
      </c>
      <c r="B100" s="5">
        <v>3.8830000000000003E-2</v>
      </c>
      <c r="D100">
        <v>3.8830000000000003E-2</v>
      </c>
      <c r="F100" s="7" t="str">
        <f t="shared" si="3"/>
        <v/>
      </c>
      <c r="G100" s="7">
        <f t="shared" si="4"/>
        <v>0</v>
      </c>
      <c r="K100">
        <v>99</v>
      </c>
      <c r="L100">
        <v>3.8679999999999999E-2</v>
      </c>
      <c r="M100">
        <f t="shared" si="5"/>
        <v>3.8830000000000003E-2</v>
      </c>
    </row>
    <row r="101" spans="1:13" x14ac:dyDescent="0.35">
      <c r="A101" s="3" t="e">
        <v>#N/A</v>
      </c>
      <c r="B101" s="5">
        <v>3.8769999999999999E-2</v>
      </c>
      <c r="D101">
        <v>3.8769999999999999E-2</v>
      </c>
      <c r="F101" s="7" t="str">
        <f t="shared" si="3"/>
        <v/>
      </c>
      <c r="G101" s="7">
        <f t="shared" si="4"/>
        <v>0</v>
      </c>
      <c r="K101">
        <v>100</v>
      </c>
      <c r="L101">
        <v>3.8629999999999998E-2</v>
      </c>
      <c r="M101">
        <f t="shared" si="5"/>
        <v>3.8769999999999999E-2</v>
      </c>
    </row>
    <row r="102" spans="1:13" x14ac:dyDescent="0.35">
      <c r="A102" s="3" t="e">
        <v>#N/A</v>
      </c>
      <c r="B102" s="5">
        <v>3.8710000000000001E-2</v>
      </c>
      <c r="D102">
        <v>3.8710000000000001E-2</v>
      </c>
      <c r="F102" s="7" t="str">
        <f t="shared" si="3"/>
        <v/>
      </c>
      <c r="G102" s="7">
        <f t="shared" si="4"/>
        <v>0</v>
      </c>
      <c r="K102">
        <v>101</v>
      </c>
      <c r="L102">
        <v>3.857E-2</v>
      </c>
      <c r="M102">
        <f t="shared" si="5"/>
        <v>3.8710000000000001E-2</v>
      </c>
    </row>
    <row r="103" spans="1:13" x14ac:dyDescent="0.35">
      <c r="A103" s="3" t="e">
        <v>#N/A</v>
      </c>
      <c r="B103" s="5">
        <v>3.8649999999999997E-2</v>
      </c>
      <c r="D103">
        <v>3.8649999999999997E-2</v>
      </c>
      <c r="F103" s="7" t="str">
        <f t="shared" si="3"/>
        <v/>
      </c>
      <c r="G103" s="7">
        <f t="shared" si="4"/>
        <v>0</v>
      </c>
      <c r="K103">
        <v>102</v>
      </c>
      <c r="L103">
        <v>3.8519999999999999E-2</v>
      </c>
      <c r="M103">
        <f t="shared" si="5"/>
        <v>3.8649999999999997E-2</v>
      </c>
    </row>
    <row r="104" spans="1:13" x14ac:dyDescent="0.35">
      <c r="A104" s="3" t="e">
        <v>#N/A</v>
      </c>
      <c r="B104" s="5">
        <v>3.8600000000000002E-2</v>
      </c>
      <c r="D104">
        <v>3.8600000000000002E-2</v>
      </c>
      <c r="F104" s="7" t="str">
        <f t="shared" si="3"/>
        <v/>
      </c>
      <c r="G104" s="7">
        <f t="shared" si="4"/>
        <v>0</v>
      </c>
      <c r="K104">
        <v>103</v>
      </c>
      <c r="L104">
        <v>3.8460000000000001E-2</v>
      </c>
      <c r="M104">
        <f t="shared" si="5"/>
        <v>3.8600000000000002E-2</v>
      </c>
    </row>
    <row r="105" spans="1:13" x14ac:dyDescent="0.35">
      <c r="A105" s="3" t="e">
        <v>#N/A</v>
      </c>
      <c r="B105" s="5">
        <v>3.8550000000000001E-2</v>
      </c>
      <c r="D105">
        <v>3.8550000000000001E-2</v>
      </c>
      <c r="F105" s="7" t="str">
        <f t="shared" si="3"/>
        <v/>
      </c>
      <c r="G105" s="7">
        <f t="shared" si="4"/>
        <v>0</v>
      </c>
      <c r="K105">
        <v>104</v>
      </c>
      <c r="L105">
        <v>3.841E-2</v>
      </c>
      <c r="M105">
        <f t="shared" si="5"/>
        <v>3.8550000000000001E-2</v>
      </c>
    </row>
    <row r="106" spans="1:13" x14ac:dyDescent="0.35">
      <c r="A106" s="3" t="e">
        <v>#N/A</v>
      </c>
      <c r="B106" s="5">
        <v>3.8490000000000003E-2</v>
      </c>
      <c r="D106">
        <v>3.8490000000000003E-2</v>
      </c>
      <c r="F106" s="7" t="str">
        <f t="shared" si="3"/>
        <v/>
      </c>
      <c r="G106" s="7">
        <f t="shared" si="4"/>
        <v>0</v>
      </c>
      <c r="K106">
        <v>105</v>
      </c>
      <c r="L106">
        <v>3.8359999999999998E-2</v>
      </c>
      <c r="M106">
        <f t="shared" si="5"/>
        <v>3.8490000000000003E-2</v>
      </c>
    </row>
    <row r="107" spans="1:13" x14ac:dyDescent="0.35">
      <c r="A107" s="3" t="e">
        <v>#N/A</v>
      </c>
      <c r="B107" s="5">
        <v>3.8440000000000002E-2</v>
      </c>
      <c r="D107">
        <v>3.8440000000000002E-2</v>
      </c>
      <c r="F107" s="7" t="str">
        <f t="shared" si="3"/>
        <v/>
      </c>
      <c r="G107" s="7">
        <f t="shared" si="4"/>
        <v>0</v>
      </c>
      <c r="K107">
        <v>106</v>
      </c>
      <c r="L107">
        <v>3.8309999999999997E-2</v>
      </c>
      <c r="M107">
        <f t="shared" si="5"/>
        <v>3.8440000000000002E-2</v>
      </c>
    </row>
    <row r="108" spans="1:13" x14ac:dyDescent="0.35">
      <c r="A108" s="3" t="e">
        <v>#N/A</v>
      </c>
      <c r="B108" s="5">
        <v>3.8390000000000001E-2</v>
      </c>
      <c r="D108">
        <v>3.8390000000000001E-2</v>
      </c>
      <c r="F108" s="7" t="str">
        <f t="shared" si="3"/>
        <v/>
      </c>
      <c r="G108" s="7">
        <f t="shared" si="4"/>
        <v>0</v>
      </c>
      <c r="K108">
        <v>107</v>
      </c>
      <c r="L108">
        <v>3.8260000000000002E-2</v>
      </c>
      <c r="M108">
        <f t="shared" si="5"/>
        <v>3.8390000000000001E-2</v>
      </c>
    </row>
    <row r="109" spans="1:13" x14ac:dyDescent="0.35">
      <c r="A109" s="3" t="e">
        <v>#N/A</v>
      </c>
      <c r="B109" s="5">
        <v>3.8339999999999999E-2</v>
      </c>
      <c r="D109">
        <v>3.8339999999999999E-2</v>
      </c>
      <c r="F109" s="7" t="str">
        <f t="shared" si="3"/>
        <v/>
      </c>
      <c r="G109" s="7">
        <f t="shared" si="4"/>
        <v>0</v>
      </c>
      <c r="K109">
        <v>108</v>
      </c>
      <c r="L109">
        <v>3.8210000000000001E-2</v>
      </c>
      <c r="M109">
        <f t="shared" si="5"/>
        <v>3.8339999999999999E-2</v>
      </c>
    </row>
    <row r="110" spans="1:13" x14ac:dyDescent="0.35">
      <c r="A110" s="3" t="e">
        <v>#N/A</v>
      </c>
      <c r="B110" s="5">
        <v>3.8289999999999998E-2</v>
      </c>
      <c r="D110">
        <v>3.8289999999999998E-2</v>
      </c>
      <c r="F110" s="7" t="str">
        <f t="shared" si="3"/>
        <v/>
      </c>
      <c r="G110" s="7">
        <f t="shared" si="4"/>
        <v>0</v>
      </c>
      <c r="K110">
        <v>109</v>
      </c>
      <c r="L110">
        <v>3.8159999999999999E-2</v>
      </c>
      <c r="M110">
        <f t="shared" si="5"/>
        <v>3.8289999999999998E-2</v>
      </c>
    </row>
    <row r="111" spans="1:13" x14ac:dyDescent="0.35">
      <c r="A111" s="3" t="e">
        <v>#N/A</v>
      </c>
      <c r="B111" s="5">
        <v>3.8240000000000003E-2</v>
      </c>
      <c r="D111">
        <v>3.8240000000000003E-2</v>
      </c>
      <c r="F111" s="7" t="str">
        <f t="shared" si="3"/>
        <v/>
      </c>
      <c r="G111" s="7">
        <f t="shared" si="4"/>
        <v>0</v>
      </c>
      <c r="K111">
        <v>110</v>
      </c>
      <c r="L111">
        <v>3.8109999999999998E-2</v>
      </c>
      <c r="M111">
        <f t="shared" si="5"/>
        <v>3.8240000000000003E-2</v>
      </c>
    </row>
    <row r="112" spans="1:13" x14ac:dyDescent="0.35">
      <c r="A112" s="3" t="e">
        <v>#N/A</v>
      </c>
      <c r="B112" s="5">
        <v>3.8190000000000002E-2</v>
      </c>
      <c r="D112">
        <v>3.8190000000000002E-2</v>
      </c>
      <c r="F112" s="7" t="str">
        <f t="shared" si="3"/>
        <v/>
      </c>
      <c r="G112" s="7">
        <f t="shared" si="4"/>
        <v>0</v>
      </c>
      <c r="K112">
        <v>111</v>
      </c>
      <c r="L112">
        <v>3.807E-2</v>
      </c>
      <c r="M112">
        <f t="shared" si="5"/>
        <v>3.8190000000000002E-2</v>
      </c>
    </row>
    <row r="113" spans="1:13" x14ac:dyDescent="0.35">
      <c r="A113" s="3" t="e">
        <v>#N/A</v>
      </c>
      <c r="B113" s="5">
        <v>3.8150000000000003E-2</v>
      </c>
      <c r="D113">
        <v>3.8150000000000003E-2</v>
      </c>
      <c r="F113" s="7" t="str">
        <f t="shared" si="3"/>
        <v/>
      </c>
      <c r="G113" s="7">
        <f t="shared" si="4"/>
        <v>0</v>
      </c>
      <c r="K113">
        <v>112</v>
      </c>
      <c r="L113">
        <v>3.8019999999999998E-2</v>
      </c>
      <c r="M113">
        <f t="shared" si="5"/>
        <v>3.8150000000000003E-2</v>
      </c>
    </row>
    <row r="114" spans="1:13" x14ac:dyDescent="0.35">
      <c r="A114" s="3" t="e">
        <v>#N/A</v>
      </c>
      <c r="B114" s="5">
        <v>3.8100000000000002E-2</v>
      </c>
      <c r="D114">
        <v>3.8100000000000002E-2</v>
      </c>
      <c r="F114" s="7" t="str">
        <f t="shared" si="3"/>
        <v/>
      </c>
      <c r="G114" s="7">
        <f t="shared" si="4"/>
        <v>0</v>
      </c>
      <c r="K114">
        <v>113</v>
      </c>
      <c r="L114">
        <v>3.798E-2</v>
      </c>
      <c r="M114">
        <f t="shared" si="5"/>
        <v>3.8100000000000002E-2</v>
      </c>
    </row>
    <row r="115" spans="1:13" x14ac:dyDescent="0.35">
      <c r="A115" s="3" t="e">
        <v>#N/A</v>
      </c>
      <c r="B115" s="5">
        <v>3.8059999999999997E-2</v>
      </c>
      <c r="D115">
        <v>3.8059999999999997E-2</v>
      </c>
      <c r="F115" s="7" t="str">
        <f t="shared" si="3"/>
        <v/>
      </c>
      <c r="G115" s="7">
        <f t="shared" si="4"/>
        <v>0</v>
      </c>
      <c r="K115">
        <v>114</v>
      </c>
      <c r="L115">
        <v>3.7929999999999998E-2</v>
      </c>
      <c r="M115">
        <f t="shared" si="5"/>
        <v>3.8059999999999997E-2</v>
      </c>
    </row>
    <row r="116" spans="1:13" x14ac:dyDescent="0.35">
      <c r="A116" s="3" t="e">
        <v>#N/A</v>
      </c>
      <c r="B116" s="5">
        <v>3.8010000000000002E-2</v>
      </c>
      <c r="D116">
        <v>3.8010000000000002E-2</v>
      </c>
      <c r="F116" s="7" t="str">
        <f t="shared" si="3"/>
        <v/>
      </c>
      <c r="G116" s="7">
        <f t="shared" si="4"/>
        <v>0</v>
      </c>
      <c r="K116">
        <v>115</v>
      </c>
      <c r="L116">
        <v>3.789E-2</v>
      </c>
      <c r="M116">
        <f t="shared" si="5"/>
        <v>3.8010000000000002E-2</v>
      </c>
    </row>
    <row r="117" spans="1:13" x14ac:dyDescent="0.35">
      <c r="A117" s="3" t="e">
        <v>#N/A</v>
      </c>
      <c r="B117" s="5">
        <v>3.7969999999999997E-2</v>
      </c>
      <c r="D117">
        <v>3.7969999999999997E-2</v>
      </c>
      <c r="F117" s="7" t="str">
        <f t="shared" si="3"/>
        <v/>
      </c>
      <c r="G117" s="7">
        <f t="shared" si="4"/>
        <v>0</v>
      </c>
      <c r="K117">
        <v>116</v>
      </c>
      <c r="L117">
        <v>3.7850000000000002E-2</v>
      </c>
      <c r="M117">
        <f t="shared" si="5"/>
        <v>3.7969999999999997E-2</v>
      </c>
    </row>
    <row r="118" spans="1:13" x14ac:dyDescent="0.35">
      <c r="A118" s="3" t="e">
        <v>#N/A</v>
      </c>
      <c r="B118" s="5">
        <v>3.7929999999999998E-2</v>
      </c>
      <c r="D118">
        <v>3.7929999999999998E-2</v>
      </c>
      <c r="F118" s="7" t="str">
        <f t="shared" si="3"/>
        <v/>
      </c>
      <c r="G118" s="7">
        <f t="shared" si="4"/>
        <v>0</v>
      </c>
      <c r="K118">
        <v>117</v>
      </c>
      <c r="L118">
        <v>3.7810000000000003E-2</v>
      </c>
      <c r="M118">
        <f t="shared" si="5"/>
        <v>3.7929999999999998E-2</v>
      </c>
    </row>
    <row r="119" spans="1:13" x14ac:dyDescent="0.35">
      <c r="A119" s="3" t="e">
        <v>#N/A</v>
      </c>
      <c r="B119" s="5">
        <v>3.789E-2</v>
      </c>
      <c r="D119">
        <v>3.789E-2</v>
      </c>
      <c r="F119" s="7" t="str">
        <f t="shared" si="3"/>
        <v/>
      </c>
      <c r="G119" s="7">
        <f t="shared" si="4"/>
        <v>0</v>
      </c>
      <c r="K119">
        <v>118</v>
      </c>
      <c r="L119">
        <v>3.7769999999999998E-2</v>
      </c>
      <c r="M119">
        <f t="shared" si="5"/>
        <v>3.789E-2</v>
      </c>
    </row>
    <row r="120" spans="1:13" x14ac:dyDescent="0.35">
      <c r="A120" s="3" t="e">
        <v>#N/A</v>
      </c>
      <c r="B120" s="5">
        <v>3.7839999999999999E-2</v>
      </c>
      <c r="D120">
        <v>3.7839999999999999E-2</v>
      </c>
      <c r="F120" s="7" t="str">
        <f t="shared" si="3"/>
        <v/>
      </c>
      <c r="G120" s="7">
        <f t="shared" si="4"/>
        <v>0</v>
      </c>
      <c r="K120">
        <v>119</v>
      </c>
      <c r="L120">
        <v>3.773E-2</v>
      </c>
      <c r="M120">
        <f t="shared" si="5"/>
        <v>3.7839999999999999E-2</v>
      </c>
    </row>
    <row r="121" spans="1:13" x14ac:dyDescent="0.35">
      <c r="A121" s="3" t="e">
        <v>#N/A</v>
      </c>
      <c r="B121" s="5">
        <v>3.78E-2</v>
      </c>
      <c r="D121">
        <v>3.78E-2</v>
      </c>
      <c r="F121" s="7" t="str">
        <f t="shared" si="3"/>
        <v/>
      </c>
      <c r="G121" s="7">
        <f t="shared" si="4"/>
        <v>0</v>
      </c>
      <c r="K121">
        <v>120</v>
      </c>
      <c r="L121">
        <v>3.7690000000000001E-2</v>
      </c>
      <c r="M121">
        <f t="shared" si="5"/>
        <v>3.78E-2</v>
      </c>
    </row>
    <row r="122" spans="1:13" x14ac:dyDescent="0.35">
      <c r="A122" s="3" t="e">
        <v>#N/A</v>
      </c>
      <c r="B122" s="5">
        <v>3.7760000000000002E-2</v>
      </c>
      <c r="D122">
        <v>3.7760000000000002E-2</v>
      </c>
      <c r="F122" s="7" t="str">
        <f t="shared" si="3"/>
        <v/>
      </c>
      <c r="G122" s="7">
        <f t="shared" si="4"/>
        <v>0</v>
      </c>
      <c r="K122">
        <v>121</v>
      </c>
      <c r="L122">
        <v>3.7650000000000003E-2</v>
      </c>
      <c r="M122">
        <f t="shared" si="5"/>
        <v>3.7760000000000002E-2</v>
      </c>
    </row>
    <row r="123" spans="1:13" x14ac:dyDescent="0.35">
      <c r="A123" s="3" t="e">
        <v>#N/A</v>
      </c>
      <c r="B123" s="5">
        <v>3.773E-2</v>
      </c>
      <c r="D123">
        <v>3.773E-2</v>
      </c>
      <c r="F123" s="7" t="str">
        <f t="shared" si="3"/>
        <v/>
      </c>
      <c r="G123" s="7">
        <f t="shared" si="4"/>
        <v>0</v>
      </c>
      <c r="K123">
        <v>122</v>
      </c>
      <c r="L123">
        <v>3.7609999999999998E-2</v>
      </c>
      <c r="M123">
        <f t="shared" si="5"/>
        <v>3.773E-2</v>
      </c>
    </row>
    <row r="124" spans="1:13" x14ac:dyDescent="0.35">
      <c r="A124" s="3" t="e">
        <v>#N/A</v>
      </c>
      <c r="B124" s="5">
        <v>3.7690000000000001E-2</v>
      </c>
      <c r="D124">
        <v>3.7690000000000001E-2</v>
      </c>
      <c r="F124" s="7" t="str">
        <f t="shared" si="3"/>
        <v/>
      </c>
      <c r="G124" s="7">
        <f t="shared" si="4"/>
        <v>0</v>
      </c>
      <c r="K124">
        <v>123</v>
      </c>
      <c r="L124">
        <v>3.7569999999999999E-2</v>
      </c>
      <c r="M124">
        <f t="shared" si="5"/>
        <v>3.7690000000000001E-2</v>
      </c>
    </row>
    <row r="125" spans="1:13" x14ac:dyDescent="0.35">
      <c r="A125" s="3" t="e">
        <v>#N/A</v>
      </c>
      <c r="B125" s="5">
        <v>3.7650000000000003E-2</v>
      </c>
      <c r="D125">
        <v>3.7650000000000003E-2</v>
      </c>
      <c r="F125" s="7" t="str">
        <f t="shared" si="3"/>
        <v/>
      </c>
      <c r="G125" s="7">
        <f t="shared" si="4"/>
        <v>0</v>
      </c>
      <c r="K125">
        <v>124</v>
      </c>
      <c r="L125">
        <v>3.7539999999999997E-2</v>
      </c>
      <c r="M125">
        <f t="shared" si="5"/>
        <v>3.7650000000000003E-2</v>
      </c>
    </row>
    <row r="126" spans="1:13" x14ac:dyDescent="0.35">
      <c r="A126" s="3" t="e">
        <v>#N/A</v>
      </c>
      <c r="B126" s="5">
        <v>3.7609999999999998E-2</v>
      </c>
      <c r="D126">
        <v>3.7609999999999998E-2</v>
      </c>
      <c r="F126" s="7" t="str">
        <f t="shared" si="3"/>
        <v/>
      </c>
      <c r="G126" s="7">
        <f t="shared" si="4"/>
        <v>0</v>
      </c>
      <c r="K126">
        <v>125</v>
      </c>
      <c r="L126">
        <v>3.7499999999999999E-2</v>
      </c>
      <c r="M126">
        <f t="shared" si="5"/>
        <v>3.7609999999999998E-2</v>
      </c>
    </row>
    <row r="127" spans="1:13" x14ac:dyDescent="0.35">
      <c r="A127" s="3" t="e">
        <v>#N/A</v>
      </c>
      <c r="B127" s="5">
        <v>3.7569999999999999E-2</v>
      </c>
      <c r="D127">
        <v>3.7569999999999999E-2</v>
      </c>
      <c r="F127" s="7" t="str">
        <f t="shared" si="3"/>
        <v/>
      </c>
      <c r="G127" s="7">
        <f t="shared" si="4"/>
        <v>0</v>
      </c>
      <c r="K127">
        <v>126</v>
      </c>
      <c r="L127">
        <v>3.746E-2</v>
      </c>
      <c r="M127">
        <f t="shared" si="5"/>
        <v>3.7569999999999999E-2</v>
      </c>
    </row>
    <row r="128" spans="1:13" x14ac:dyDescent="0.35">
      <c r="A128" s="3" t="e">
        <v>#N/A</v>
      </c>
      <c r="B128" s="5">
        <v>3.7539999999999997E-2</v>
      </c>
      <c r="D128">
        <v>3.7539999999999997E-2</v>
      </c>
      <c r="F128" s="7" t="str">
        <f t="shared" si="3"/>
        <v/>
      </c>
      <c r="G128" s="7">
        <f t="shared" si="4"/>
        <v>0</v>
      </c>
      <c r="K128">
        <v>127</v>
      </c>
      <c r="L128">
        <v>3.7429999999999998E-2</v>
      </c>
      <c r="M128">
        <f t="shared" si="5"/>
        <v>3.7539999999999997E-2</v>
      </c>
    </row>
    <row r="129" spans="1:13" x14ac:dyDescent="0.35">
      <c r="A129" s="3" t="e">
        <v>#N/A</v>
      </c>
      <c r="B129" s="5">
        <v>3.7499999999999999E-2</v>
      </c>
      <c r="D129">
        <v>3.7499999999999999E-2</v>
      </c>
      <c r="F129" s="7" t="str">
        <f t="shared" si="3"/>
        <v/>
      </c>
      <c r="G129" s="7">
        <f t="shared" si="4"/>
        <v>0</v>
      </c>
      <c r="K129">
        <v>128</v>
      </c>
      <c r="L129">
        <v>3.739E-2</v>
      </c>
      <c r="M129">
        <f t="shared" si="5"/>
        <v>3.7499999999999999E-2</v>
      </c>
    </row>
    <row r="130" spans="1:13" x14ac:dyDescent="0.35">
      <c r="A130" s="3" t="e">
        <v>#N/A</v>
      </c>
      <c r="B130" s="5">
        <v>3.7470000000000003E-2</v>
      </c>
      <c r="D130">
        <v>3.7470000000000003E-2</v>
      </c>
      <c r="F130" s="7" t="str">
        <f t="shared" si="3"/>
        <v/>
      </c>
      <c r="G130" s="7">
        <f t="shared" si="4"/>
        <v>0</v>
      </c>
      <c r="K130">
        <v>129</v>
      </c>
      <c r="L130">
        <v>3.7359999999999997E-2</v>
      </c>
      <c r="M130">
        <f t="shared" si="5"/>
        <v>3.7470000000000003E-2</v>
      </c>
    </row>
    <row r="131" spans="1:13" x14ac:dyDescent="0.35">
      <c r="A131" s="3" t="e">
        <v>#N/A</v>
      </c>
      <c r="B131" s="5">
        <v>3.7429999999999998E-2</v>
      </c>
      <c r="D131">
        <v>3.7429999999999998E-2</v>
      </c>
      <c r="F131" s="7" t="str">
        <f t="shared" ref="F131:F151" si="6">IF(C131&lt;&gt;"",A131-C131,"")</f>
        <v/>
      </c>
      <c r="G131" s="7">
        <f t="shared" ref="G131:G151" si="7">B131-D131</f>
        <v>0</v>
      </c>
      <c r="K131">
        <v>130</v>
      </c>
      <c r="L131">
        <v>3.7330000000000002E-2</v>
      </c>
      <c r="M131">
        <f t="shared" ref="M131:M151" si="8">D131</f>
        <v>3.7429999999999998E-2</v>
      </c>
    </row>
    <row r="132" spans="1:13" x14ac:dyDescent="0.35">
      <c r="A132" s="3" t="e">
        <v>#N/A</v>
      </c>
      <c r="B132" s="5">
        <v>3.7400000000000003E-2</v>
      </c>
      <c r="D132">
        <v>3.7400000000000003E-2</v>
      </c>
      <c r="F132" s="7" t="str">
        <f t="shared" si="6"/>
        <v/>
      </c>
      <c r="G132" s="7">
        <f t="shared" si="7"/>
        <v>0</v>
      </c>
      <c r="K132">
        <v>131</v>
      </c>
      <c r="L132">
        <v>3.7289999999999997E-2</v>
      </c>
      <c r="M132">
        <f t="shared" si="8"/>
        <v>3.7400000000000003E-2</v>
      </c>
    </row>
    <row r="133" spans="1:13" x14ac:dyDescent="0.35">
      <c r="A133" s="3" t="e">
        <v>#N/A</v>
      </c>
      <c r="B133" s="5">
        <v>3.737E-2</v>
      </c>
      <c r="D133">
        <v>3.737E-2</v>
      </c>
      <c r="F133" s="7" t="str">
        <f t="shared" si="6"/>
        <v/>
      </c>
      <c r="G133" s="7">
        <f t="shared" si="7"/>
        <v>0</v>
      </c>
      <c r="K133">
        <v>132</v>
      </c>
      <c r="L133">
        <v>3.7260000000000001E-2</v>
      </c>
      <c r="M133">
        <f t="shared" si="8"/>
        <v>3.737E-2</v>
      </c>
    </row>
    <row r="134" spans="1:13" x14ac:dyDescent="0.35">
      <c r="A134" s="3" t="e">
        <v>#N/A</v>
      </c>
      <c r="B134" s="5">
        <v>3.7330000000000002E-2</v>
      </c>
      <c r="D134">
        <v>3.7330000000000002E-2</v>
      </c>
      <c r="F134" s="7" t="str">
        <f t="shared" si="6"/>
        <v/>
      </c>
      <c r="G134" s="7">
        <f t="shared" si="7"/>
        <v>0</v>
      </c>
      <c r="K134">
        <v>133</v>
      </c>
      <c r="L134">
        <v>3.7229999999999999E-2</v>
      </c>
      <c r="M134">
        <f t="shared" si="8"/>
        <v>3.7330000000000002E-2</v>
      </c>
    </row>
    <row r="135" spans="1:13" x14ac:dyDescent="0.35">
      <c r="A135" s="3" t="e">
        <v>#N/A</v>
      </c>
      <c r="B135" s="5">
        <v>3.73E-2</v>
      </c>
      <c r="D135">
        <v>3.73E-2</v>
      </c>
      <c r="F135" s="7" t="str">
        <f t="shared" si="6"/>
        <v/>
      </c>
      <c r="G135" s="7">
        <f t="shared" si="7"/>
        <v>0</v>
      </c>
      <c r="K135">
        <v>134</v>
      </c>
      <c r="L135">
        <v>3.7199999999999997E-2</v>
      </c>
      <c r="M135">
        <f t="shared" si="8"/>
        <v>3.73E-2</v>
      </c>
    </row>
    <row r="136" spans="1:13" x14ac:dyDescent="0.35">
      <c r="A136" s="3" t="e">
        <v>#N/A</v>
      </c>
      <c r="B136" s="5">
        <v>3.7269999999999998E-2</v>
      </c>
      <c r="D136">
        <v>3.7269999999999998E-2</v>
      </c>
      <c r="F136" s="7" t="str">
        <f t="shared" si="6"/>
        <v/>
      </c>
      <c r="G136" s="7">
        <f t="shared" si="7"/>
        <v>0</v>
      </c>
      <c r="K136">
        <v>135</v>
      </c>
      <c r="L136">
        <v>3.7159999999999999E-2</v>
      </c>
      <c r="M136">
        <f t="shared" si="8"/>
        <v>3.7269999999999998E-2</v>
      </c>
    </row>
    <row r="137" spans="1:13" x14ac:dyDescent="0.35">
      <c r="A137" s="3" t="e">
        <v>#N/A</v>
      </c>
      <c r="B137" s="5">
        <v>3.7240000000000002E-2</v>
      </c>
      <c r="D137">
        <v>3.7240000000000002E-2</v>
      </c>
      <c r="F137" s="7" t="str">
        <f t="shared" si="6"/>
        <v/>
      </c>
      <c r="G137" s="7">
        <f t="shared" si="7"/>
        <v>0</v>
      </c>
      <c r="K137">
        <v>136</v>
      </c>
      <c r="L137">
        <v>3.7130000000000003E-2</v>
      </c>
      <c r="M137">
        <f t="shared" si="8"/>
        <v>3.7240000000000002E-2</v>
      </c>
    </row>
    <row r="138" spans="1:13" x14ac:dyDescent="0.35">
      <c r="A138" s="3" t="e">
        <v>#N/A</v>
      </c>
      <c r="B138" s="5">
        <v>3.721E-2</v>
      </c>
      <c r="D138">
        <v>3.721E-2</v>
      </c>
      <c r="F138" s="7" t="str">
        <f t="shared" si="6"/>
        <v/>
      </c>
      <c r="G138" s="7">
        <f t="shared" si="7"/>
        <v>0</v>
      </c>
      <c r="K138">
        <v>137</v>
      </c>
      <c r="L138">
        <v>3.7100000000000001E-2</v>
      </c>
      <c r="M138">
        <f t="shared" si="8"/>
        <v>3.721E-2</v>
      </c>
    </row>
    <row r="139" spans="1:13" x14ac:dyDescent="0.35">
      <c r="A139" s="3" t="e">
        <v>#N/A</v>
      </c>
      <c r="B139" s="5">
        <v>3.7179999999999998E-2</v>
      </c>
      <c r="D139">
        <v>3.7179999999999998E-2</v>
      </c>
      <c r="F139" s="7" t="str">
        <f t="shared" si="6"/>
        <v/>
      </c>
      <c r="G139" s="7">
        <f t="shared" si="7"/>
        <v>0</v>
      </c>
      <c r="K139">
        <v>138</v>
      </c>
      <c r="L139">
        <v>3.7069999999999999E-2</v>
      </c>
      <c r="M139">
        <f t="shared" si="8"/>
        <v>3.7179999999999998E-2</v>
      </c>
    </row>
    <row r="140" spans="1:13" x14ac:dyDescent="0.35">
      <c r="A140" s="3" t="e">
        <v>#N/A</v>
      </c>
      <c r="B140" s="5">
        <v>3.7150000000000002E-2</v>
      </c>
      <c r="D140">
        <v>3.7150000000000002E-2</v>
      </c>
      <c r="F140" s="7" t="str">
        <f t="shared" si="6"/>
        <v/>
      </c>
      <c r="G140" s="7">
        <f t="shared" si="7"/>
        <v>0</v>
      </c>
      <c r="K140">
        <v>139</v>
      </c>
      <c r="L140">
        <v>3.7039999999999997E-2</v>
      </c>
      <c r="M140">
        <f t="shared" si="8"/>
        <v>3.7150000000000002E-2</v>
      </c>
    </row>
    <row r="141" spans="1:13" x14ac:dyDescent="0.35">
      <c r="A141" s="3" t="e">
        <v>#N/A</v>
      </c>
      <c r="B141" s="5">
        <v>3.712E-2</v>
      </c>
      <c r="D141">
        <v>3.712E-2</v>
      </c>
      <c r="F141" s="7" t="str">
        <f t="shared" si="6"/>
        <v/>
      </c>
      <c r="G141" s="7">
        <f t="shared" si="7"/>
        <v>0</v>
      </c>
      <c r="K141">
        <v>140</v>
      </c>
      <c r="L141">
        <v>3.7019999999999997E-2</v>
      </c>
      <c r="M141">
        <f t="shared" si="8"/>
        <v>3.712E-2</v>
      </c>
    </row>
    <row r="142" spans="1:13" x14ac:dyDescent="0.35">
      <c r="A142" s="3" t="e">
        <v>#N/A</v>
      </c>
      <c r="B142" s="5">
        <v>3.7089999999999998E-2</v>
      </c>
      <c r="D142">
        <v>3.7089999999999998E-2</v>
      </c>
      <c r="F142" s="7" t="str">
        <f t="shared" si="6"/>
        <v/>
      </c>
      <c r="G142" s="7">
        <f t="shared" si="7"/>
        <v>0</v>
      </c>
      <c r="K142">
        <v>141</v>
      </c>
      <c r="L142">
        <v>3.6990000000000002E-2</v>
      </c>
      <c r="M142">
        <f t="shared" si="8"/>
        <v>3.7089999999999998E-2</v>
      </c>
    </row>
    <row r="143" spans="1:13" x14ac:dyDescent="0.35">
      <c r="A143" s="3" t="e">
        <v>#N/A</v>
      </c>
      <c r="B143" s="5">
        <v>3.7060000000000003E-2</v>
      </c>
      <c r="D143">
        <v>3.7060000000000003E-2</v>
      </c>
      <c r="F143" s="7" t="str">
        <f t="shared" si="6"/>
        <v/>
      </c>
      <c r="G143" s="7">
        <f t="shared" si="7"/>
        <v>0</v>
      </c>
      <c r="K143">
        <v>142</v>
      </c>
      <c r="L143">
        <v>3.696E-2</v>
      </c>
      <c r="M143">
        <f t="shared" si="8"/>
        <v>3.7060000000000003E-2</v>
      </c>
    </row>
    <row r="144" spans="1:13" x14ac:dyDescent="0.35">
      <c r="A144" s="3" t="e">
        <v>#N/A</v>
      </c>
      <c r="B144" s="5">
        <v>3.703E-2</v>
      </c>
      <c r="D144">
        <v>3.703E-2</v>
      </c>
      <c r="F144" s="7" t="str">
        <f t="shared" si="6"/>
        <v/>
      </c>
      <c r="G144" s="7">
        <f t="shared" si="7"/>
        <v>0</v>
      </c>
      <c r="K144">
        <v>143</v>
      </c>
      <c r="L144">
        <v>3.6929999999999998E-2</v>
      </c>
      <c r="M144">
        <f t="shared" si="8"/>
        <v>3.703E-2</v>
      </c>
    </row>
    <row r="145" spans="1:13" x14ac:dyDescent="0.35">
      <c r="A145" s="3" t="e">
        <v>#N/A</v>
      </c>
      <c r="B145" s="5">
        <v>3.6999999999999998E-2</v>
      </c>
      <c r="D145">
        <v>3.6999999999999998E-2</v>
      </c>
      <c r="F145" s="7" t="str">
        <f t="shared" si="6"/>
        <v/>
      </c>
      <c r="G145" s="7">
        <f t="shared" si="7"/>
        <v>0</v>
      </c>
      <c r="K145">
        <v>144</v>
      </c>
      <c r="L145">
        <v>3.6900000000000002E-2</v>
      </c>
      <c r="M145">
        <f t="shared" si="8"/>
        <v>3.6999999999999998E-2</v>
      </c>
    </row>
    <row r="146" spans="1:13" x14ac:dyDescent="0.35">
      <c r="A146" s="3" t="e">
        <v>#N/A</v>
      </c>
      <c r="B146" s="5">
        <v>3.6970000000000003E-2</v>
      </c>
      <c r="D146">
        <v>3.6970000000000003E-2</v>
      </c>
      <c r="F146" s="7" t="str">
        <f t="shared" si="6"/>
        <v/>
      </c>
      <c r="G146" s="7">
        <f t="shared" si="7"/>
        <v>0</v>
      </c>
      <c r="K146">
        <v>145</v>
      </c>
      <c r="L146">
        <v>3.6880000000000003E-2</v>
      </c>
      <c r="M146">
        <f t="shared" si="8"/>
        <v>3.6970000000000003E-2</v>
      </c>
    </row>
    <row r="147" spans="1:13" x14ac:dyDescent="0.35">
      <c r="A147" s="3" t="e">
        <v>#N/A</v>
      </c>
      <c r="B147" s="5">
        <v>3.6949999999999997E-2</v>
      </c>
      <c r="D147">
        <v>3.6949999999999997E-2</v>
      </c>
      <c r="F147" s="7" t="str">
        <f t="shared" si="6"/>
        <v/>
      </c>
      <c r="G147" s="7">
        <f t="shared" si="7"/>
        <v>0</v>
      </c>
      <c r="K147">
        <v>146</v>
      </c>
      <c r="L147">
        <v>3.6850000000000001E-2</v>
      </c>
      <c r="M147">
        <f t="shared" si="8"/>
        <v>3.6949999999999997E-2</v>
      </c>
    </row>
    <row r="148" spans="1:13" x14ac:dyDescent="0.35">
      <c r="A148" s="3" t="e">
        <v>#N/A</v>
      </c>
      <c r="B148" s="5">
        <v>3.6920000000000001E-2</v>
      </c>
      <c r="D148">
        <v>3.6920000000000001E-2</v>
      </c>
      <c r="F148" s="7" t="str">
        <f t="shared" si="6"/>
        <v/>
      </c>
      <c r="G148" s="7">
        <f t="shared" si="7"/>
        <v>0</v>
      </c>
      <c r="K148">
        <v>147</v>
      </c>
      <c r="L148">
        <v>3.6819999999999999E-2</v>
      </c>
      <c r="M148">
        <f t="shared" si="8"/>
        <v>3.6920000000000001E-2</v>
      </c>
    </row>
    <row r="149" spans="1:13" x14ac:dyDescent="0.35">
      <c r="A149" s="3" t="e">
        <v>#N/A</v>
      </c>
      <c r="B149" s="5">
        <v>3.6889999999999999E-2</v>
      </c>
      <c r="D149">
        <v>3.6889999999999999E-2</v>
      </c>
      <c r="F149" s="7" t="str">
        <f t="shared" si="6"/>
        <v/>
      </c>
      <c r="G149" s="7">
        <f t="shared" si="7"/>
        <v>0</v>
      </c>
      <c r="K149">
        <v>148</v>
      </c>
      <c r="L149">
        <v>3.6799999999999999E-2</v>
      </c>
      <c r="M149">
        <f t="shared" si="8"/>
        <v>3.6889999999999999E-2</v>
      </c>
    </row>
    <row r="150" spans="1:13" x14ac:dyDescent="0.35">
      <c r="A150" s="3" t="e">
        <v>#N/A</v>
      </c>
      <c r="B150" s="5">
        <v>3.687E-2</v>
      </c>
      <c r="D150">
        <v>3.687E-2</v>
      </c>
      <c r="F150" s="7" t="str">
        <f t="shared" si="6"/>
        <v/>
      </c>
      <c r="G150" s="7">
        <f t="shared" si="7"/>
        <v>0</v>
      </c>
      <c r="K150">
        <v>149</v>
      </c>
      <c r="L150">
        <v>3.6769999999999997E-2</v>
      </c>
      <c r="M150">
        <f t="shared" si="8"/>
        <v>3.687E-2</v>
      </c>
    </row>
    <row r="151" spans="1:13" x14ac:dyDescent="0.35">
      <c r="A151" s="3" t="e">
        <v>#N/A</v>
      </c>
      <c r="B151" s="6">
        <v>3.6839999999999998E-2</v>
      </c>
      <c r="D151">
        <v>3.6839999999999998E-2</v>
      </c>
      <c r="F151" s="7" t="str">
        <f t="shared" si="6"/>
        <v/>
      </c>
      <c r="G151" s="7">
        <f t="shared" si="7"/>
        <v>0</v>
      </c>
      <c r="K151">
        <v>150</v>
      </c>
      <c r="L151">
        <v>3.6749999999999998E-2</v>
      </c>
      <c r="M151">
        <f t="shared" si="8"/>
        <v>3.6839999999999998E-2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36</vt:i4>
      </vt:variant>
    </vt:vector>
  </HeadingPairs>
  <TitlesOfParts>
    <vt:vector size="39" baseType="lpstr">
      <vt:lpstr>EUR</vt:lpstr>
      <vt:lpstr>UK</vt:lpstr>
      <vt:lpstr>Iceland</vt:lpstr>
      <vt:lpstr>Iceland!R.BASECURVE</vt:lpstr>
      <vt:lpstr>UK!R.BASECURVE</vt:lpstr>
      <vt:lpstr>R.BASECURVE</vt:lpstr>
      <vt:lpstr>Iceland!R.BOOTSTRAPPED_CURVE</vt:lpstr>
      <vt:lpstr>UK!R.BOOTSTRAPPED_CURVE</vt:lpstr>
      <vt:lpstr>R.BOOTSTRAPPED_CURVE</vt:lpstr>
      <vt:lpstr>Iceland!R.DLT</vt:lpstr>
      <vt:lpstr>UK!R.DLT</vt:lpstr>
      <vt:lpstr>R.DLT</vt:lpstr>
      <vt:lpstr>Iceland!R.MATURITY</vt:lpstr>
      <vt:lpstr>UK!R.MATURITY</vt:lpstr>
      <vt:lpstr>R.MATURITY</vt:lpstr>
      <vt:lpstr>Iceland!V.ALPHA</vt:lpstr>
      <vt:lpstr>UK!V.ALPHA</vt:lpstr>
      <vt:lpstr>V.ALPHA</vt:lpstr>
      <vt:lpstr>Iceland!V.COUPON_FREQ</vt:lpstr>
      <vt:lpstr>UK!V.COUPON_FREQ</vt:lpstr>
      <vt:lpstr>V.COUPON_FREQ</vt:lpstr>
      <vt:lpstr>Iceland!V.CRA</vt:lpstr>
      <vt:lpstr>UK!V.CRA</vt:lpstr>
      <vt:lpstr>V.CRA</vt:lpstr>
      <vt:lpstr>Iceland!V.EXTRAPOLATION_SELECTED</vt:lpstr>
      <vt:lpstr>UK!V.EXTRAPOLATION_SELECTED</vt:lpstr>
      <vt:lpstr>V.EXTRAPOLATION_SELECTED</vt:lpstr>
      <vt:lpstr>Iceland!V.FSP</vt:lpstr>
      <vt:lpstr>UK!V.FSP</vt:lpstr>
      <vt:lpstr>V.FSP</vt:lpstr>
      <vt:lpstr>Iceland!V.INSTRUMENT</vt:lpstr>
      <vt:lpstr>UK!V.INSTRUMENT</vt:lpstr>
      <vt:lpstr>V.INSTRUMENT</vt:lpstr>
      <vt:lpstr>Iceland!V.LLFR</vt:lpstr>
      <vt:lpstr>UK!V.LLFR</vt:lpstr>
      <vt:lpstr>V.LLFR</vt:lpstr>
      <vt:lpstr>Iceland!V.UFR</vt:lpstr>
      <vt:lpstr>UK!V.UFR</vt:lpstr>
      <vt:lpstr>V.UFR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gregor Fabjan</dc:creator>
  <cp:lastModifiedBy>gregor Fabjan</cp:lastModifiedBy>
  <dcterms:created xsi:type="dcterms:W3CDTF">2026-10-10T03:38:10Z</dcterms:created>
  <dcterms:modified xsi:type="dcterms:W3CDTF">2026-10-10T11:35:03Z</dcterms:modified>
</cp:coreProperties>
</file>