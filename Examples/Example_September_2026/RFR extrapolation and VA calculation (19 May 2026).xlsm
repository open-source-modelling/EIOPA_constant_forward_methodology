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Examples/Example_September_2026/"/>
    </mc:Choice>
  </mc:AlternateContent>
  <xr:revisionPtr revIDLastSave="272" documentId="8_{07203BC5-B213-448E-9630-39A751FBBB68}" xr6:coauthVersionLast="47" xr6:coauthVersionMax="47" xr10:uidLastSave="{866FD039-840B-41F3-A0CC-BD1F6D17EFA1}"/>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6" l="1"/>
  <c r="H10" i="5"/>
  <c r="L11" i="6" l="1"/>
  <c r="H11" i="12" l="1"/>
  <c r="H22" i="12" a="1"/>
  <c r="H22" i="12" s="1"/>
  <c r="H22" i="11" a="1"/>
  <c r="H22" i="11" s="1"/>
  <c r="H11" i="11"/>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J155" i="11" a="1"/>
  <c r="J155" i="11" s="1"/>
  <c r="K155" i="11" s="1"/>
  <c r="J123" i="11" a="1"/>
  <c r="J123" i="11" s="1"/>
  <c r="K123" i="11" s="1"/>
  <c r="J111" i="11" a="1"/>
  <c r="J111" i="11" s="1"/>
  <c r="K111" i="11" s="1"/>
  <c r="J103" i="11" a="1"/>
  <c r="J103" i="11" s="1"/>
  <c r="K103" i="11" s="1"/>
  <c r="J95" i="11" a="1"/>
  <c r="J95" i="11" s="1"/>
  <c r="K95" i="11" s="1"/>
  <c r="J87" i="11" a="1"/>
  <c r="J87" i="11" s="1"/>
  <c r="K87" i="11" s="1"/>
  <c r="J79" i="11" a="1"/>
  <c r="J79" i="11" s="1"/>
  <c r="K79" i="11" s="1"/>
  <c r="J72" i="11" a="1"/>
  <c r="J72" i="11" s="1"/>
  <c r="K72" i="11" s="1"/>
  <c r="J45" i="11" a="1"/>
  <c r="J45" i="11" s="1"/>
  <c r="K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81" i="11" l="1"/>
  <c r="M45" i="11"/>
  <c r="M99" i="11"/>
  <c r="M111" i="11"/>
  <c r="M27" i="1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H13" i="4" l="1" a="1"/>
  <c r="H13" i="4" s="1"/>
  <c r="I22" i="4"/>
  <c r="L22" i="11" a="1"/>
  <c r="K25" i="4" a="1"/>
  <c r="L22" i="11" l="1"/>
  <c r="H10" i="11"/>
  <c r="H10" i="12"/>
  <c r="K25" i="4"/>
  <c r="J24" i="4"/>
  <c r="L24"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K46" i="12"/>
  <c r="K52" i="12"/>
  <c r="K65" i="12"/>
  <c r="K71" i="12"/>
  <c r="K78" i="12"/>
  <c r="K84" i="12"/>
  <c r="K97" i="12"/>
  <c r="M97" i="12" s="1"/>
  <c r="K103" i="12"/>
  <c r="K110" i="12"/>
  <c r="K116" i="12"/>
  <c r="K129" i="12"/>
  <c r="M129" i="12" s="1"/>
  <c r="K135" i="12"/>
  <c r="K142" i="12"/>
  <c r="K148" i="12"/>
  <c r="K161" i="12"/>
  <c r="K167" i="12"/>
  <c r="K38" i="12"/>
  <c r="K87" i="12"/>
  <c r="K145" i="12"/>
  <c r="K44" i="12"/>
  <c r="K88" i="12"/>
  <c r="K133" i="12"/>
  <c r="K25" i="12"/>
  <c r="K36" i="12"/>
  <c r="M36" i="12" s="1"/>
  <c r="K41" i="12"/>
  <c r="K53" i="12"/>
  <c r="M53" i="12" s="1"/>
  <c r="K59" i="12"/>
  <c r="K66" i="12"/>
  <c r="K72" i="12"/>
  <c r="K85" i="12"/>
  <c r="K91" i="12"/>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K157" i="12"/>
  <c r="K163" i="12"/>
  <c r="K170" i="12"/>
  <c r="K49" i="12"/>
  <c r="K81" i="12"/>
  <c r="K119" i="12"/>
  <c r="K33" i="12"/>
  <c r="K75" i="12"/>
  <c r="K139" i="12"/>
  <c r="L12" i="6"/>
  <c r="H23" i="6" a="1"/>
  <c r="H23" i="6" s="1"/>
  <c r="I23" i="6" s="1"/>
  <c r="J23" i="6" s="1"/>
  <c r="H24" i="5" a="1"/>
  <c r="K19" i="12" a="1"/>
  <c r="M103" i="12" l="1"/>
  <c r="M167" i="12"/>
  <c r="M35" i="12"/>
  <c r="M170" i="12"/>
  <c r="M144" i="12"/>
  <c r="M91" i="12"/>
  <c r="M31" i="12"/>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J118" i="5" l="1"/>
  <c r="K118" i="5" s="1"/>
  <c r="L22" i="12"/>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K20" i="5" l="1" a="1"/>
  <c r="K20" i="5" s="1"/>
  <c r="O22" i="12"/>
  <c r="O22" i="11"/>
  <c r="J24" i="5"/>
  <c r="K24" i="5" s="1"/>
  <c r="K42" i="6"/>
  <c r="L24" i="5" a="1"/>
  <c r="L24" i="5" l="1"/>
  <c r="K20" i="6" a="1"/>
  <c r="K20" i="6" s="1"/>
  <c r="L23" i="6" a="1"/>
  <c r="L2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<sst xmlns="http://schemas.openxmlformats.org/spreadsheetml/2006/main" count="169" uniqueCount="135">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</sst>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2" t="s">
        <v>87</v>
      </c>
      <c r="G49" s="92"/>
      <c r="H49" s="92"/>
      <c r="I49" s="92"/>
      <c r="J49" s="92"/>
      <c r="K49" s="92"/>
      <c r="L49" s="92"/>
    </row>
    <row r="50" spans="6:13" ht="14.5" customHeight="1" x14ac:dyDescent="0.35">
      <c r="F50" s="54"/>
      <c r="G50" s="54"/>
      <c r="H50" s="54"/>
      <c r="I50" s="54"/>
      <c r="J50" s="54"/>
      <c r="K50" s="54"/>
      <c r="L50" s="54"/>
    </row>
    <row r="51" spans="6:13" ht="101.5" customHeight="1" x14ac:dyDescent="0.35">
      <c r="F51" s="91" t="s">
        <v>131</v>
      </c>
      <c r="G51" s="92"/>
      <c r="H51" s="92"/>
      <c r="I51" s="92"/>
      <c r="J51" s="92"/>
      <c r="K51" s="92"/>
      <c r="L51" s="92"/>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0" t="s">
        <v>132</v>
      </c>
      <c r="G67" s="90"/>
      <c r="H67" s="90"/>
      <c r="I67" s="90"/>
      <c r="J67" s="90"/>
      <c r="K67" s="90"/>
      <c r="L67" s="90"/>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41:L41"/>
    <mergeCell ref="F45:L45"/>
    <mergeCell ref="F48:L48"/>
    <mergeCell ref="F54:L54"/>
    <mergeCell ref="F8:L17"/>
    <mergeCell ref="F51:L51"/>
    <mergeCell ref="F49:L49"/>
    <mergeCell ref="F75:L75"/>
    <mergeCell ref="F58:L58"/>
    <mergeCell ref="F59:L59"/>
    <mergeCell ref="F61:L61"/>
    <mergeCell ref="F67:L67"/>
    <mergeCell ref="F69:L69"/>
    <mergeCell ref="F72:L72"/>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E144" workbookViewId="0">
      <selection activeCell="L25" sqref="K25:L174"/>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35</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3.3909735547772456E-2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3.261E-2</v>
      </c>
      <c r="K25" s="47" cm="1">
        <f t="array" ref="K25:K174">IF(V.EXTRAPOLATION_SELECTED,
    _xlfn.LET(_xlpm.LLP, MAX(_xlfn._xlws.FILTER(R.MATURITY,R.DLT=1)),
     BootstrapCurve(V.INSTRUMENT,R.BASECURVE,R.DLT,"A",V.CRA,V.COUPON_FREQ,_xlpm.LLP,"C", "Z")),
    "")</f>
        <v>3.2089577708597508E-2</v>
      </c>
      <c r="L25" s="48" cm="1">
        <f t="array" ref="L25:L174">IF(V.EXTRAPOLATION_SELECTED,
    ROUND(Extrapolation(R.BOOTSTRAPPED_CURVE, "Z", V.FSP, V.UFR, V.LLFR, V.ALPHA, "A"), 5),
    R.BASECURVE)</f>
        <v>3.261E-2</v>
      </c>
    </row>
    <row r="26" spans="6:13" x14ac:dyDescent="0.35">
      <c r="G26" s="7">
        <v>2</v>
      </c>
      <c r="H26" s="39">
        <v>1</v>
      </c>
      <c r="I26" s="43">
        <v>0</v>
      </c>
      <c r="J26" s="41">
        <v>3.4290000000000001E-2</v>
      </c>
      <c r="K26" s="47">
        <v>3.3715200980135585E-2</v>
      </c>
      <c r="L26" s="49">
        <v>3.4290000000000001E-2</v>
      </c>
    </row>
    <row r="27" spans="6:13" x14ac:dyDescent="0.35">
      <c r="G27" s="7">
        <v>3</v>
      </c>
      <c r="H27" s="39">
        <v>1</v>
      </c>
      <c r="I27" s="43">
        <v>0</v>
      </c>
      <c r="J27" s="41">
        <v>3.4599999999999999E-2</v>
      </c>
      <c r="K27" s="47">
        <v>3.40148785872776E-2</v>
      </c>
      <c r="L27" s="49">
        <v>3.4599999999999999E-2</v>
      </c>
    </row>
    <row r="28" spans="6:13" x14ac:dyDescent="0.35">
      <c r="G28" s="2">
        <v>4</v>
      </c>
      <c r="H28" s="39">
        <v>1</v>
      </c>
      <c r="I28" s="44">
        <v>0</v>
      </c>
      <c r="J28" s="41">
        <v>3.4720000000000001E-2</v>
      </c>
      <c r="K28" s="47">
        <v>3.4130858716145664E-2</v>
      </c>
      <c r="L28" s="49">
        <v>3.4720000000000001E-2</v>
      </c>
    </row>
    <row r="29" spans="6:13" x14ac:dyDescent="0.35">
      <c r="G29" s="2">
        <v>5</v>
      </c>
      <c r="H29" s="39">
        <v>1</v>
      </c>
      <c r="I29" s="44">
        <v>0</v>
      </c>
      <c r="J29" s="41">
        <v>3.4779999999999998E-2</v>
      </c>
      <c r="K29" s="47">
        <v>3.4188843736698227E-2</v>
      </c>
      <c r="L29" s="49">
        <v>3.4779999999999998E-2</v>
      </c>
    </row>
    <row r="30" spans="6:13" x14ac:dyDescent="0.35">
      <c r="G30" s="7">
        <v>6</v>
      </c>
      <c r="H30" s="39">
        <v>1</v>
      </c>
      <c r="I30" s="44">
        <v>0</v>
      </c>
      <c r="J30" s="41">
        <v>3.4869999999999998E-2</v>
      </c>
      <c r="K30" s="47">
        <v>3.4275814963772043E-2</v>
      </c>
      <c r="L30" s="49">
        <v>3.4869999999999998E-2</v>
      </c>
    </row>
    <row r="31" spans="6:13" x14ac:dyDescent="0.35">
      <c r="G31" s="7">
        <v>7</v>
      </c>
      <c r="H31" s="39">
        <v>1</v>
      </c>
      <c r="I31" s="44">
        <v>0</v>
      </c>
      <c r="J31" s="41">
        <v>3.5020000000000003E-2</v>
      </c>
      <c r="K31" s="47">
        <v>3.4420750202130292E-2</v>
      </c>
      <c r="L31" s="49">
        <v>3.5020000000000003E-2</v>
      </c>
    </row>
    <row r="32" spans="6:13" x14ac:dyDescent="0.35">
      <c r="G32" s="7">
        <v>8</v>
      </c>
      <c r="H32" s="39">
        <v>1</v>
      </c>
      <c r="I32" s="44">
        <v>0</v>
      </c>
      <c r="J32" s="41">
        <v>3.5220000000000001E-2</v>
      </c>
      <c r="K32" s="47">
        <v>3.4613964516047688E-2</v>
      </c>
      <c r="L32" s="49">
        <v>3.5220000000000001E-2</v>
      </c>
    </row>
    <row r="33" spans="7:12" x14ac:dyDescent="0.35">
      <c r="G33" s="2">
        <v>9</v>
      </c>
      <c r="H33" s="39">
        <v>1</v>
      </c>
      <c r="I33" s="44">
        <v>0</v>
      </c>
      <c r="J33" s="41">
        <v>3.5430000000000003E-2</v>
      </c>
      <c r="K33" s="47">
        <v>3.4816799375362417E-2</v>
      </c>
      <c r="L33" s="49">
        <v>3.5430000000000003E-2</v>
      </c>
    </row>
    <row r="34" spans="7:12" x14ac:dyDescent="0.35">
      <c r="G34" s="2">
        <v>10</v>
      </c>
      <c r="H34" s="39">
        <v>1</v>
      </c>
      <c r="I34" s="44">
        <v>0</v>
      </c>
      <c r="J34" s="42">
        <v>3.567E-2</v>
      </c>
      <c r="K34" s="47">
        <v>3.5048560276404656E-2</v>
      </c>
      <c r="L34" s="49">
        <v>3.567E-2</v>
      </c>
    </row>
    <row r="35" spans="7:12" x14ac:dyDescent="0.35">
      <c r="G35" s="7">
        <v>11</v>
      </c>
      <c r="H35" s="40">
        <v>1</v>
      </c>
      <c r="I35" s="44">
        <v>0</v>
      </c>
      <c r="J35" s="42">
        <v>3.5869999999999999E-2</v>
      </c>
      <c r="K35" s="47">
        <v>3.5241653338205434E-2</v>
      </c>
      <c r="L35" s="49">
        <v>3.5869999999999999E-2</v>
      </c>
    </row>
    <row r="36" spans="7:12" x14ac:dyDescent="0.35">
      <c r="G36" s="7">
        <v>12</v>
      </c>
      <c r="H36" s="40">
        <v>1</v>
      </c>
      <c r="I36" s="44">
        <v>0</v>
      </c>
      <c r="J36" s="42">
        <v>3.6060000000000002E-2</v>
      </c>
      <c r="K36" s="47">
        <v>3.5425057218194146E-2</v>
      </c>
      <c r="L36" s="49">
        <v>3.6060000000000002E-2</v>
      </c>
    </row>
    <row r="37" spans="7:12" x14ac:dyDescent="0.35">
      <c r="G37" s="7">
        <v>13</v>
      </c>
      <c r="H37" s="40">
        <v>1</v>
      </c>
      <c r="I37" s="44">
        <v>0</v>
      </c>
      <c r="J37" s="42">
        <v>3.6200000000000003E-2</v>
      </c>
      <c r="K37" s="47">
        <v>3.5560175398550879E-2</v>
      </c>
      <c r="L37" s="49">
        <v>3.6200000000000003E-2</v>
      </c>
    </row>
    <row r="38" spans="7:12" x14ac:dyDescent="0.35">
      <c r="G38" s="2">
        <v>14</v>
      </c>
      <c r="H38" s="40">
        <v>1</v>
      </c>
      <c r="I38" s="44">
        <v>0</v>
      </c>
      <c r="J38" s="42">
        <v>3.6290000000000003E-2</v>
      </c>
      <c r="K38" s="47">
        <v>3.5647027446142419E-2</v>
      </c>
      <c r="L38" s="49">
        <v>3.6290000000000003E-2</v>
      </c>
    </row>
    <row r="39" spans="7:12" x14ac:dyDescent="0.35">
      <c r="G39" s="2">
        <v>15</v>
      </c>
      <c r="H39" s="40">
        <v>1</v>
      </c>
      <c r="I39" s="44">
        <v>0</v>
      </c>
      <c r="J39" s="42">
        <v>3.6330000000000001E-2</v>
      </c>
      <c r="K39" s="47">
        <v>3.568562593501641E-2</v>
      </c>
      <c r="L39" s="49">
        <v>3.6330000000000001E-2</v>
      </c>
    </row>
    <row r="40" spans="7:12" x14ac:dyDescent="0.35">
      <c r="G40" s="7">
        <v>16</v>
      </c>
      <c r="H40" s="40">
        <v>0</v>
      </c>
      <c r="I40" s="44">
        <v>0</v>
      </c>
      <c r="J40" s="42">
        <v>3.6299999999999999E-2</v>
      </c>
      <c r="K40" s="47">
        <v>3.5574632785813659E-2</v>
      </c>
      <c r="L40" s="49">
        <v>3.6209999999999999E-2</v>
      </c>
    </row>
    <row r="41" spans="7:12" x14ac:dyDescent="0.35">
      <c r="G41" s="7">
        <v>17</v>
      </c>
      <c r="H41" s="40">
        <v>0</v>
      </c>
      <c r="I41" s="44">
        <v>0</v>
      </c>
      <c r="J41" s="42">
        <v>3.6220000000000002E-2</v>
      </c>
      <c r="K41" s="47">
        <v>3.5476697654164183E-2</v>
      </c>
      <c r="L41" s="49">
        <v>3.6110000000000003E-2</v>
      </c>
    </row>
    <row r="42" spans="7:12" x14ac:dyDescent="0.35">
      <c r="G42" s="7">
        <v>18</v>
      </c>
      <c r="H42" s="40">
        <v>0</v>
      </c>
      <c r="I42" s="44">
        <v>0</v>
      </c>
      <c r="J42" s="42">
        <v>3.6110000000000003E-2</v>
      </c>
      <c r="K42" s="47">
        <v>3.5389644203809079E-2</v>
      </c>
      <c r="L42" s="49">
        <v>3.6020000000000003E-2</v>
      </c>
    </row>
    <row r="43" spans="7:12" x14ac:dyDescent="0.35">
      <c r="G43" s="2">
        <v>19</v>
      </c>
      <c r="H43" s="40">
        <v>0</v>
      </c>
      <c r="I43" s="44">
        <v>0</v>
      </c>
      <c r="J43" s="42">
        <v>3.5990000000000001E-2</v>
      </c>
      <c r="K43" s="47">
        <v>3.5311754274543992E-2</v>
      </c>
      <c r="L43" s="49">
        <v>3.594E-2</v>
      </c>
    </row>
    <row r="44" spans="7:12" x14ac:dyDescent="0.35">
      <c r="G44" s="2">
        <v>20</v>
      </c>
      <c r="H44" s="40">
        <v>1</v>
      </c>
      <c r="I44" s="44">
        <v>1</v>
      </c>
      <c r="J44" s="42">
        <v>3.5869999999999999E-2</v>
      </c>
      <c r="K44" s="47">
        <v>3.524165333820542E-2</v>
      </c>
      <c r="L44" s="49">
        <v>3.5869999999999999E-2</v>
      </c>
    </row>
    <row r="45" spans="7:12" x14ac:dyDescent="0.35">
      <c r="G45" s="7">
        <v>21</v>
      </c>
      <c r="H45" s="40">
        <v>0</v>
      </c>
      <c r="I45" s="44">
        <v>0</v>
      </c>
      <c r="J45" s="42">
        <v>0</v>
      </c>
      <c r="K45" s="47" t="e">
        <v>#N/A</v>
      </c>
      <c r="L45" s="49">
        <v>3.5799999999999998E-2</v>
      </c>
    </row>
    <row r="46" spans="7:12" x14ac:dyDescent="0.35">
      <c r="G46" s="7">
        <v>22</v>
      </c>
      <c r="H46" s="40">
        <v>0</v>
      </c>
      <c r="I46" s="44">
        <v>0</v>
      </c>
      <c r="J46" s="42">
        <v>0</v>
      </c>
      <c r="K46" s="47" t="e">
        <v>#N/A</v>
      </c>
      <c r="L46" s="49">
        <v>3.5729999999999998E-2</v>
      </c>
    </row>
    <row r="47" spans="7:12" x14ac:dyDescent="0.35">
      <c r="G47" s="7">
        <v>23</v>
      </c>
      <c r="H47" s="40">
        <v>0</v>
      </c>
      <c r="I47" s="44">
        <v>0</v>
      </c>
      <c r="J47" s="42">
        <v>0</v>
      </c>
      <c r="K47" s="47" t="e">
        <v>#N/A</v>
      </c>
      <c r="L47" s="49">
        <v>3.5659999999999997E-2</v>
      </c>
    </row>
    <row r="48" spans="7:12" x14ac:dyDescent="0.35">
      <c r="G48" s="2">
        <v>24</v>
      </c>
      <c r="H48" s="40">
        <v>0</v>
      </c>
      <c r="I48" s="44">
        <v>0</v>
      </c>
      <c r="J48" s="42">
        <v>0</v>
      </c>
      <c r="K48" s="47" t="e">
        <v>#N/A</v>
      </c>
      <c r="L48" s="49">
        <v>3.5589999999999997E-2</v>
      </c>
    </row>
    <row r="49" spans="7:12" x14ac:dyDescent="0.35">
      <c r="G49" s="2">
        <v>25</v>
      </c>
      <c r="H49" s="40">
        <v>0</v>
      </c>
      <c r="I49" s="44">
        <v>0</v>
      </c>
      <c r="J49" s="42">
        <v>0</v>
      </c>
      <c r="K49" s="47" t="e">
        <v>#N/A</v>
      </c>
      <c r="L49" s="49">
        <v>3.5529999999999999E-2</v>
      </c>
    </row>
    <row r="50" spans="7:12" x14ac:dyDescent="0.35">
      <c r="G50" s="7">
        <v>26</v>
      </c>
      <c r="H50" s="40">
        <v>0</v>
      </c>
      <c r="I50" s="44">
        <v>0</v>
      </c>
      <c r="J50" s="42">
        <v>0</v>
      </c>
      <c r="K50" s="47" t="e">
        <v>#N/A</v>
      </c>
      <c r="L50" s="49">
        <v>3.5459999999999998E-2</v>
      </c>
    </row>
    <row r="51" spans="7:12" x14ac:dyDescent="0.35">
      <c r="G51" s="7">
        <v>27</v>
      </c>
      <c r="H51" s="40">
        <v>0</v>
      </c>
      <c r="I51" s="44">
        <v>0</v>
      </c>
      <c r="J51" s="42">
        <v>0</v>
      </c>
      <c r="K51" s="47" t="e">
        <v>#N/A</v>
      </c>
      <c r="L51" s="49">
        <v>3.5400000000000001E-2</v>
      </c>
    </row>
    <row r="52" spans="7:12" x14ac:dyDescent="0.35">
      <c r="G52" s="7">
        <v>28</v>
      </c>
      <c r="H52" s="40">
        <v>0</v>
      </c>
      <c r="I52" s="44">
        <v>0</v>
      </c>
      <c r="J52" s="42">
        <v>0</v>
      </c>
      <c r="K52" s="47" t="e">
        <v>#N/A</v>
      </c>
      <c r="L52" s="49">
        <v>3.533E-2</v>
      </c>
    </row>
    <row r="53" spans="7:12" x14ac:dyDescent="0.35">
      <c r="G53" s="2">
        <v>29</v>
      </c>
      <c r="H53" s="40">
        <v>0</v>
      </c>
      <c r="I53" s="44">
        <v>0</v>
      </c>
      <c r="J53" s="42">
        <v>0</v>
      </c>
      <c r="K53" s="47" t="e">
        <v>#N/A</v>
      </c>
      <c r="L53" s="49">
        <v>3.5270000000000003E-2</v>
      </c>
    </row>
    <row r="54" spans="7:12" x14ac:dyDescent="0.35">
      <c r="G54" s="2">
        <v>30</v>
      </c>
      <c r="H54" s="40">
        <v>0</v>
      </c>
      <c r="I54" s="44">
        <v>0</v>
      </c>
      <c r="J54" s="42">
        <v>0</v>
      </c>
      <c r="K54" s="47" t="e">
        <v>#N/A</v>
      </c>
      <c r="L54" s="49">
        <v>3.5209999999999998E-2</v>
      </c>
    </row>
    <row r="55" spans="7:12" x14ac:dyDescent="0.35">
      <c r="G55" s="7">
        <v>31</v>
      </c>
      <c r="H55" s="40">
        <v>0</v>
      </c>
      <c r="I55" s="44">
        <v>0</v>
      </c>
      <c r="J55" s="42">
        <v>0</v>
      </c>
      <c r="K55" s="47" t="e">
        <v>#N/A</v>
      </c>
      <c r="L55" s="49">
        <v>3.5159999999999997E-2</v>
      </c>
    </row>
    <row r="56" spans="7:12" x14ac:dyDescent="0.35">
      <c r="G56" s="7">
        <v>32</v>
      </c>
      <c r="H56" s="40">
        <v>0</v>
      </c>
      <c r="I56" s="44">
        <v>0</v>
      </c>
      <c r="J56" s="42">
        <v>0</v>
      </c>
      <c r="K56" s="47" t="e">
        <v>#N/A</v>
      </c>
      <c r="L56" s="49">
        <v>3.5099999999999999E-2</v>
      </c>
    </row>
    <row r="57" spans="7:12" x14ac:dyDescent="0.35">
      <c r="G57" s="7">
        <v>33</v>
      </c>
      <c r="H57" s="40">
        <v>0</v>
      </c>
      <c r="I57" s="44">
        <v>0</v>
      </c>
      <c r="J57" s="42">
        <v>0</v>
      </c>
      <c r="K57" s="47" t="e">
        <v>#N/A</v>
      </c>
      <c r="L57" s="49">
        <v>3.5049999999999998E-2</v>
      </c>
    </row>
    <row r="58" spans="7:12" x14ac:dyDescent="0.35">
      <c r="G58" s="2">
        <v>34</v>
      </c>
      <c r="H58" s="40">
        <v>0</v>
      </c>
      <c r="I58" s="44">
        <v>0</v>
      </c>
      <c r="J58" s="42">
        <v>0</v>
      </c>
      <c r="K58" s="47" t="e">
        <v>#N/A</v>
      </c>
      <c r="L58" s="49">
        <v>3.5000000000000003E-2</v>
      </c>
    </row>
    <row r="59" spans="7:12" x14ac:dyDescent="0.35">
      <c r="G59" s="2">
        <v>35</v>
      </c>
      <c r="H59" s="40">
        <v>0</v>
      </c>
      <c r="I59" s="44">
        <v>0</v>
      </c>
      <c r="J59" s="42">
        <v>0</v>
      </c>
      <c r="K59" s="47" t="e">
        <v>#N/A</v>
      </c>
      <c r="L59" s="49">
        <v>3.4950000000000002E-2</v>
      </c>
    </row>
    <row r="60" spans="7:12" x14ac:dyDescent="0.35">
      <c r="G60" s="7">
        <v>36</v>
      </c>
      <c r="H60" s="40">
        <v>0</v>
      </c>
      <c r="I60" s="44">
        <v>0</v>
      </c>
      <c r="J60" s="42">
        <v>0</v>
      </c>
      <c r="K60" s="47" t="e">
        <v>#N/A</v>
      </c>
      <c r="L60" s="49">
        <v>3.4909999999999997E-2</v>
      </c>
    </row>
    <row r="61" spans="7:12" x14ac:dyDescent="0.35">
      <c r="G61" s="7">
        <v>37</v>
      </c>
      <c r="H61" s="40">
        <v>0</v>
      </c>
      <c r="I61" s="44">
        <v>0</v>
      </c>
      <c r="J61" s="42">
        <v>0</v>
      </c>
      <c r="K61" s="47" t="e">
        <v>#N/A</v>
      </c>
      <c r="L61" s="49">
        <v>3.4860000000000002E-2</v>
      </c>
    </row>
    <row r="62" spans="7:12" x14ac:dyDescent="0.35">
      <c r="G62" s="7">
        <v>38</v>
      </c>
      <c r="H62" s="40">
        <v>0</v>
      </c>
      <c r="I62" s="44">
        <v>0</v>
      </c>
      <c r="J62" s="42">
        <v>0</v>
      </c>
      <c r="K62" s="47" t="e">
        <v>#N/A</v>
      </c>
      <c r="L62" s="49">
        <v>3.4819999999999997E-2</v>
      </c>
    </row>
    <row r="63" spans="7:12" x14ac:dyDescent="0.35">
      <c r="G63" s="2">
        <v>39</v>
      </c>
      <c r="H63" s="40">
        <v>0</v>
      </c>
      <c r="I63" s="44">
        <v>0</v>
      </c>
      <c r="J63" s="42">
        <v>0</v>
      </c>
      <c r="K63" s="47" t="e">
        <v>#N/A</v>
      </c>
      <c r="L63" s="49">
        <v>3.4779999999999998E-2</v>
      </c>
    </row>
    <row r="64" spans="7:12" x14ac:dyDescent="0.35">
      <c r="G64" s="2">
        <v>40</v>
      </c>
      <c r="H64" s="40">
        <v>0</v>
      </c>
      <c r="I64" s="44">
        <v>0</v>
      </c>
      <c r="J64" s="42">
        <v>0</v>
      </c>
      <c r="K64" s="47" t="e">
        <v>#N/A</v>
      </c>
      <c r="L64" s="49">
        <v>3.474E-2</v>
      </c>
    </row>
    <row r="65" spans="7:12" x14ac:dyDescent="0.35">
      <c r="G65" s="7">
        <v>41</v>
      </c>
      <c r="H65" s="40">
        <v>0</v>
      </c>
      <c r="I65" s="44">
        <v>0</v>
      </c>
      <c r="J65" s="42">
        <v>0</v>
      </c>
      <c r="K65" s="47" t="e">
        <v>#N/A</v>
      </c>
      <c r="L65" s="49">
        <v>3.4700000000000002E-2</v>
      </c>
    </row>
    <row r="66" spans="7:12" x14ac:dyDescent="0.35">
      <c r="G66" s="7">
        <v>42</v>
      </c>
      <c r="H66" s="40">
        <v>0</v>
      </c>
      <c r="I66" s="44">
        <v>0</v>
      </c>
      <c r="J66" s="42">
        <v>0</v>
      </c>
      <c r="K66" s="47" t="e">
        <v>#N/A</v>
      </c>
      <c r="L66" s="49">
        <v>3.4660000000000003E-2</v>
      </c>
    </row>
    <row r="67" spans="7:12" x14ac:dyDescent="0.35">
      <c r="G67" s="7">
        <v>43</v>
      </c>
      <c r="H67" s="40">
        <v>0</v>
      </c>
      <c r="I67" s="44">
        <v>0</v>
      </c>
      <c r="J67" s="42">
        <v>0</v>
      </c>
      <c r="K67" s="47" t="e">
        <v>#N/A</v>
      </c>
      <c r="L67" s="49">
        <v>3.4619999999999998E-2</v>
      </c>
    </row>
    <row r="68" spans="7:12" x14ac:dyDescent="0.35">
      <c r="G68" s="2">
        <v>44</v>
      </c>
      <c r="H68" s="40">
        <v>0</v>
      </c>
      <c r="I68" s="44">
        <v>0</v>
      </c>
      <c r="J68" s="42">
        <v>0</v>
      </c>
      <c r="K68" s="47" t="e">
        <v>#N/A</v>
      </c>
      <c r="L68" s="49">
        <v>3.4590000000000003E-2</v>
      </c>
    </row>
    <row r="69" spans="7:12" x14ac:dyDescent="0.35">
      <c r="G69" s="2">
        <v>45</v>
      </c>
      <c r="H69" s="40">
        <v>0</v>
      </c>
      <c r="I69" s="44">
        <v>0</v>
      </c>
      <c r="J69" s="42">
        <v>0</v>
      </c>
      <c r="K69" s="47" t="e">
        <v>#N/A</v>
      </c>
      <c r="L69" s="49">
        <v>3.456E-2</v>
      </c>
    </row>
    <row r="70" spans="7:12" x14ac:dyDescent="0.35">
      <c r="G70" s="7">
        <v>46</v>
      </c>
      <c r="H70" s="40">
        <v>0</v>
      </c>
      <c r="I70" s="44">
        <v>0</v>
      </c>
      <c r="J70" s="42">
        <v>0</v>
      </c>
      <c r="K70" s="47" t="e">
        <v>#N/A</v>
      </c>
      <c r="L70" s="49">
        <v>3.4520000000000002E-2</v>
      </c>
    </row>
    <row r="71" spans="7:12" x14ac:dyDescent="0.35">
      <c r="G71" s="7">
        <v>47</v>
      </c>
      <c r="H71" s="40">
        <v>0</v>
      </c>
      <c r="I71" s="44">
        <v>0</v>
      </c>
      <c r="J71" s="42">
        <v>0</v>
      </c>
      <c r="K71" s="47" t="e">
        <v>#N/A</v>
      </c>
      <c r="L71" s="49">
        <v>3.449E-2</v>
      </c>
    </row>
    <row r="72" spans="7:12" x14ac:dyDescent="0.35">
      <c r="G72" s="7">
        <v>48</v>
      </c>
      <c r="H72" s="40">
        <v>0</v>
      </c>
      <c r="I72" s="44">
        <v>0</v>
      </c>
      <c r="J72" s="42">
        <v>0</v>
      </c>
      <c r="K72" s="47" t="e">
        <v>#N/A</v>
      </c>
      <c r="L72" s="49">
        <v>3.4459999999999998E-2</v>
      </c>
    </row>
    <row r="73" spans="7:12" x14ac:dyDescent="0.35">
      <c r="G73" s="2">
        <v>49</v>
      </c>
      <c r="H73" s="40">
        <v>0</v>
      </c>
      <c r="I73" s="44">
        <v>0</v>
      </c>
      <c r="J73" s="42">
        <v>0</v>
      </c>
      <c r="K73" s="47" t="e">
        <v>#N/A</v>
      </c>
      <c r="L73" s="49">
        <v>3.4439999999999998E-2</v>
      </c>
    </row>
    <row r="74" spans="7:12" x14ac:dyDescent="0.35">
      <c r="G74" s="2">
        <v>50</v>
      </c>
      <c r="H74" s="40">
        <v>0</v>
      </c>
      <c r="I74" s="44">
        <v>0</v>
      </c>
      <c r="J74" s="42">
        <v>0</v>
      </c>
      <c r="K74" s="47" t="e">
        <v>#N/A</v>
      </c>
      <c r="L74" s="49">
        <v>3.4410000000000003E-2</v>
      </c>
    </row>
    <row r="75" spans="7:12" x14ac:dyDescent="0.35">
      <c r="G75" s="7">
        <v>51</v>
      </c>
      <c r="H75" s="40">
        <v>0</v>
      </c>
      <c r="I75" s="44">
        <v>0</v>
      </c>
      <c r="J75" s="42">
        <v>0</v>
      </c>
      <c r="K75" s="57" t="e">
        <v>#N/A</v>
      </c>
      <c r="L75" s="49">
        <v>3.4380000000000001E-2</v>
      </c>
    </row>
    <row r="76" spans="7:12" x14ac:dyDescent="0.35">
      <c r="G76" s="7">
        <v>52</v>
      </c>
      <c r="H76" s="40">
        <v>0</v>
      </c>
      <c r="I76" s="44">
        <v>0</v>
      </c>
      <c r="J76" s="42">
        <v>0</v>
      </c>
      <c r="K76" s="57" t="e">
        <v>#N/A</v>
      </c>
      <c r="L76" s="49">
        <v>3.4360000000000002E-2</v>
      </c>
    </row>
    <row r="77" spans="7:12" x14ac:dyDescent="0.35">
      <c r="G77" s="7">
        <v>53</v>
      </c>
      <c r="H77" s="40">
        <v>0</v>
      </c>
      <c r="I77" s="44">
        <v>0</v>
      </c>
      <c r="J77" s="42">
        <v>0</v>
      </c>
      <c r="K77" s="57" t="e">
        <v>#N/A</v>
      </c>
      <c r="L77" s="49">
        <v>3.4329999999999999E-2</v>
      </c>
    </row>
    <row r="78" spans="7:12" x14ac:dyDescent="0.35">
      <c r="G78" s="2">
        <v>54</v>
      </c>
      <c r="H78" s="40">
        <v>0</v>
      </c>
      <c r="I78" s="44">
        <v>0</v>
      </c>
      <c r="J78" s="42">
        <v>0</v>
      </c>
      <c r="K78" s="57" t="e">
        <v>#N/A</v>
      </c>
      <c r="L78" s="49">
        <v>3.431E-2</v>
      </c>
    </row>
    <row r="79" spans="7:12" x14ac:dyDescent="0.35">
      <c r="G79" s="2">
        <v>55</v>
      </c>
      <c r="H79" s="40">
        <v>0</v>
      </c>
      <c r="I79" s="44">
        <v>0</v>
      </c>
      <c r="J79" s="42">
        <v>0</v>
      </c>
      <c r="K79" s="57" t="e">
        <v>#N/A</v>
      </c>
      <c r="L79" s="49">
        <v>3.4279999999999998E-2</v>
      </c>
    </row>
    <row r="80" spans="7:12" x14ac:dyDescent="0.35">
      <c r="G80" s="7">
        <v>56</v>
      </c>
      <c r="H80" s="40">
        <v>0</v>
      </c>
      <c r="I80" s="44">
        <v>0</v>
      </c>
      <c r="J80" s="42">
        <v>0</v>
      </c>
      <c r="K80" s="57" t="e">
        <v>#N/A</v>
      </c>
      <c r="L80" s="49">
        <v>3.4259999999999999E-2</v>
      </c>
    </row>
    <row r="81" spans="7:12" x14ac:dyDescent="0.35">
      <c r="G81" s="7">
        <v>57</v>
      </c>
      <c r="H81" s="40">
        <v>0</v>
      </c>
      <c r="I81" s="44">
        <v>0</v>
      </c>
      <c r="J81" s="42">
        <v>0</v>
      </c>
      <c r="K81" s="57" t="e">
        <v>#N/A</v>
      </c>
      <c r="L81" s="49">
        <v>3.424E-2</v>
      </c>
    </row>
    <row r="82" spans="7:12" x14ac:dyDescent="0.35">
      <c r="G82" s="7">
        <v>58</v>
      </c>
      <c r="H82" s="40">
        <v>0</v>
      </c>
      <c r="I82" s="44">
        <v>0</v>
      </c>
      <c r="J82" s="42">
        <v>0</v>
      </c>
      <c r="K82" s="57" t="e">
        <v>#N/A</v>
      </c>
      <c r="L82" s="49">
        <v>3.422E-2</v>
      </c>
    </row>
    <row r="83" spans="7:12" x14ac:dyDescent="0.35">
      <c r="G83" s="2">
        <v>59</v>
      </c>
      <c r="H83" s="40">
        <v>0</v>
      </c>
      <c r="I83" s="44">
        <v>0</v>
      </c>
      <c r="J83" s="42">
        <v>0</v>
      </c>
      <c r="K83" s="57" t="e">
        <v>#N/A</v>
      </c>
      <c r="L83" s="49">
        <v>3.4200000000000001E-2</v>
      </c>
    </row>
    <row r="84" spans="7:12" x14ac:dyDescent="0.35">
      <c r="G84" s="2">
        <v>60</v>
      </c>
      <c r="H84" s="40">
        <v>0</v>
      </c>
      <c r="I84" s="44">
        <v>0</v>
      </c>
      <c r="J84" s="42">
        <v>0</v>
      </c>
      <c r="K84" s="57" t="e">
        <v>#N/A</v>
      </c>
      <c r="L84" s="49">
        <v>3.4180000000000002E-2</v>
      </c>
    </row>
    <row r="85" spans="7:12" x14ac:dyDescent="0.35">
      <c r="G85" s="7">
        <v>61</v>
      </c>
      <c r="H85" s="40">
        <v>0</v>
      </c>
      <c r="I85" s="44">
        <v>0</v>
      </c>
      <c r="J85" s="42">
        <v>0</v>
      </c>
      <c r="K85" s="57" t="e">
        <v>#N/A</v>
      </c>
      <c r="L85" s="49">
        <v>3.4160000000000003E-2</v>
      </c>
    </row>
    <row r="86" spans="7:12" x14ac:dyDescent="0.35">
      <c r="G86" s="7">
        <v>62</v>
      </c>
      <c r="H86" s="40">
        <v>0</v>
      </c>
      <c r="I86" s="44">
        <v>0</v>
      </c>
      <c r="J86" s="42">
        <v>0</v>
      </c>
      <c r="K86" s="57" t="e">
        <v>#N/A</v>
      </c>
      <c r="L86" s="49">
        <v>3.4139999999999997E-2</v>
      </c>
    </row>
    <row r="87" spans="7:12" x14ac:dyDescent="0.35">
      <c r="G87" s="7">
        <v>63</v>
      </c>
      <c r="H87" s="40">
        <v>0</v>
      </c>
      <c r="I87" s="44">
        <v>0</v>
      </c>
      <c r="J87" s="42">
        <v>0</v>
      </c>
      <c r="K87" s="57" t="e">
        <v>#N/A</v>
      </c>
      <c r="L87" s="49">
        <v>3.4119999999999998E-2</v>
      </c>
    </row>
    <row r="88" spans="7:12" x14ac:dyDescent="0.35">
      <c r="G88" s="2">
        <v>64</v>
      </c>
      <c r="H88" s="40">
        <v>0</v>
      </c>
      <c r="I88" s="44">
        <v>0</v>
      </c>
      <c r="J88" s="42">
        <v>0</v>
      </c>
      <c r="K88" s="57" t="e">
        <v>#N/A</v>
      </c>
      <c r="L88" s="49">
        <v>3.4110000000000001E-2</v>
      </c>
    </row>
    <row r="89" spans="7:12" x14ac:dyDescent="0.35">
      <c r="G89" s="2">
        <v>65</v>
      </c>
      <c r="H89" s="40">
        <v>0</v>
      </c>
      <c r="I89" s="44">
        <v>0</v>
      </c>
      <c r="J89" s="42">
        <v>0</v>
      </c>
      <c r="K89" s="57" t="e">
        <v>#N/A</v>
      </c>
      <c r="L89" s="49">
        <v>3.4090000000000002E-2</v>
      </c>
    </row>
    <row r="90" spans="7:12" x14ac:dyDescent="0.35">
      <c r="G90" s="7">
        <v>66</v>
      </c>
      <c r="H90" s="40">
        <v>0</v>
      </c>
      <c r="I90" s="44">
        <v>0</v>
      </c>
      <c r="J90" s="42">
        <v>0</v>
      </c>
      <c r="K90" s="57" t="e">
        <v>#N/A</v>
      </c>
      <c r="L90" s="49">
        <v>3.4070000000000003E-2</v>
      </c>
    </row>
    <row r="91" spans="7:12" x14ac:dyDescent="0.35">
      <c r="G91" s="7">
        <v>67</v>
      </c>
      <c r="H91" s="40">
        <v>0</v>
      </c>
      <c r="I91" s="44">
        <v>0</v>
      </c>
      <c r="J91" s="42">
        <v>0</v>
      </c>
      <c r="K91" s="57" t="e">
        <v>#N/A</v>
      </c>
      <c r="L91" s="49">
        <v>3.406E-2</v>
      </c>
    </row>
    <row r="92" spans="7:12" x14ac:dyDescent="0.35">
      <c r="G92" s="7">
        <v>68</v>
      </c>
      <c r="H92" s="40">
        <v>0</v>
      </c>
      <c r="I92" s="44">
        <v>0</v>
      </c>
      <c r="J92" s="42">
        <v>0</v>
      </c>
      <c r="K92" s="57" t="e">
        <v>#N/A</v>
      </c>
      <c r="L92" s="49">
        <v>3.4040000000000001E-2</v>
      </c>
    </row>
    <row r="93" spans="7:12" x14ac:dyDescent="0.35">
      <c r="G93" s="2">
        <v>69</v>
      </c>
      <c r="H93" s="40">
        <v>0</v>
      </c>
      <c r="I93" s="44">
        <v>0</v>
      </c>
      <c r="J93" s="42">
        <v>0</v>
      </c>
      <c r="K93" s="57" t="e">
        <v>#N/A</v>
      </c>
      <c r="L93" s="49">
        <v>3.4029999999999998E-2</v>
      </c>
    </row>
    <row r="94" spans="7:12" x14ac:dyDescent="0.35">
      <c r="G94" s="2">
        <v>70</v>
      </c>
      <c r="H94" s="40">
        <v>0</v>
      </c>
      <c r="I94" s="44">
        <v>0</v>
      </c>
      <c r="J94" s="42">
        <v>0</v>
      </c>
      <c r="K94" s="57" t="e">
        <v>#N/A</v>
      </c>
      <c r="L94" s="49">
        <v>3.4009999999999999E-2</v>
      </c>
    </row>
    <row r="95" spans="7:12" x14ac:dyDescent="0.35">
      <c r="G95" s="7">
        <v>71</v>
      </c>
      <c r="H95" s="40">
        <v>0</v>
      </c>
      <c r="I95" s="44">
        <v>0</v>
      </c>
      <c r="J95" s="42">
        <v>0</v>
      </c>
      <c r="K95" s="57" t="e">
        <v>#N/A</v>
      </c>
      <c r="L95" s="49">
        <v>3.4000000000000002E-2</v>
      </c>
    </row>
    <row r="96" spans="7:12" x14ac:dyDescent="0.35">
      <c r="G96" s="7">
        <v>72</v>
      </c>
      <c r="H96" s="40">
        <v>0</v>
      </c>
      <c r="I96" s="44">
        <v>0</v>
      </c>
      <c r="J96" s="42">
        <v>0</v>
      </c>
      <c r="K96" s="57" t="e">
        <v>#N/A</v>
      </c>
      <c r="L96" s="49">
        <v>3.3980000000000003E-2</v>
      </c>
    </row>
    <row r="97" spans="7:12" x14ac:dyDescent="0.35">
      <c r="G97" s="7">
        <v>73</v>
      </c>
      <c r="H97" s="40">
        <v>0</v>
      </c>
      <c r="I97" s="44">
        <v>0</v>
      </c>
      <c r="J97" s="42">
        <v>0</v>
      </c>
      <c r="K97" s="57" t="e">
        <v>#N/A</v>
      </c>
      <c r="L97" s="49">
        <v>3.397E-2</v>
      </c>
    </row>
    <row r="98" spans="7:12" x14ac:dyDescent="0.35">
      <c r="G98" s="2">
        <v>74</v>
      </c>
      <c r="H98" s="40">
        <v>0</v>
      </c>
      <c r="I98" s="44">
        <v>0</v>
      </c>
      <c r="J98" s="42">
        <v>0</v>
      </c>
      <c r="K98" s="57" t="e">
        <v>#N/A</v>
      </c>
      <c r="L98" s="49">
        <v>3.3959999999999997E-2</v>
      </c>
    </row>
    <row r="99" spans="7:12" x14ac:dyDescent="0.35">
      <c r="G99" s="2">
        <v>75</v>
      </c>
      <c r="H99" s="40">
        <v>0</v>
      </c>
      <c r="I99" s="44">
        <v>0</v>
      </c>
      <c r="J99" s="42">
        <v>0</v>
      </c>
      <c r="K99" s="57" t="e">
        <v>#N/A</v>
      </c>
      <c r="L99" s="49">
        <v>3.3939999999999998E-2</v>
      </c>
    </row>
    <row r="100" spans="7:12" x14ac:dyDescent="0.35">
      <c r="G100" s="7">
        <v>76</v>
      </c>
      <c r="H100" s="40">
        <v>0</v>
      </c>
      <c r="I100" s="44">
        <v>0</v>
      </c>
      <c r="J100" s="42">
        <v>0</v>
      </c>
      <c r="K100" s="57" t="e">
        <v>#N/A</v>
      </c>
      <c r="L100" s="49">
        <v>3.3930000000000002E-2</v>
      </c>
    </row>
    <row r="101" spans="7:12" x14ac:dyDescent="0.35">
      <c r="G101" s="7">
        <v>77</v>
      </c>
      <c r="H101" s="40">
        <v>0</v>
      </c>
      <c r="I101" s="44">
        <v>0</v>
      </c>
      <c r="J101" s="42">
        <v>0</v>
      </c>
      <c r="K101" s="57" t="e">
        <v>#N/A</v>
      </c>
      <c r="L101" s="49">
        <v>3.3919999999999999E-2</v>
      </c>
    </row>
    <row r="102" spans="7:12" x14ac:dyDescent="0.35">
      <c r="G102" s="7">
        <v>78</v>
      </c>
      <c r="H102" s="40">
        <v>0</v>
      </c>
      <c r="I102" s="44">
        <v>0</v>
      </c>
      <c r="J102" s="42">
        <v>0</v>
      </c>
      <c r="K102" s="57" t="e">
        <v>#N/A</v>
      </c>
      <c r="L102" s="49">
        <v>3.3910000000000003E-2</v>
      </c>
    </row>
    <row r="103" spans="7:12" x14ac:dyDescent="0.35">
      <c r="G103" s="2">
        <v>79</v>
      </c>
      <c r="H103" s="40">
        <v>0</v>
      </c>
      <c r="I103" s="44">
        <v>0</v>
      </c>
      <c r="J103" s="42">
        <v>0</v>
      </c>
      <c r="K103" s="57" t="e">
        <v>#N/A</v>
      </c>
      <c r="L103" s="49">
        <v>3.39E-2</v>
      </c>
    </row>
    <row r="104" spans="7:12" x14ac:dyDescent="0.35">
      <c r="G104" s="2">
        <v>80</v>
      </c>
      <c r="H104" s="40">
        <v>0</v>
      </c>
      <c r="I104" s="44">
        <v>0</v>
      </c>
      <c r="J104" s="42">
        <v>0</v>
      </c>
      <c r="K104" s="57" t="e">
        <v>#N/A</v>
      </c>
      <c r="L104" s="49">
        <v>3.3890000000000003E-2</v>
      </c>
    </row>
    <row r="105" spans="7:12" x14ac:dyDescent="0.35">
      <c r="G105" s="7">
        <v>81</v>
      </c>
      <c r="H105" s="40">
        <v>0</v>
      </c>
      <c r="I105" s="44">
        <v>0</v>
      </c>
      <c r="J105" s="42">
        <v>0</v>
      </c>
      <c r="K105" s="57" t="e">
        <v>#N/A</v>
      </c>
      <c r="L105" s="49">
        <v>3.388E-2</v>
      </c>
    </row>
    <row r="106" spans="7:12" x14ac:dyDescent="0.35">
      <c r="G106" s="7">
        <v>82</v>
      </c>
      <c r="H106" s="40">
        <v>0</v>
      </c>
      <c r="I106" s="44">
        <v>0</v>
      </c>
      <c r="J106" s="42">
        <v>0</v>
      </c>
      <c r="K106" s="57" t="e">
        <v>#N/A</v>
      </c>
      <c r="L106" s="49">
        <v>3.3860000000000001E-2</v>
      </c>
    </row>
    <row r="107" spans="7:12" x14ac:dyDescent="0.35">
      <c r="G107" s="7">
        <v>83</v>
      </c>
      <c r="H107" s="40">
        <v>0</v>
      </c>
      <c r="I107" s="44">
        <v>0</v>
      </c>
      <c r="J107" s="42">
        <v>0</v>
      </c>
      <c r="K107" s="57" t="e">
        <v>#N/A</v>
      </c>
      <c r="L107" s="49">
        <v>3.3849999999999998E-2</v>
      </c>
    </row>
    <row r="108" spans="7:12" x14ac:dyDescent="0.35">
      <c r="G108" s="2">
        <v>84</v>
      </c>
      <c r="H108" s="40">
        <v>0</v>
      </c>
      <c r="I108" s="44">
        <v>0</v>
      </c>
      <c r="J108" s="42">
        <v>0</v>
      </c>
      <c r="K108" s="57" t="e">
        <v>#N/A</v>
      </c>
      <c r="L108" s="49">
        <v>3.3840000000000002E-2</v>
      </c>
    </row>
    <row r="109" spans="7:12" x14ac:dyDescent="0.35">
      <c r="G109" s="2">
        <v>85</v>
      </c>
      <c r="H109" s="40">
        <v>0</v>
      </c>
      <c r="I109" s="44">
        <v>0</v>
      </c>
      <c r="J109" s="42">
        <v>0</v>
      </c>
      <c r="K109" s="57" t="e">
        <v>#N/A</v>
      </c>
      <c r="L109" s="49">
        <v>3.3829999999999999E-2</v>
      </c>
    </row>
    <row r="110" spans="7:12" x14ac:dyDescent="0.35">
      <c r="G110" s="7">
        <v>86</v>
      </c>
      <c r="H110" s="40">
        <v>0</v>
      </c>
      <c r="I110" s="44">
        <v>0</v>
      </c>
      <c r="J110" s="42">
        <v>0</v>
      </c>
      <c r="K110" s="57" t="e">
        <v>#N/A</v>
      </c>
      <c r="L110" s="49">
        <v>3.3820000000000003E-2</v>
      </c>
    </row>
    <row r="111" spans="7:12" x14ac:dyDescent="0.35">
      <c r="G111" s="7">
        <v>87</v>
      </c>
      <c r="H111" s="40">
        <v>0</v>
      </c>
      <c r="I111" s="44">
        <v>0</v>
      </c>
      <c r="J111" s="42">
        <v>0</v>
      </c>
      <c r="K111" s="57" t="e">
        <v>#N/A</v>
      </c>
      <c r="L111" s="49">
        <v>3.381E-2</v>
      </c>
    </row>
    <row r="112" spans="7:12" x14ac:dyDescent="0.35">
      <c r="G112" s="7">
        <v>88</v>
      </c>
      <c r="H112" s="40">
        <v>0</v>
      </c>
      <c r="I112" s="44">
        <v>0</v>
      </c>
      <c r="J112" s="42">
        <v>0</v>
      </c>
      <c r="K112" s="57" t="e">
        <v>#N/A</v>
      </c>
      <c r="L112" s="49">
        <v>3.381E-2</v>
      </c>
    </row>
    <row r="113" spans="7:12" x14ac:dyDescent="0.35">
      <c r="G113" s="2">
        <v>89</v>
      </c>
      <c r="H113" s="40">
        <v>0</v>
      </c>
      <c r="I113" s="44">
        <v>0</v>
      </c>
      <c r="J113" s="42">
        <v>0</v>
      </c>
      <c r="K113" s="57" t="e">
        <v>#N/A</v>
      </c>
      <c r="L113" s="49">
        <v>3.3799999999999997E-2</v>
      </c>
    </row>
    <row r="114" spans="7:12" x14ac:dyDescent="0.35">
      <c r="G114" s="2">
        <v>90</v>
      </c>
      <c r="H114" s="40">
        <v>0</v>
      </c>
      <c r="I114" s="44">
        <v>0</v>
      </c>
      <c r="J114" s="42">
        <v>0</v>
      </c>
      <c r="K114" s="57" t="e">
        <v>#N/A</v>
      </c>
      <c r="L114" s="49">
        <v>3.3790000000000001E-2</v>
      </c>
    </row>
    <row r="115" spans="7:12" x14ac:dyDescent="0.35">
      <c r="G115" s="7">
        <v>91</v>
      </c>
      <c r="H115" s="40">
        <v>0</v>
      </c>
      <c r="I115" s="44">
        <v>0</v>
      </c>
      <c r="J115" s="42">
        <v>0</v>
      </c>
      <c r="K115" s="57" t="e">
        <v>#N/A</v>
      </c>
      <c r="L115" s="49">
        <v>3.3779999999999998E-2</v>
      </c>
    </row>
    <row r="116" spans="7:12" x14ac:dyDescent="0.35">
      <c r="G116" s="7">
        <v>92</v>
      </c>
      <c r="H116" s="40">
        <v>0</v>
      </c>
      <c r="I116" s="44">
        <v>0</v>
      </c>
      <c r="J116" s="42">
        <v>0</v>
      </c>
      <c r="K116" s="57" t="e">
        <v>#N/A</v>
      </c>
      <c r="L116" s="49">
        <v>3.3770000000000001E-2</v>
      </c>
    </row>
    <row r="117" spans="7:12" x14ac:dyDescent="0.35">
      <c r="G117" s="7">
        <v>93</v>
      </c>
      <c r="H117" s="40">
        <v>0</v>
      </c>
      <c r="I117" s="44">
        <v>0</v>
      </c>
      <c r="J117" s="42">
        <v>0</v>
      </c>
      <c r="K117" s="57" t="e">
        <v>#N/A</v>
      </c>
      <c r="L117" s="49">
        <v>3.3759999999999998E-2</v>
      </c>
    </row>
    <row r="118" spans="7:12" x14ac:dyDescent="0.35">
      <c r="G118" s="2">
        <v>94</v>
      </c>
      <c r="H118" s="40">
        <v>0</v>
      </c>
      <c r="I118" s="44">
        <v>0</v>
      </c>
      <c r="J118" s="42">
        <v>0</v>
      </c>
      <c r="K118" s="57" t="e">
        <v>#N/A</v>
      </c>
      <c r="L118" s="49">
        <v>3.3750000000000002E-2</v>
      </c>
    </row>
    <row r="119" spans="7:12" x14ac:dyDescent="0.35">
      <c r="G119" s="2">
        <v>95</v>
      </c>
      <c r="H119" s="40">
        <v>0</v>
      </c>
      <c r="I119" s="44">
        <v>0</v>
      </c>
      <c r="J119" s="42">
        <v>0</v>
      </c>
      <c r="K119" s="57" t="e">
        <v>#N/A</v>
      </c>
      <c r="L119" s="49">
        <v>3.3750000000000002E-2</v>
      </c>
    </row>
    <row r="120" spans="7:12" x14ac:dyDescent="0.35">
      <c r="G120" s="7">
        <v>96</v>
      </c>
      <c r="H120" s="40">
        <v>0</v>
      </c>
      <c r="I120" s="44">
        <v>0</v>
      </c>
      <c r="J120" s="42">
        <v>0</v>
      </c>
      <c r="K120" s="57" t="e">
        <v>#N/A</v>
      </c>
      <c r="L120" s="49">
        <v>3.3739999999999999E-2</v>
      </c>
    </row>
    <row r="121" spans="7:12" x14ac:dyDescent="0.35">
      <c r="G121" s="7">
        <v>97</v>
      </c>
      <c r="H121" s="40">
        <v>0</v>
      </c>
      <c r="I121" s="44">
        <v>0</v>
      </c>
      <c r="J121" s="42">
        <v>0</v>
      </c>
      <c r="K121" s="57" t="e">
        <v>#N/A</v>
      </c>
      <c r="L121" s="49">
        <v>3.3730000000000003E-2</v>
      </c>
    </row>
    <row r="122" spans="7:12" x14ac:dyDescent="0.35">
      <c r="G122" s="7">
        <v>98</v>
      </c>
      <c r="H122" s="40">
        <v>0</v>
      </c>
      <c r="I122" s="44">
        <v>0</v>
      </c>
      <c r="J122" s="42">
        <v>0</v>
      </c>
      <c r="K122" s="57" t="e">
        <v>#N/A</v>
      </c>
      <c r="L122" s="49">
        <v>3.372E-2</v>
      </c>
    </row>
    <row r="123" spans="7:12" x14ac:dyDescent="0.35">
      <c r="G123" s="2">
        <v>99</v>
      </c>
      <c r="H123" s="40">
        <v>0</v>
      </c>
      <c r="I123" s="44">
        <v>0</v>
      </c>
      <c r="J123" s="42">
        <v>0</v>
      </c>
      <c r="K123" s="57" t="e">
        <v>#N/A</v>
      </c>
      <c r="L123" s="49">
        <v>3.372E-2</v>
      </c>
    </row>
    <row r="124" spans="7:12" x14ac:dyDescent="0.35">
      <c r="G124" s="2">
        <v>100</v>
      </c>
      <c r="H124" s="40">
        <v>0</v>
      </c>
      <c r="I124" s="44">
        <v>0</v>
      </c>
      <c r="J124" s="42">
        <v>0</v>
      </c>
      <c r="K124" s="57" t="e">
        <v>#N/A</v>
      </c>
      <c r="L124" s="49">
        <v>3.3709999999999997E-2</v>
      </c>
    </row>
    <row r="125" spans="7:12" x14ac:dyDescent="0.35">
      <c r="G125" s="7">
        <v>101</v>
      </c>
      <c r="H125" s="40">
        <v>0</v>
      </c>
      <c r="I125" s="44">
        <v>0</v>
      </c>
      <c r="J125" s="42">
        <v>0</v>
      </c>
      <c r="K125" s="57" t="e">
        <v>#N/A</v>
      </c>
      <c r="L125" s="49">
        <v>3.3700000000000001E-2</v>
      </c>
    </row>
    <row r="126" spans="7:12" x14ac:dyDescent="0.35">
      <c r="G126" s="7">
        <v>102</v>
      </c>
      <c r="H126" s="40">
        <v>0</v>
      </c>
      <c r="I126" s="44">
        <v>0</v>
      </c>
      <c r="J126" s="42">
        <v>0</v>
      </c>
      <c r="K126" s="57" t="e">
        <v>#N/A</v>
      </c>
      <c r="L126" s="49">
        <v>3.3689999999999998E-2</v>
      </c>
    </row>
    <row r="127" spans="7:12" x14ac:dyDescent="0.35">
      <c r="G127" s="7">
        <v>103</v>
      </c>
      <c r="H127" s="40">
        <v>0</v>
      </c>
      <c r="I127" s="44">
        <v>0</v>
      </c>
      <c r="J127" s="42">
        <v>0</v>
      </c>
      <c r="K127" s="57" t="e">
        <v>#N/A</v>
      </c>
      <c r="L127" s="49">
        <v>3.3689999999999998E-2</v>
      </c>
    </row>
    <row r="128" spans="7:12" x14ac:dyDescent="0.35">
      <c r="G128" s="2">
        <v>104</v>
      </c>
      <c r="H128" s="40">
        <v>0</v>
      </c>
      <c r="I128" s="44">
        <v>0</v>
      </c>
      <c r="J128" s="42">
        <v>0</v>
      </c>
      <c r="K128" s="57" t="e">
        <v>#N/A</v>
      </c>
      <c r="L128" s="49">
        <v>3.3680000000000002E-2</v>
      </c>
    </row>
    <row r="129" spans="7:12" x14ac:dyDescent="0.35">
      <c r="G129" s="2">
        <v>105</v>
      </c>
      <c r="H129" s="40">
        <v>0</v>
      </c>
      <c r="I129" s="44">
        <v>0</v>
      </c>
      <c r="J129" s="42">
        <v>0</v>
      </c>
      <c r="K129" s="57" t="e">
        <v>#N/A</v>
      </c>
      <c r="L129" s="49">
        <v>3.3680000000000002E-2</v>
      </c>
    </row>
    <row r="130" spans="7:12" x14ac:dyDescent="0.35">
      <c r="G130" s="7">
        <v>106</v>
      </c>
      <c r="H130" s="40">
        <v>0</v>
      </c>
      <c r="I130" s="44">
        <v>0</v>
      </c>
      <c r="J130" s="42">
        <v>0</v>
      </c>
      <c r="K130" s="57" t="e">
        <v>#N/A</v>
      </c>
      <c r="L130" s="49">
        <v>3.3669999999999999E-2</v>
      </c>
    </row>
    <row r="131" spans="7:12" x14ac:dyDescent="0.35">
      <c r="G131" s="7">
        <v>107</v>
      </c>
      <c r="H131" s="40">
        <v>0</v>
      </c>
      <c r="I131" s="44">
        <v>0</v>
      </c>
      <c r="J131" s="42">
        <v>0</v>
      </c>
      <c r="K131" s="57" t="e">
        <v>#N/A</v>
      </c>
      <c r="L131" s="49">
        <v>3.3660000000000002E-2</v>
      </c>
    </row>
    <row r="132" spans="7:12" x14ac:dyDescent="0.35">
      <c r="G132" s="7">
        <v>108</v>
      </c>
      <c r="H132" s="40">
        <v>0</v>
      </c>
      <c r="I132" s="44">
        <v>0</v>
      </c>
      <c r="J132" s="42">
        <v>0</v>
      </c>
      <c r="K132" s="57" t="e">
        <v>#N/A</v>
      </c>
      <c r="L132" s="49">
        <v>3.3660000000000002E-2</v>
      </c>
    </row>
    <row r="133" spans="7:12" x14ac:dyDescent="0.35">
      <c r="G133" s="2">
        <v>109</v>
      </c>
      <c r="H133" s="40">
        <v>0</v>
      </c>
      <c r="I133" s="44">
        <v>0</v>
      </c>
      <c r="J133" s="42">
        <v>0</v>
      </c>
      <c r="K133" s="57" t="e">
        <v>#N/A</v>
      </c>
      <c r="L133" s="49">
        <v>3.3649999999999999E-2</v>
      </c>
    </row>
    <row r="134" spans="7:12" x14ac:dyDescent="0.35">
      <c r="G134" s="2">
        <v>110</v>
      </c>
      <c r="H134" s="40">
        <v>0</v>
      </c>
      <c r="I134" s="44">
        <v>0</v>
      </c>
      <c r="J134" s="42">
        <v>0</v>
      </c>
      <c r="K134" s="57" t="e">
        <v>#N/A</v>
      </c>
      <c r="L134" s="49">
        <v>3.3640000000000003E-2</v>
      </c>
    </row>
    <row r="135" spans="7:12" x14ac:dyDescent="0.35">
      <c r="G135" s="7">
        <v>111</v>
      </c>
      <c r="H135" s="40">
        <v>0</v>
      </c>
      <c r="I135" s="44">
        <v>0</v>
      </c>
      <c r="J135" s="42">
        <v>0</v>
      </c>
      <c r="K135" s="57" t="e">
        <v>#N/A</v>
      </c>
      <c r="L135" s="49">
        <v>3.3640000000000003E-2</v>
      </c>
    </row>
    <row r="136" spans="7:12" x14ac:dyDescent="0.35">
      <c r="G136" s="7">
        <v>112</v>
      </c>
      <c r="H136" s="40">
        <v>0</v>
      </c>
      <c r="I136" s="44">
        <v>0</v>
      </c>
      <c r="J136" s="42">
        <v>0</v>
      </c>
      <c r="K136" s="57" t="e">
        <v>#N/A</v>
      </c>
      <c r="L136" s="49">
        <v>3.363E-2</v>
      </c>
    </row>
    <row r="137" spans="7:12" x14ac:dyDescent="0.35">
      <c r="G137" s="7">
        <v>113</v>
      </c>
      <c r="H137" s="40">
        <v>0</v>
      </c>
      <c r="I137" s="44">
        <v>0</v>
      </c>
      <c r="J137" s="42">
        <v>0</v>
      </c>
      <c r="K137" s="57" t="e">
        <v>#N/A</v>
      </c>
      <c r="L137" s="49">
        <v>3.363E-2</v>
      </c>
    </row>
    <row r="138" spans="7:12" x14ac:dyDescent="0.35">
      <c r="G138" s="2">
        <v>114</v>
      </c>
      <c r="H138" s="40">
        <v>0</v>
      </c>
      <c r="I138" s="44">
        <v>0</v>
      </c>
      <c r="J138" s="42">
        <v>0</v>
      </c>
      <c r="K138" s="57" t="e">
        <v>#N/A</v>
      </c>
      <c r="L138" s="49">
        <v>3.3619999999999997E-2</v>
      </c>
    </row>
    <row r="139" spans="7:12" x14ac:dyDescent="0.35">
      <c r="G139" s="2">
        <v>115</v>
      </c>
      <c r="H139" s="40">
        <v>0</v>
      </c>
      <c r="I139" s="44">
        <v>0</v>
      </c>
      <c r="J139" s="42">
        <v>0</v>
      </c>
      <c r="K139" s="57" t="e">
        <v>#N/A</v>
      </c>
      <c r="L139" s="49">
        <v>3.3619999999999997E-2</v>
      </c>
    </row>
    <row r="140" spans="7:12" x14ac:dyDescent="0.35">
      <c r="G140" s="7">
        <v>116</v>
      </c>
      <c r="H140" s="40">
        <v>0</v>
      </c>
      <c r="I140" s="44">
        <v>0</v>
      </c>
      <c r="J140" s="42">
        <v>0</v>
      </c>
      <c r="K140" s="57" t="e">
        <v>#N/A</v>
      </c>
      <c r="L140" s="49">
        <v>3.3610000000000001E-2</v>
      </c>
    </row>
    <row r="141" spans="7:12" x14ac:dyDescent="0.35">
      <c r="G141" s="7">
        <v>117</v>
      </c>
      <c r="H141" s="40">
        <v>0</v>
      </c>
      <c r="I141" s="44">
        <v>0</v>
      </c>
      <c r="J141" s="42">
        <v>0</v>
      </c>
      <c r="K141" s="57" t="e">
        <v>#N/A</v>
      </c>
      <c r="L141" s="49">
        <v>3.3610000000000001E-2</v>
      </c>
    </row>
    <row r="142" spans="7:12" x14ac:dyDescent="0.35">
      <c r="G142" s="7">
        <v>118</v>
      </c>
      <c r="H142" s="40">
        <v>0</v>
      </c>
      <c r="I142" s="44">
        <v>0</v>
      </c>
      <c r="J142" s="42">
        <v>0</v>
      </c>
      <c r="K142" s="57" t="e">
        <v>#N/A</v>
      </c>
      <c r="L142" s="49">
        <v>3.3599999999999998E-2</v>
      </c>
    </row>
    <row r="143" spans="7:12" x14ac:dyDescent="0.35">
      <c r="G143" s="2">
        <v>119</v>
      </c>
      <c r="H143" s="40">
        <v>0</v>
      </c>
      <c r="I143" s="44">
        <v>0</v>
      </c>
      <c r="J143" s="42">
        <v>0</v>
      </c>
      <c r="K143" s="57" t="e">
        <v>#N/A</v>
      </c>
      <c r="L143" s="49">
        <v>3.3599999999999998E-2</v>
      </c>
    </row>
    <row r="144" spans="7:12" x14ac:dyDescent="0.35">
      <c r="G144" s="2">
        <v>120</v>
      </c>
      <c r="H144" s="40">
        <v>0</v>
      </c>
      <c r="I144" s="44">
        <v>0</v>
      </c>
      <c r="J144" s="42">
        <v>0</v>
      </c>
      <c r="K144" s="57" t="e">
        <v>#N/A</v>
      </c>
      <c r="L144" s="49">
        <v>3.3590000000000002E-2</v>
      </c>
    </row>
    <row r="145" spans="7:12" x14ac:dyDescent="0.35">
      <c r="G145" s="7">
        <v>121</v>
      </c>
      <c r="H145" s="40">
        <v>0</v>
      </c>
      <c r="I145" s="44">
        <v>0</v>
      </c>
      <c r="J145" s="42">
        <v>0</v>
      </c>
      <c r="K145" s="57" t="e">
        <v>#N/A</v>
      </c>
      <c r="L145" s="49">
        <v>3.3590000000000002E-2</v>
      </c>
    </row>
    <row r="146" spans="7:12" x14ac:dyDescent="0.35">
      <c r="G146" s="7">
        <v>122</v>
      </c>
      <c r="H146" s="40">
        <v>0</v>
      </c>
      <c r="I146" s="44">
        <v>0</v>
      </c>
      <c r="J146" s="42">
        <v>0</v>
      </c>
      <c r="K146" s="57" t="e">
        <v>#N/A</v>
      </c>
      <c r="L146" s="49">
        <v>3.3579999999999999E-2</v>
      </c>
    </row>
    <row r="147" spans="7:12" x14ac:dyDescent="0.35">
      <c r="G147" s="7">
        <v>123</v>
      </c>
      <c r="H147" s="40">
        <v>0</v>
      </c>
      <c r="I147" s="44">
        <v>0</v>
      </c>
      <c r="J147" s="42">
        <v>0</v>
      </c>
      <c r="K147" s="57" t="e">
        <v>#N/A</v>
      </c>
      <c r="L147" s="49">
        <v>3.3579999999999999E-2</v>
      </c>
    </row>
    <row r="148" spans="7:12" x14ac:dyDescent="0.35">
      <c r="G148" s="2">
        <v>124</v>
      </c>
      <c r="H148" s="40">
        <v>0</v>
      </c>
      <c r="I148" s="44">
        <v>0</v>
      </c>
      <c r="J148" s="42">
        <v>0</v>
      </c>
      <c r="K148" s="57" t="e">
        <v>#N/A</v>
      </c>
      <c r="L148" s="49">
        <v>3.3570000000000003E-2</v>
      </c>
    </row>
    <row r="149" spans="7:12" x14ac:dyDescent="0.35">
      <c r="G149" s="2">
        <v>125</v>
      </c>
      <c r="H149" s="40">
        <v>0</v>
      </c>
      <c r="I149" s="44">
        <v>0</v>
      </c>
      <c r="J149" s="42">
        <v>0</v>
      </c>
      <c r="K149" s="57" t="e">
        <v>#N/A</v>
      </c>
      <c r="L149" s="49">
        <v>3.3570000000000003E-2</v>
      </c>
    </row>
    <row r="150" spans="7:12" x14ac:dyDescent="0.35">
      <c r="G150" s="7">
        <v>126</v>
      </c>
      <c r="H150" s="40">
        <v>0</v>
      </c>
      <c r="I150" s="44">
        <v>0</v>
      </c>
      <c r="J150" s="42">
        <v>0</v>
      </c>
      <c r="K150" s="57" t="e">
        <v>#N/A</v>
      </c>
      <c r="L150" s="49">
        <v>3.356E-2</v>
      </c>
    </row>
    <row r="151" spans="7:12" x14ac:dyDescent="0.35">
      <c r="G151" s="7">
        <v>127</v>
      </c>
      <c r="H151" s="40">
        <v>0</v>
      </c>
      <c r="I151" s="44">
        <v>0</v>
      </c>
      <c r="J151" s="42">
        <v>0</v>
      </c>
      <c r="K151" s="57" t="e">
        <v>#N/A</v>
      </c>
      <c r="L151" s="49">
        <v>3.356E-2</v>
      </c>
    </row>
    <row r="152" spans="7:12" x14ac:dyDescent="0.35">
      <c r="G152" s="7">
        <v>128</v>
      </c>
      <c r="H152" s="40">
        <v>0</v>
      </c>
      <c r="I152" s="44">
        <v>0</v>
      </c>
      <c r="J152" s="42">
        <v>0</v>
      </c>
      <c r="K152" s="57" t="e">
        <v>#N/A</v>
      </c>
      <c r="L152" s="49">
        <v>3.3550000000000003E-2</v>
      </c>
    </row>
    <row r="153" spans="7:12" x14ac:dyDescent="0.35">
      <c r="G153" s="2">
        <v>129</v>
      </c>
      <c r="H153" s="40">
        <v>0</v>
      </c>
      <c r="I153" s="44">
        <v>0</v>
      </c>
      <c r="J153" s="42">
        <v>0</v>
      </c>
      <c r="K153" s="57" t="e">
        <v>#N/A</v>
      </c>
      <c r="L153" s="49">
        <v>3.3550000000000003E-2</v>
      </c>
    </row>
    <row r="154" spans="7:12" x14ac:dyDescent="0.35">
      <c r="G154" s="2">
        <v>130</v>
      </c>
      <c r="H154" s="40">
        <v>0</v>
      </c>
      <c r="I154" s="44">
        <v>0</v>
      </c>
      <c r="J154" s="42">
        <v>0</v>
      </c>
      <c r="K154" s="57" t="e">
        <v>#N/A</v>
      </c>
      <c r="L154" s="49">
        <v>3.3550000000000003E-2</v>
      </c>
    </row>
    <row r="155" spans="7:12" x14ac:dyDescent="0.35">
      <c r="G155" s="7">
        <v>131</v>
      </c>
      <c r="H155" s="40">
        <v>0</v>
      </c>
      <c r="I155" s="44">
        <v>0</v>
      </c>
      <c r="J155" s="42">
        <v>0</v>
      </c>
      <c r="K155" s="57" t="e">
        <v>#N/A</v>
      </c>
      <c r="L155" s="49">
        <v>3.354E-2</v>
      </c>
    </row>
    <row r="156" spans="7:12" x14ac:dyDescent="0.35">
      <c r="G156" s="7">
        <v>132</v>
      </c>
      <c r="H156" s="40">
        <v>0</v>
      </c>
      <c r="I156" s="44">
        <v>0</v>
      </c>
      <c r="J156" s="42">
        <v>0</v>
      </c>
      <c r="K156" s="57" t="e">
        <v>#N/A</v>
      </c>
      <c r="L156" s="49">
        <v>3.354E-2</v>
      </c>
    </row>
    <row r="157" spans="7:12" x14ac:dyDescent="0.35">
      <c r="G157" s="7">
        <v>133</v>
      </c>
      <c r="H157" s="40">
        <v>0</v>
      </c>
      <c r="I157" s="44">
        <v>0</v>
      </c>
      <c r="J157" s="42">
        <v>0</v>
      </c>
      <c r="K157" s="57" t="e">
        <v>#N/A</v>
      </c>
      <c r="L157" s="49">
        <v>3.3529999999999997E-2</v>
      </c>
    </row>
    <row r="158" spans="7:12" x14ac:dyDescent="0.35">
      <c r="G158" s="2">
        <v>134</v>
      </c>
      <c r="H158" s="40">
        <v>0</v>
      </c>
      <c r="I158" s="44">
        <v>0</v>
      </c>
      <c r="J158" s="42">
        <v>0</v>
      </c>
      <c r="K158" s="57" t="e">
        <v>#N/A</v>
      </c>
      <c r="L158" s="49">
        <v>3.3529999999999997E-2</v>
      </c>
    </row>
    <row r="159" spans="7:12" x14ac:dyDescent="0.35">
      <c r="G159" s="2">
        <v>135</v>
      </c>
      <c r="H159" s="40">
        <v>0</v>
      </c>
      <c r="I159" s="44">
        <v>0</v>
      </c>
      <c r="J159" s="42">
        <v>0</v>
      </c>
      <c r="K159" s="57" t="e">
        <v>#N/A</v>
      </c>
      <c r="L159" s="49">
        <v>3.3529999999999997E-2</v>
      </c>
    </row>
    <row r="160" spans="7:12" x14ac:dyDescent="0.35">
      <c r="G160" s="7">
        <v>136</v>
      </c>
      <c r="H160" s="40">
        <v>0</v>
      </c>
      <c r="I160" s="44">
        <v>0</v>
      </c>
      <c r="J160" s="42">
        <v>0</v>
      </c>
      <c r="K160" s="57" t="e">
        <v>#N/A</v>
      </c>
      <c r="L160" s="49">
        <v>3.3520000000000001E-2</v>
      </c>
    </row>
    <row r="161" spans="7:12" x14ac:dyDescent="0.35">
      <c r="G161" s="7">
        <v>137</v>
      </c>
      <c r="H161" s="40">
        <v>0</v>
      </c>
      <c r="I161" s="44">
        <v>0</v>
      </c>
      <c r="J161" s="42">
        <v>0</v>
      </c>
      <c r="K161" s="57" t="e">
        <v>#N/A</v>
      </c>
      <c r="L161" s="49">
        <v>3.3520000000000001E-2</v>
      </c>
    </row>
    <row r="162" spans="7:12" x14ac:dyDescent="0.35">
      <c r="G162" s="7">
        <v>138</v>
      </c>
      <c r="H162" s="40">
        <v>0</v>
      </c>
      <c r="I162" s="44">
        <v>0</v>
      </c>
      <c r="J162" s="42">
        <v>0</v>
      </c>
      <c r="K162" s="57" t="e">
        <v>#N/A</v>
      </c>
      <c r="L162" s="49">
        <v>3.3509999999999998E-2</v>
      </c>
    </row>
    <row r="163" spans="7:12" x14ac:dyDescent="0.35">
      <c r="G163" s="2">
        <v>139</v>
      </c>
      <c r="H163" s="40">
        <v>0</v>
      </c>
      <c r="I163" s="44">
        <v>0</v>
      </c>
      <c r="J163" s="42">
        <v>0</v>
      </c>
      <c r="K163" s="57" t="e">
        <v>#N/A</v>
      </c>
      <c r="L163" s="49">
        <v>3.3509999999999998E-2</v>
      </c>
    </row>
    <row r="164" spans="7:12" x14ac:dyDescent="0.35">
      <c r="G164" s="2">
        <v>140</v>
      </c>
      <c r="H164" s="40">
        <v>0</v>
      </c>
      <c r="I164" s="44">
        <v>0</v>
      </c>
      <c r="J164" s="42">
        <v>0</v>
      </c>
      <c r="K164" s="57" t="e">
        <v>#N/A</v>
      </c>
      <c r="L164" s="49">
        <v>3.3509999999999998E-2</v>
      </c>
    </row>
    <row r="165" spans="7:12" x14ac:dyDescent="0.35">
      <c r="G165" s="7">
        <v>141</v>
      </c>
      <c r="H165" s="40">
        <v>0</v>
      </c>
      <c r="I165" s="44">
        <v>0</v>
      </c>
      <c r="J165" s="42">
        <v>0</v>
      </c>
      <c r="K165" s="57" t="e">
        <v>#N/A</v>
      </c>
      <c r="L165" s="49">
        <v>3.3500000000000002E-2</v>
      </c>
    </row>
    <row r="166" spans="7:12" x14ac:dyDescent="0.35">
      <c r="G166" s="7">
        <v>142</v>
      </c>
      <c r="H166" s="40">
        <v>0</v>
      </c>
      <c r="I166" s="44">
        <v>0</v>
      </c>
      <c r="J166" s="42">
        <v>0</v>
      </c>
      <c r="K166" s="57" t="e">
        <v>#N/A</v>
      </c>
      <c r="L166" s="49">
        <v>3.3500000000000002E-2</v>
      </c>
    </row>
    <row r="167" spans="7:12" x14ac:dyDescent="0.35">
      <c r="G167" s="7">
        <v>143</v>
      </c>
      <c r="H167" s="40">
        <v>0</v>
      </c>
      <c r="I167" s="44">
        <v>0</v>
      </c>
      <c r="J167" s="42">
        <v>0</v>
      </c>
      <c r="K167" s="57" t="e">
        <v>#N/A</v>
      </c>
      <c r="L167" s="49">
        <v>3.3500000000000002E-2</v>
      </c>
    </row>
    <row r="168" spans="7:12" x14ac:dyDescent="0.35">
      <c r="G168" s="2">
        <v>144</v>
      </c>
      <c r="H168" s="40">
        <v>0</v>
      </c>
      <c r="I168" s="44">
        <v>0</v>
      </c>
      <c r="J168" s="42">
        <v>0</v>
      </c>
      <c r="K168" s="57" t="e">
        <v>#N/A</v>
      </c>
      <c r="L168" s="49">
        <v>3.3489999999999999E-2</v>
      </c>
    </row>
    <row r="169" spans="7:12" x14ac:dyDescent="0.35">
      <c r="G169" s="2">
        <v>145</v>
      </c>
      <c r="H169" s="40">
        <v>0</v>
      </c>
      <c r="I169" s="44">
        <v>0</v>
      </c>
      <c r="J169" s="42">
        <v>0</v>
      </c>
      <c r="K169" s="57" t="e">
        <v>#N/A</v>
      </c>
      <c r="L169" s="49">
        <v>3.3489999999999999E-2</v>
      </c>
    </row>
    <row r="170" spans="7:12" x14ac:dyDescent="0.35">
      <c r="G170" s="7">
        <v>146</v>
      </c>
      <c r="H170" s="40">
        <v>0</v>
      </c>
      <c r="I170" s="44">
        <v>0</v>
      </c>
      <c r="J170" s="42">
        <v>0</v>
      </c>
      <c r="K170" s="57" t="e">
        <v>#N/A</v>
      </c>
      <c r="L170" s="49">
        <v>3.3489999999999999E-2</v>
      </c>
    </row>
    <row r="171" spans="7:12" x14ac:dyDescent="0.35">
      <c r="G171" s="7">
        <v>147</v>
      </c>
      <c r="H171" s="40">
        <v>0</v>
      </c>
      <c r="I171" s="44">
        <v>0</v>
      </c>
      <c r="J171" s="42">
        <v>0</v>
      </c>
      <c r="K171" s="57" t="e">
        <v>#N/A</v>
      </c>
      <c r="L171" s="49">
        <v>3.3480000000000003E-2</v>
      </c>
    </row>
    <row r="172" spans="7:12" x14ac:dyDescent="0.35">
      <c r="G172" s="7">
        <v>148</v>
      </c>
      <c r="H172" s="40">
        <v>0</v>
      </c>
      <c r="I172" s="44">
        <v>0</v>
      </c>
      <c r="J172" s="42">
        <v>0</v>
      </c>
      <c r="K172" s="57" t="e">
        <v>#N/A</v>
      </c>
      <c r="L172" s="49">
        <v>3.3480000000000003E-2</v>
      </c>
    </row>
    <row r="173" spans="7:12" x14ac:dyDescent="0.35">
      <c r="G173" s="2">
        <v>149</v>
      </c>
      <c r="H173" s="40">
        <v>0</v>
      </c>
      <c r="I173" s="44">
        <v>0</v>
      </c>
      <c r="J173" s="42">
        <v>0</v>
      </c>
      <c r="K173" s="57" t="e">
        <v>#N/A</v>
      </c>
      <c r="L173" s="49">
        <v>3.3480000000000003E-2</v>
      </c>
    </row>
    <row r="174" spans="7:12" x14ac:dyDescent="0.35">
      <c r="G174" s="2">
        <v>150</v>
      </c>
      <c r="H174" s="40">
        <v>0</v>
      </c>
      <c r="I174" s="44">
        <v>0</v>
      </c>
      <c r="J174" s="42">
        <v>0</v>
      </c>
      <c r="K174" s="57" t="e">
        <v>#N/A</v>
      </c>
      <c r="L174" s="50">
        <v>3.347E-2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4.2373813959901821E-2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3.261E-2</v>
      </c>
      <c r="I24" s="29">
        <f>LN(1+H24)</f>
        <v>3.2089577708597508E-2</v>
      </c>
      <c r="J24" s="29">
        <f>I24</f>
        <v>3.2089577708597508E-2</v>
      </c>
      <c r="K24" s="29">
        <f t="shared" ref="K24:K55" si="0">J24+LN(1+V.NOTIONAL_VA)</f>
        <v>4.0553656120726873E-2</v>
      </c>
      <c r="L24" s="30" cm="1">
        <f t="array" ref="L24:L173">ROUND(Extrapolation(R.NOTIONAL_VA_CURVE,"F", V.FSP,V.UFR,V.NOTIONAL_VA_LLFR,V.ALPHA,"A"), 5)</f>
        <v>4.1390000000000003E-2</v>
      </c>
    </row>
    <row r="25" spans="6:14" x14ac:dyDescent="0.35">
      <c r="G25" s="7">
        <v>2</v>
      </c>
      <c r="H25" s="24">
        <v>3.4290000000000001E-2</v>
      </c>
      <c r="I25" s="29">
        <f t="shared" ref="I25:I88" si="1">LN(1+H25)</f>
        <v>3.3715200980135585E-2</v>
      </c>
      <c r="J25" s="29">
        <f>G25*I25-G24*I24</f>
        <v>3.5340824251673661E-2</v>
      </c>
      <c r="K25" s="29">
        <f t="shared" si="0"/>
        <v>4.3804902663803026E-2</v>
      </c>
      <c r="L25" s="31">
        <v>4.308E-2</v>
      </c>
    </row>
    <row r="26" spans="6:14" x14ac:dyDescent="0.35">
      <c r="G26" s="7">
        <v>3</v>
      </c>
      <c r="H26" s="24">
        <v>3.4599999999999999E-2</v>
      </c>
      <c r="I26" s="29">
        <f t="shared" si="1"/>
        <v>3.4014878587277621E-2</v>
      </c>
      <c r="J26" s="29">
        <f t="shared" ref="J26:J89" si="2">G26*I26-G25*I25</f>
        <v>3.46142338015617E-2</v>
      </c>
      <c r="K26" s="29">
        <f t="shared" si="0"/>
        <v>4.3078312213691065E-2</v>
      </c>
      <c r="L26" s="31">
        <v>4.3389999999999998E-2</v>
      </c>
    </row>
    <row r="27" spans="6:14" x14ac:dyDescent="0.35">
      <c r="G27" s="2">
        <v>4</v>
      </c>
      <c r="H27" s="25">
        <v>3.4720000000000001E-2</v>
      </c>
      <c r="I27" s="29">
        <f t="shared" si="1"/>
        <v>3.4130858716145684E-2</v>
      </c>
      <c r="J27" s="29">
        <f t="shared" si="2"/>
        <v>3.4478799102749869E-2</v>
      </c>
      <c r="K27" s="29">
        <f t="shared" si="0"/>
        <v>4.2942877514879234E-2</v>
      </c>
      <c r="L27" s="31">
        <v>4.3520000000000003E-2</v>
      </c>
    </row>
    <row r="28" spans="6:14" x14ac:dyDescent="0.35">
      <c r="G28" s="2">
        <v>5</v>
      </c>
      <c r="H28" s="25">
        <v>3.4779999999999998E-2</v>
      </c>
      <c r="I28" s="29">
        <f t="shared" si="1"/>
        <v>3.4188843736698241E-2</v>
      </c>
      <c r="J28" s="29">
        <f t="shared" si="2"/>
        <v>3.4420783818908451E-2</v>
      </c>
      <c r="K28" s="29">
        <f t="shared" si="0"/>
        <v>4.2884862231037817E-2</v>
      </c>
      <c r="L28" s="31">
        <v>4.3580000000000001E-2</v>
      </c>
    </row>
    <row r="29" spans="6:14" x14ac:dyDescent="0.35">
      <c r="G29" s="7">
        <v>6</v>
      </c>
      <c r="H29" s="24">
        <v>3.4869999999999998E-2</v>
      </c>
      <c r="I29" s="29">
        <f t="shared" si="1"/>
        <v>3.427581496377205E-2</v>
      </c>
      <c r="J29" s="29">
        <f t="shared" si="2"/>
        <v>3.471067109914111E-2</v>
      </c>
      <c r="K29" s="29">
        <f t="shared" si="0"/>
        <v>4.3174749511270476E-2</v>
      </c>
      <c r="L29" s="31">
        <v>4.367E-2</v>
      </c>
    </row>
    <row r="30" spans="6:14" x14ac:dyDescent="0.35">
      <c r="G30" s="7">
        <v>7</v>
      </c>
      <c r="H30" s="24">
        <v>3.5020000000000003E-2</v>
      </c>
      <c r="I30" s="29">
        <f t="shared" si="1"/>
        <v>3.4420750202130299E-2</v>
      </c>
      <c r="J30" s="29">
        <f t="shared" si="2"/>
        <v>3.5290361632279776E-2</v>
      </c>
      <c r="K30" s="29">
        <f t="shared" si="0"/>
        <v>4.3754440044409142E-2</v>
      </c>
      <c r="L30" s="31">
        <v>4.3819999999999998E-2</v>
      </c>
    </row>
    <row r="31" spans="6:14" x14ac:dyDescent="0.35">
      <c r="G31" s="7">
        <v>8</v>
      </c>
      <c r="H31" s="24">
        <v>3.5220000000000001E-2</v>
      </c>
      <c r="I31" s="29">
        <f t="shared" si="1"/>
        <v>3.4613964516047688E-2</v>
      </c>
      <c r="J31" s="29">
        <f t="shared" si="2"/>
        <v>3.5966464713469426E-2</v>
      </c>
      <c r="K31" s="29">
        <f t="shared" si="0"/>
        <v>4.4430543125598791E-2</v>
      </c>
      <c r="L31" s="31">
        <v>4.4019999999999997E-2</v>
      </c>
    </row>
    <row r="32" spans="6:14" x14ac:dyDescent="0.35">
      <c r="G32" s="2">
        <v>9</v>
      </c>
      <c r="H32" s="25">
        <v>3.5430000000000003E-2</v>
      </c>
      <c r="I32" s="29">
        <f t="shared" si="1"/>
        <v>3.4816799375362424E-2</v>
      </c>
      <c r="J32" s="29">
        <f t="shared" si="2"/>
        <v>3.6439478249880308E-2</v>
      </c>
      <c r="K32" s="29">
        <f t="shared" si="0"/>
        <v>4.4903556662009673E-2</v>
      </c>
      <c r="L32" s="31">
        <v>4.4229999999999998E-2</v>
      </c>
    </row>
    <row r="33" spans="7:12" x14ac:dyDescent="0.35">
      <c r="G33" s="2">
        <v>10</v>
      </c>
      <c r="H33" s="25">
        <v>3.567E-2</v>
      </c>
      <c r="I33" s="29">
        <f t="shared" si="1"/>
        <v>3.5048560276404656E-2</v>
      </c>
      <c r="J33" s="29">
        <f t="shared" si="2"/>
        <v>3.7134408385784745E-2</v>
      </c>
      <c r="K33" s="29">
        <f t="shared" si="0"/>
        <v>4.559848679791411E-2</v>
      </c>
      <c r="L33" s="31">
        <v>4.4470000000000003E-2</v>
      </c>
    </row>
    <row r="34" spans="7:12" x14ac:dyDescent="0.35">
      <c r="G34" s="7">
        <v>11</v>
      </c>
      <c r="H34" s="24">
        <v>3.5869999999999999E-2</v>
      </c>
      <c r="I34" s="29">
        <f t="shared" si="1"/>
        <v>3.5241653338205434E-2</v>
      </c>
      <c r="J34" s="29">
        <f t="shared" si="2"/>
        <v>3.7172583956213201E-2</v>
      </c>
      <c r="K34" s="29">
        <f t="shared" si="0"/>
        <v>4.5636662368342566E-2</v>
      </c>
      <c r="L34" s="31">
        <v>4.4670000000000001E-2</v>
      </c>
    </row>
    <row r="35" spans="7:12" x14ac:dyDescent="0.35">
      <c r="G35" s="7">
        <v>12</v>
      </c>
      <c r="H35" s="24">
        <v>3.6060000000000002E-2</v>
      </c>
      <c r="I35" s="29">
        <f t="shared" si="1"/>
        <v>3.5425057218194139E-2</v>
      </c>
      <c r="J35" s="29">
        <f t="shared" si="2"/>
        <v>3.7442499898069914E-2</v>
      </c>
      <c r="K35" s="29">
        <f t="shared" si="0"/>
        <v>4.5906578310199279E-2</v>
      </c>
      <c r="L35" s="31">
        <v>4.487E-2</v>
      </c>
    </row>
    <row r="36" spans="7:12" x14ac:dyDescent="0.35">
      <c r="G36" s="7">
        <v>13</v>
      </c>
      <c r="H36" s="24">
        <v>3.6200000000000003E-2</v>
      </c>
      <c r="I36" s="29">
        <f t="shared" si="1"/>
        <v>3.5560175398550879E-2</v>
      </c>
      <c r="J36" s="29">
        <f t="shared" si="2"/>
        <v>3.7181593562831738E-2</v>
      </c>
      <c r="K36" s="29">
        <f t="shared" si="0"/>
        <v>4.5645671974961104E-2</v>
      </c>
      <c r="L36" s="31">
        <v>4.5010000000000001E-2</v>
      </c>
    </row>
    <row r="37" spans="7:12" x14ac:dyDescent="0.35">
      <c r="G37" s="2">
        <v>14</v>
      </c>
      <c r="H37" s="25">
        <v>3.6290000000000003E-2</v>
      </c>
      <c r="I37" s="29">
        <f t="shared" si="1"/>
        <v>3.5647027446142419E-2</v>
      </c>
      <c r="J37" s="29">
        <f t="shared" si="2"/>
        <v>3.6776104064832449E-2</v>
      </c>
      <c r="K37" s="29">
        <f t="shared" si="0"/>
        <v>4.5240182476961814E-2</v>
      </c>
      <c r="L37" s="31">
        <v>4.5100000000000001E-2</v>
      </c>
    </row>
    <row r="38" spans="7:12" x14ac:dyDescent="0.35">
      <c r="G38" s="2">
        <v>15</v>
      </c>
      <c r="H38" s="25">
        <v>3.6330000000000001E-2</v>
      </c>
      <c r="I38" s="29">
        <f t="shared" si="1"/>
        <v>3.568562593501641E-2</v>
      </c>
      <c r="J38" s="29">
        <f t="shared" si="2"/>
        <v>3.6226004779252252E-2</v>
      </c>
      <c r="K38" s="29">
        <f t="shared" si="0"/>
        <v>4.4690083191381617E-2</v>
      </c>
      <c r="L38" s="31">
        <v>4.514E-2</v>
      </c>
    </row>
    <row r="39" spans="7:12" x14ac:dyDescent="0.35">
      <c r="G39" s="7">
        <v>16</v>
      </c>
      <c r="H39" s="24">
        <v>3.6209999999999999E-2</v>
      </c>
      <c r="I39" s="29">
        <f t="shared" si="1"/>
        <v>3.5569825998577068E-2</v>
      </c>
      <c r="J39" s="29">
        <f t="shared" si="2"/>
        <v>3.3832826951986972E-2</v>
      </c>
      <c r="K39" s="29">
        <f t="shared" si="0"/>
        <v>4.2296905364116337E-2</v>
      </c>
      <c r="L39" s="31">
        <v>4.5019999999999998E-2</v>
      </c>
    </row>
    <row r="40" spans="7:12" x14ac:dyDescent="0.35">
      <c r="G40" s="7">
        <v>17</v>
      </c>
      <c r="H40" s="24">
        <v>3.6110000000000003E-2</v>
      </c>
      <c r="I40" s="29">
        <f t="shared" si="1"/>
        <v>3.5473315807025951E-2</v>
      </c>
      <c r="J40" s="29">
        <f t="shared" si="2"/>
        <v>3.3929152742208091E-2</v>
      </c>
      <c r="K40" s="29">
        <f t="shared" si="0"/>
        <v>4.2393231154337456E-2</v>
      </c>
      <c r="L40" s="31">
        <v>4.4920000000000002E-2</v>
      </c>
    </row>
    <row r="41" spans="7:12" x14ac:dyDescent="0.35">
      <c r="G41" s="7">
        <v>18</v>
      </c>
      <c r="H41" s="24">
        <v>3.6020000000000003E-2</v>
      </c>
      <c r="I41" s="29">
        <f t="shared" si="1"/>
        <v>3.5386448670256788E-2</v>
      </c>
      <c r="J41" s="29">
        <f t="shared" si="2"/>
        <v>3.3909707345181062E-2</v>
      </c>
      <c r="K41" s="29">
        <f t="shared" si="0"/>
        <v>4.2373785757310427E-2</v>
      </c>
      <c r="L41" s="31">
        <v>4.4830000000000002E-2</v>
      </c>
    </row>
    <row r="42" spans="7:12" x14ac:dyDescent="0.35">
      <c r="G42" s="2">
        <v>19</v>
      </c>
      <c r="H42" s="25">
        <v>3.594E-2</v>
      </c>
      <c r="I42" s="29">
        <f t="shared" si="1"/>
        <v>3.5309227102234615E-2</v>
      </c>
      <c r="J42" s="29">
        <f t="shared" si="2"/>
        <v>3.3919238877835434E-2</v>
      </c>
      <c r="K42" s="29">
        <f t="shared" si="0"/>
        <v>4.2383317289964799E-2</v>
      </c>
      <c r="L42" s="31">
        <v>4.4749999999999998E-2</v>
      </c>
    </row>
    <row r="43" spans="7:12" x14ac:dyDescent="0.35">
      <c r="G43" s="2">
        <v>20</v>
      </c>
      <c r="H43" s="25">
        <v>3.5869999999999999E-2</v>
      </c>
      <c r="I43" s="29">
        <f t="shared" si="1"/>
        <v>3.5241653338205434E-2</v>
      </c>
      <c r="J43" s="29">
        <f t="shared" si="2"/>
        <v>3.3957751821651061E-2</v>
      </c>
      <c r="K43" s="29">
        <f t="shared" si="0"/>
        <v>4.2421830233780426E-2</v>
      </c>
      <c r="L43" s="31">
        <v>4.4670000000000001E-2</v>
      </c>
    </row>
    <row r="44" spans="7:12" x14ac:dyDescent="0.35">
      <c r="G44" s="7">
        <v>21</v>
      </c>
      <c r="H44" s="24">
        <v>3.5799999999999998E-2</v>
      </c>
      <c r="I44" s="29">
        <f t="shared" si="1"/>
        <v>3.5174075007654085E-2</v>
      </c>
      <c r="J44" s="29">
        <f t="shared" si="2"/>
        <v>3.3822508396627038E-2</v>
      </c>
      <c r="K44" s="29">
        <f t="shared" si="0"/>
        <v>4.2286586808756403E-2</v>
      </c>
      <c r="L44" s="31">
        <v>4.4580000000000002E-2</v>
      </c>
    </row>
    <row r="45" spans="7:12" x14ac:dyDescent="0.35">
      <c r="G45" s="7">
        <v>22</v>
      </c>
      <c r="H45" s="24">
        <v>3.5729999999999998E-2</v>
      </c>
      <c r="I45" s="29">
        <f t="shared" si="1"/>
        <v>3.510649210996334E-2</v>
      </c>
      <c r="J45" s="29">
        <f t="shared" si="2"/>
        <v>3.3687251258457729E-2</v>
      </c>
      <c r="K45" s="29">
        <f t="shared" si="0"/>
        <v>4.2151329670587094E-2</v>
      </c>
      <c r="L45" s="31">
        <v>4.4450000000000003E-2</v>
      </c>
    </row>
    <row r="46" spans="7:12" x14ac:dyDescent="0.35">
      <c r="G46" s="7">
        <v>23</v>
      </c>
      <c r="H46" s="24">
        <v>3.5659999999999997E-2</v>
      </c>
      <c r="I46" s="29">
        <f t="shared" si="1"/>
        <v>3.5038904644515825E-2</v>
      </c>
      <c r="J46" s="29">
        <f t="shared" si="2"/>
        <v>3.3551980404670445E-2</v>
      </c>
      <c r="K46" s="29">
        <f t="shared" si="0"/>
        <v>4.201605881679981E-2</v>
      </c>
      <c r="L46" s="31">
        <v>4.4290000000000003E-2</v>
      </c>
    </row>
    <row r="47" spans="7:12" x14ac:dyDescent="0.35">
      <c r="G47" s="2">
        <v>24</v>
      </c>
      <c r="H47" s="25">
        <v>3.5589999999999997E-2</v>
      </c>
      <c r="I47" s="29">
        <f t="shared" si="1"/>
        <v>3.4971312610694062E-2</v>
      </c>
      <c r="J47" s="29">
        <f t="shared" si="2"/>
        <v>3.3416695832793608E-2</v>
      </c>
      <c r="K47" s="29">
        <f t="shared" si="0"/>
        <v>4.1880774244922973E-2</v>
      </c>
      <c r="L47" s="31">
        <v>4.4110000000000003E-2</v>
      </c>
    </row>
    <row r="48" spans="7:12" x14ac:dyDescent="0.35">
      <c r="G48" s="2">
        <v>25</v>
      </c>
      <c r="H48" s="25">
        <v>3.5529999999999999E-2</v>
      </c>
      <c r="I48" s="29">
        <f t="shared" si="1"/>
        <v>3.4913372945182902E-2</v>
      </c>
      <c r="J48" s="29">
        <f t="shared" si="2"/>
        <v>3.3522820972915035E-2</v>
      </c>
      <c r="K48" s="29">
        <f t="shared" si="0"/>
        <v>4.19868993850444E-2</v>
      </c>
      <c r="L48" s="31">
        <v>4.3920000000000001E-2</v>
      </c>
    </row>
    <row r="49" spans="7:12" x14ac:dyDescent="0.35">
      <c r="G49" s="7">
        <v>26</v>
      </c>
      <c r="H49" s="24">
        <v>3.5459999999999998E-2</v>
      </c>
      <c r="I49" s="29">
        <f t="shared" si="1"/>
        <v>3.4845772425598866E-2</v>
      </c>
      <c r="J49" s="29">
        <f t="shared" si="2"/>
        <v>3.3155759435997911E-2</v>
      </c>
      <c r="K49" s="29">
        <f t="shared" si="0"/>
        <v>4.1619837848127277E-2</v>
      </c>
      <c r="L49" s="31">
        <v>4.3709999999999999E-2</v>
      </c>
    </row>
    <row r="50" spans="7:12" x14ac:dyDescent="0.35">
      <c r="G50" s="7">
        <v>27</v>
      </c>
      <c r="H50" s="24">
        <v>3.5400000000000001E-2</v>
      </c>
      <c r="I50" s="29">
        <f t="shared" si="1"/>
        <v>3.4787825485664024E-2</v>
      </c>
      <c r="J50" s="29">
        <f t="shared" si="2"/>
        <v>3.3281205047358209E-2</v>
      </c>
      <c r="K50" s="29">
        <f t="shared" si="0"/>
        <v>4.1745283459487574E-2</v>
      </c>
      <c r="L50" s="31">
        <v>4.3499999999999997E-2</v>
      </c>
    </row>
    <row r="51" spans="7:12" x14ac:dyDescent="0.35">
      <c r="G51" s="7">
        <v>28</v>
      </c>
      <c r="H51" s="24">
        <v>3.533E-2</v>
      </c>
      <c r="I51" s="29">
        <f t="shared" si="1"/>
        <v>3.4720216478186773E-2</v>
      </c>
      <c r="J51" s="29">
        <f t="shared" si="2"/>
        <v>3.289477327630097E-2</v>
      </c>
      <c r="K51" s="29">
        <f t="shared" si="0"/>
        <v>4.1358851688430336E-2</v>
      </c>
      <c r="L51" s="31">
        <v>4.3290000000000002E-2</v>
      </c>
    </row>
    <row r="52" spans="7:12" x14ac:dyDescent="0.35">
      <c r="G52" s="2">
        <v>29</v>
      </c>
      <c r="H52" s="25">
        <v>3.5270000000000003E-2</v>
      </c>
      <c r="I52" s="29">
        <f t="shared" si="1"/>
        <v>3.4662262262001163E-2</v>
      </c>
      <c r="J52" s="29">
        <f t="shared" si="2"/>
        <v>3.303954420880395E-2</v>
      </c>
      <c r="K52" s="29">
        <f t="shared" si="0"/>
        <v>4.1503622620933316E-2</v>
      </c>
      <c r="L52" s="31">
        <v>4.3069999999999997E-2</v>
      </c>
    </row>
    <row r="53" spans="7:12" x14ac:dyDescent="0.35">
      <c r="G53" s="2">
        <v>30</v>
      </c>
      <c r="H53" s="25">
        <v>3.5209999999999998E-2</v>
      </c>
      <c r="I53" s="29">
        <f t="shared" si="1"/>
        <v>3.4604304686929932E-2</v>
      </c>
      <c r="J53" s="29">
        <f t="shared" si="2"/>
        <v>3.2923535009864224E-2</v>
      </c>
      <c r="K53" s="29">
        <f t="shared" si="0"/>
        <v>4.138761342199359E-2</v>
      </c>
      <c r="L53" s="31">
        <v>4.2860000000000002E-2</v>
      </c>
    </row>
    <row r="54" spans="7:12" x14ac:dyDescent="0.35">
      <c r="G54" s="7">
        <v>31</v>
      </c>
      <c r="H54" s="24">
        <v>3.5159999999999997E-2</v>
      </c>
      <c r="I54" s="29">
        <f t="shared" si="1"/>
        <v>3.4556004141607498E-2</v>
      </c>
      <c r="J54" s="29">
        <f t="shared" si="2"/>
        <v>3.3106987781934549E-2</v>
      </c>
      <c r="K54" s="29">
        <f t="shared" si="0"/>
        <v>4.1571066194063915E-2</v>
      </c>
      <c r="L54" s="31">
        <v>4.2639999999999997E-2</v>
      </c>
    </row>
    <row r="55" spans="7:12" x14ac:dyDescent="0.35">
      <c r="G55" s="7">
        <v>32</v>
      </c>
      <c r="H55" s="24">
        <v>3.5099999999999999E-2</v>
      </c>
      <c r="I55" s="29">
        <f t="shared" si="1"/>
        <v>3.4498040407567356E-2</v>
      </c>
      <c r="J55" s="29">
        <f t="shared" si="2"/>
        <v>3.2701164652322978E-2</v>
      </c>
      <c r="K55" s="29">
        <f t="shared" si="0"/>
        <v>4.1165243064452343E-2</v>
      </c>
      <c r="L55" s="31">
        <v>4.2430000000000002E-2</v>
      </c>
    </row>
    <row r="56" spans="7:12" x14ac:dyDescent="0.35">
      <c r="G56" s="7">
        <v>33</v>
      </c>
      <c r="H56" s="24">
        <v>3.5049999999999998E-2</v>
      </c>
      <c r="I56" s="29">
        <f t="shared" si="1"/>
        <v>3.4449734729225585E-2</v>
      </c>
      <c r="J56" s="29">
        <f t="shared" si="2"/>
        <v>3.290395302228899E-2</v>
      </c>
      <c r="K56" s="29">
        <f t="shared" ref="K56:K87" si="3">J56+LN(1+V.NOTIONAL_VA)</f>
        <v>4.1368031434418355E-2</v>
      </c>
      <c r="L56" s="31">
        <v>4.2220000000000001E-2</v>
      </c>
    </row>
    <row r="57" spans="7:12" x14ac:dyDescent="0.35">
      <c r="G57" s="2">
        <v>34</v>
      </c>
      <c r="H57" s="25">
        <v>3.5000000000000003E-2</v>
      </c>
      <c r="I57" s="29">
        <f t="shared" si="1"/>
        <v>3.4401426717332317E-2</v>
      </c>
      <c r="J57" s="29">
        <f t="shared" si="2"/>
        <v>3.2807262324854314E-2</v>
      </c>
      <c r="K57" s="29">
        <f t="shared" si="3"/>
        <v>4.1271340736983679E-2</v>
      </c>
      <c r="L57" s="31">
        <v>4.2020000000000002E-2</v>
      </c>
    </row>
    <row r="58" spans="7:12" x14ac:dyDescent="0.35">
      <c r="G58" s="2">
        <v>35</v>
      </c>
      <c r="H58" s="25">
        <v>3.4950000000000002E-2</v>
      </c>
      <c r="I58" s="29">
        <f t="shared" si="1"/>
        <v>3.4353116371662509E-2</v>
      </c>
      <c r="J58" s="29">
        <f t="shared" si="2"/>
        <v>3.2710564618889215E-2</v>
      </c>
      <c r="K58" s="29">
        <f t="shared" si="3"/>
        <v>4.117464303101858E-2</v>
      </c>
      <c r="L58" s="31">
        <v>4.1820000000000003E-2</v>
      </c>
    </row>
    <row r="59" spans="7:12" x14ac:dyDescent="0.35">
      <c r="G59" s="7">
        <v>36</v>
      </c>
      <c r="H59" s="24">
        <v>3.4909999999999997E-2</v>
      </c>
      <c r="I59" s="29">
        <f t="shared" si="1"/>
        <v>3.4314466414655742E-2</v>
      </c>
      <c r="J59" s="29">
        <f t="shared" si="2"/>
        <v>3.296171791941882E-2</v>
      </c>
      <c r="K59" s="29">
        <f t="shared" si="3"/>
        <v>4.1425796331548186E-2</v>
      </c>
      <c r="L59" s="31">
        <v>4.163E-2</v>
      </c>
    </row>
    <row r="60" spans="7:12" x14ac:dyDescent="0.35">
      <c r="G60" s="7">
        <v>37</v>
      </c>
      <c r="H60" s="24">
        <v>3.4860000000000002E-2</v>
      </c>
      <c r="I60" s="29">
        <f t="shared" si="1"/>
        <v>3.4266151867619492E-2</v>
      </c>
      <c r="J60" s="29">
        <f t="shared" si="2"/>
        <v>3.2526828174314515E-2</v>
      </c>
      <c r="K60" s="29">
        <f t="shared" si="3"/>
        <v>4.099090658644388E-2</v>
      </c>
      <c r="L60" s="31">
        <v>4.1439999999999998E-2</v>
      </c>
    </row>
    <row r="61" spans="7:12" x14ac:dyDescent="0.35">
      <c r="G61" s="7">
        <v>38</v>
      </c>
      <c r="H61" s="24">
        <v>3.4819999999999997E-2</v>
      </c>
      <c r="I61" s="29">
        <f t="shared" si="1"/>
        <v>3.4227498549227256E-2</v>
      </c>
      <c r="J61" s="29">
        <f t="shared" si="2"/>
        <v>3.2797325768714414E-2</v>
      </c>
      <c r="K61" s="29">
        <f t="shared" si="3"/>
        <v>4.1261404180843779E-2</v>
      </c>
      <c r="L61" s="31">
        <v>4.1250000000000002E-2</v>
      </c>
    </row>
    <row r="62" spans="7:12" x14ac:dyDescent="0.35">
      <c r="G62" s="2">
        <v>39</v>
      </c>
      <c r="H62" s="25">
        <v>3.4779999999999998E-2</v>
      </c>
      <c r="I62" s="29">
        <f t="shared" si="1"/>
        <v>3.4188843736698241E-2</v>
      </c>
      <c r="J62" s="29">
        <f t="shared" si="2"/>
        <v>3.2719960860595698E-2</v>
      </c>
      <c r="K62" s="29">
        <f t="shared" si="3"/>
        <v>4.1184039272725063E-2</v>
      </c>
      <c r="L62" s="31">
        <v>4.1079999999999998E-2</v>
      </c>
    </row>
    <row r="63" spans="7:12" x14ac:dyDescent="0.35">
      <c r="G63" s="2">
        <v>40</v>
      </c>
      <c r="H63" s="25">
        <v>3.474E-2</v>
      </c>
      <c r="I63" s="29">
        <f t="shared" si="1"/>
        <v>3.4150187429916941E-2</v>
      </c>
      <c r="J63" s="29">
        <f t="shared" si="2"/>
        <v>3.2642591465446236E-2</v>
      </c>
      <c r="K63" s="29">
        <f t="shared" si="3"/>
        <v>4.1106669877575601E-2</v>
      </c>
      <c r="L63" s="31">
        <v>4.0899999999999999E-2</v>
      </c>
    </row>
    <row r="64" spans="7:12" x14ac:dyDescent="0.35">
      <c r="G64" s="7">
        <v>41</v>
      </c>
      <c r="H64" s="24">
        <v>3.4700000000000002E-2</v>
      </c>
      <c r="I64" s="29">
        <f t="shared" si="1"/>
        <v>3.4111529628767817E-2</v>
      </c>
      <c r="J64" s="29">
        <f t="shared" si="2"/>
        <v>3.2565217582802841E-2</v>
      </c>
      <c r="K64" s="29">
        <f t="shared" si="3"/>
        <v>4.1029295994932206E-2</v>
      </c>
      <c r="L64" s="31">
        <v>4.0739999999999998E-2</v>
      </c>
    </row>
    <row r="65" spans="7:12" x14ac:dyDescent="0.35">
      <c r="G65" s="7">
        <v>42</v>
      </c>
      <c r="H65" s="24">
        <v>3.4660000000000003E-2</v>
      </c>
      <c r="I65" s="29">
        <f t="shared" si="1"/>
        <v>3.407287033313533E-2</v>
      </c>
      <c r="J65" s="29">
        <f t="shared" si="2"/>
        <v>3.248783921220344E-2</v>
      </c>
      <c r="K65" s="29">
        <f t="shared" si="3"/>
        <v>4.0951917624332805E-2</v>
      </c>
      <c r="L65" s="31">
        <v>4.0570000000000002E-2</v>
      </c>
    </row>
    <row r="66" spans="7:12" x14ac:dyDescent="0.35">
      <c r="G66" s="7">
        <v>43</v>
      </c>
      <c r="H66" s="24">
        <v>3.4619999999999998E-2</v>
      </c>
      <c r="I66" s="29">
        <f t="shared" si="1"/>
        <v>3.4034209542904141E-2</v>
      </c>
      <c r="J66" s="29">
        <f t="shared" si="2"/>
        <v>3.2410456353194173E-2</v>
      </c>
      <c r="K66" s="29">
        <f t="shared" si="3"/>
        <v>4.0874534765323538E-2</v>
      </c>
      <c r="L66" s="31">
        <v>4.0419999999999998E-2</v>
      </c>
    </row>
    <row r="67" spans="7:12" x14ac:dyDescent="0.35">
      <c r="G67" s="2">
        <v>44</v>
      </c>
      <c r="H67" s="25">
        <v>3.4590000000000003E-2</v>
      </c>
      <c r="I67" s="29">
        <f t="shared" si="1"/>
        <v>3.4005212969330359E-2</v>
      </c>
      <c r="J67" s="29">
        <f t="shared" si="2"/>
        <v>3.2758360305657819E-2</v>
      </c>
      <c r="K67" s="29">
        <f t="shared" si="3"/>
        <v>4.1222438717787184E-2</v>
      </c>
      <c r="L67" s="31">
        <v>4.027E-2</v>
      </c>
    </row>
    <row r="68" spans="7:12" x14ac:dyDescent="0.35">
      <c r="G68" s="2">
        <v>45</v>
      </c>
      <c r="H68" s="25">
        <v>3.456E-2</v>
      </c>
      <c r="I68" s="29">
        <f t="shared" si="1"/>
        <v>3.397621555493114E-2</v>
      </c>
      <c r="J68" s="29">
        <f t="shared" si="2"/>
        <v>3.2700329321365462E-2</v>
      </c>
      <c r="K68" s="29">
        <f t="shared" si="3"/>
        <v>4.1164407733494827E-2</v>
      </c>
      <c r="L68" s="31">
        <v>4.0120000000000003E-2</v>
      </c>
    </row>
    <row r="69" spans="7:12" x14ac:dyDescent="0.35">
      <c r="G69" s="7">
        <v>46</v>
      </c>
      <c r="H69" s="24">
        <v>3.4520000000000002E-2</v>
      </c>
      <c r="I69" s="29">
        <f t="shared" si="1"/>
        <v>3.3937551027697001E-2</v>
      </c>
      <c r="J69" s="29">
        <f t="shared" si="2"/>
        <v>3.2197647302160792E-2</v>
      </c>
      <c r="K69" s="29">
        <f t="shared" si="3"/>
        <v>4.0661725714290158E-2</v>
      </c>
      <c r="L69" s="31">
        <v>3.9980000000000002E-2</v>
      </c>
    </row>
    <row r="70" spans="7:12" x14ac:dyDescent="0.35">
      <c r="G70" s="7">
        <v>47</v>
      </c>
      <c r="H70" s="24">
        <v>3.449E-2</v>
      </c>
      <c r="I70" s="29">
        <f t="shared" si="1"/>
        <v>3.3908551651181375E-2</v>
      </c>
      <c r="J70" s="29">
        <f t="shared" si="2"/>
        <v>3.2574580331462544E-2</v>
      </c>
      <c r="K70" s="29">
        <f t="shared" si="3"/>
        <v>4.1038658743591909E-2</v>
      </c>
      <c r="L70" s="31">
        <v>3.984E-2</v>
      </c>
    </row>
    <row r="71" spans="7:12" x14ac:dyDescent="0.35">
      <c r="G71" s="7">
        <v>48</v>
      </c>
      <c r="H71" s="24">
        <v>3.4459999999999998E-2</v>
      </c>
      <c r="I71" s="29">
        <f t="shared" si="1"/>
        <v>3.3879551433677733E-2</v>
      </c>
      <c r="J71" s="29">
        <f t="shared" si="2"/>
        <v>3.2516541211006444E-2</v>
      </c>
      <c r="K71" s="29">
        <f t="shared" si="3"/>
        <v>4.098061962313581E-2</v>
      </c>
      <c r="L71" s="31">
        <v>3.9710000000000002E-2</v>
      </c>
    </row>
    <row r="72" spans="7:12" x14ac:dyDescent="0.35">
      <c r="G72" s="2">
        <v>49</v>
      </c>
      <c r="H72" s="25">
        <v>3.4439999999999998E-2</v>
      </c>
      <c r="I72" s="29">
        <f t="shared" si="1"/>
        <v>3.3860217488102279E-2</v>
      </c>
      <c r="J72" s="29">
        <f t="shared" si="2"/>
        <v>3.2932188100480486E-2</v>
      </c>
      <c r="K72" s="29">
        <f t="shared" si="3"/>
        <v>4.1396266512609851E-2</v>
      </c>
      <c r="L72" s="31">
        <v>3.9579999999999997E-2</v>
      </c>
    </row>
    <row r="73" spans="7:12" x14ac:dyDescent="0.35">
      <c r="G73" s="2">
        <v>50</v>
      </c>
      <c r="H73" s="25">
        <v>3.4410000000000003E-2</v>
      </c>
      <c r="I73" s="29">
        <f t="shared" si="1"/>
        <v>3.3831215868843197E-2</v>
      </c>
      <c r="J73" s="29">
        <f t="shared" si="2"/>
        <v>3.2410136525148348E-2</v>
      </c>
      <c r="K73" s="29">
        <f t="shared" si="3"/>
        <v>4.0874214937277713E-2</v>
      </c>
      <c r="L73" s="31">
        <v>3.9460000000000002E-2</v>
      </c>
    </row>
    <row r="74" spans="7:12" x14ac:dyDescent="0.35">
      <c r="G74" s="7">
        <v>51</v>
      </c>
      <c r="H74" s="24">
        <v>3.4380000000000001E-2</v>
      </c>
      <c r="I74" s="29">
        <f t="shared" si="1"/>
        <v>3.38022134084658E-2</v>
      </c>
      <c r="J74" s="29">
        <f t="shared" si="2"/>
        <v>3.2352090389595967E-2</v>
      </c>
      <c r="K74" s="29">
        <f t="shared" si="3"/>
        <v>4.0816168801725332E-2</v>
      </c>
      <c r="L74" s="31">
        <v>3.934E-2</v>
      </c>
    </row>
    <row r="75" spans="7:12" x14ac:dyDescent="0.35">
      <c r="G75" s="7">
        <v>52</v>
      </c>
      <c r="H75" s="24">
        <v>3.4360000000000002E-2</v>
      </c>
      <c r="I75" s="29">
        <f t="shared" si="1"/>
        <v>3.3782877967568681E-2</v>
      </c>
      <c r="J75" s="29">
        <f t="shared" si="2"/>
        <v>3.2796770481815507E-2</v>
      </c>
      <c r="K75" s="29">
        <f t="shared" si="3"/>
        <v>4.1260848893944872E-2</v>
      </c>
      <c r="L75" s="31">
        <v>3.9219999999999998E-2</v>
      </c>
    </row>
    <row r="76" spans="7:12" x14ac:dyDescent="0.35">
      <c r="G76" s="7">
        <v>53</v>
      </c>
      <c r="H76" s="24">
        <v>3.4329999999999999E-2</v>
      </c>
      <c r="I76" s="29">
        <f t="shared" si="1"/>
        <v>3.3753874105219003E-2</v>
      </c>
      <c r="J76" s="29">
        <f t="shared" si="2"/>
        <v>3.2245673263035846E-2</v>
      </c>
      <c r="K76" s="29">
        <f t="shared" si="3"/>
        <v>4.0709751675165211E-2</v>
      </c>
      <c r="L76" s="31">
        <v>3.9109999999999999E-2</v>
      </c>
    </row>
    <row r="77" spans="7:12" x14ac:dyDescent="0.35">
      <c r="G77" s="2">
        <v>54</v>
      </c>
      <c r="H77" s="25">
        <v>3.431E-2</v>
      </c>
      <c r="I77" s="29">
        <f t="shared" si="1"/>
        <v>3.3734537729628727E-2</v>
      </c>
      <c r="J77" s="29">
        <f t="shared" si="2"/>
        <v>3.270970982334398E-2</v>
      </c>
      <c r="K77" s="29">
        <f t="shared" si="3"/>
        <v>4.1173788235473345E-2</v>
      </c>
      <c r="L77" s="31">
        <v>3.9E-2</v>
      </c>
    </row>
    <row r="78" spans="7:12" x14ac:dyDescent="0.35">
      <c r="G78" s="2">
        <v>55</v>
      </c>
      <c r="H78" s="25">
        <v>3.4279999999999998E-2</v>
      </c>
      <c r="I78" s="29">
        <f t="shared" si="1"/>
        <v>3.3705532465171217E-2</v>
      </c>
      <c r="J78" s="29">
        <f t="shared" si="2"/>
        <v>3.2139248184465785E-2</v>
      </c>
      <c r="K78" s="29">
        <f t="shared" si="3"/>
        <v>4.060332659659515E-2</v>
      </c>
      <c r="L78" s="31">
        <v>3.8890000000000001E-2</v>
      </c>
    </row>
    <row r="79" spans="7:12" x14ac:dyDescent="0.35">
      <c r="G79" s="7">
        <v>56</v>
      </c>
      <c r="H79" s="24">
        <v>3.4259999999999999E-2</v>
      </c>
      <c r="I79" s="29">
        <f t="shared" si="1"/>
        <v>3.368619515479699E-2</v>
      </c>
      <c r="J79" s="29">
        <f t="shared" si="2"/>
        <v>3.2622643084214475E-2</v>
      </c>
      <c r="K79" s="29">
        <f t="shared" si="3"/>
        <v>4.1086721496343841E-2</v>
      </c>
      <c r="L79" s="31">
        <v>3.8789999999999998E-2</v>
      </c>
    </row>
    <row r="80" spans="7:12" x14ac:dyDescent="0.35">
      <c r="G80" s="7">
        <v>57</v>
      </c>
      <c r="H80" s="24">
        <v>3.424E-2</v>
      </c>
      <c r="I80" s="29">
        <f t="shared" si="1"/>
        <v>3.3666857470484174E-2</v>
      </c>
      <c r="J80" s="29">
        <f t="shared" si="2"/>
        <v>3.2583947148966397E-2</v>
      </c>
      <c r="K80" s="29">
        <f t="shared" si="3"/>
        <v>4.1048025561095762E-2</v>
      </c>
      <c r="L80" s="31">
        <v>3.8690000000000002E-2</v>
      </c>
    </row>
    <row r="81" spans="7:12" x14ac:dyDescent="0.35">
      <c r="G81" s="7">
        <v>58</v>
      </c>
      <c r="H81" s="24">
        <v>3.422E-2</v>
      </c>
      <c r="I81" s="29">
        <f t="shared" si="1"/>
        <v>3.3647519412217872E-2</v>
      </c>
      <c r="J81" s="29">
        <f t="shared" si="2"/>
        <v>3.2545250091038591E-2</v>
      </c>
      <c r="K81" s="29">
        <f t="shared" si="3"/>
        <v>4.1009328503167956E-2</v>
      </c>
      <c r="L81" s="31">
        <v>3.8600000000000002E-2</v>
      </c>
    </row>
    <row r="82" spans="7:12" x14ac:dyDescent="0.35">
      <c r="G82" s="2">
        <v>59</v>
      </c>
      <c r="H82" s="25">
        <v>3.4200000000000001E-2</v>
      </c>
      <c r="I82" s="29">
        <f t="shared" si="1"/>
        <v>3.362818097998406E-2</v>
      </c>
      <c r="J82" s="29">
        <f t="shared" si="2"/>
        <v>3.2506551910423065E-2</v>
      </c>
      <c r="K82" s="29">
        <f t="shared" si="3"/>
        <v>4.097063032255243E-2</v>
      </c>
      <c r="L82" s="31">
        <v>3.8510000000000003E-2</v>
      </c>
    </row>
    <row r="83" spans="7:12" x14ac:dyDescent="0.35">
      <c r="G83" s="2">
        <v>60</v>
      </c>
      <c r="H83" s="25">
        <v>3.4180000000000002E-2</v>
      </c>
      <c r="I83" s="29">
        <f t="shared" si="1"/>
        <v>3.3608842173768055E-2</v>
      </c>
      <c r="J83" s="29">
        <f t="shared" si="2"/>
        <v>3.2467852607023895E-2</v>
      </c>
      <c r="K83" s="29">
        <f t="shared" si="3"/>
        <v>4.093193101915326E-2</v>
      </c>
      <c r="L83" s="31">
        <v>3.8420000000000003E-2</v>
      </c>
    </row>
    <row r="84" spans="7:12" x14ac:dyDescent="0.35">
      <c r="G84" s="7">
        <v>61</v>
      </c>
      <c r="H84" s="24">
        <v>3.4160000000000003E-2</v>
      </c>
      <c r="I84" s="29">
        <f t="shared" si="1"/>
        <v>3.3589502993555169E-2</v>
      </c>
      <c r="J84" s="29">
        <f t="shared" si="2"/>
        <v>3.2429152180781795E-2</v>
      </c>
      <c r="K84" s="29">
        <f t="shared" si="3"/>
        <v>4.089323059291116E-2</v>
      </c>
      <c r="L84" s="31">
        <v>3.8330000000000003E-2</v>
      </c>
    </row>
    <row r="85" spans="7:12" x14ac:dyDescent="0.35">
      <c r="G85" s="7">
        <v>62</v>
      </c>
      <c r="H85" s="24">
        <v>3.4139999999999997E-2</v>
      </c>
      <c r="I85" s="29">
        <f t="shared" si="1"/>
        <v>3.3570163439331384E-2</v>
      </c>
      <c r="J85" s="29">
        <f t="shared" si="2"/>
        <v>3.2390450631680778E-2</v>
      </c>
      <c r="K85" s="29">
        <f t="shared" si="3"/>
        <v>4.0854529043810144E-2</v>
      </c>
      <c r="L85" s="31">
        <v>3.8240000000000003E-2</v>
      </c>
    </row>
    <row r="86" spans="7:12" x14ac:dyDescent="0.35">
      <c r="G86" s="7">
        <v>63</v>
      </c>
      <c r="H86" s="24">
        <v>3.4119999999999998E-2</v>
      </c>
      <c r="I86" s="29">
        <f t="shared" si="1"/>
        <v>3.3550823511081788E-2</v>
      </c>
      <c r="J86" s="29">
        <f t="shared" si="2"/>
        <v>3.2351747959606492E-2</v>
      </c>
      <c r="K86" s="29">
        <f t="shared" si="3"/>
        <v>4.0815826371735857E-2</v>
      </c>
      <c r="L86" s="31">
        <v>3.8159999999999999E-2</v>
      </c>
    </row>
    <row r="87" spans="7:12" x14ac:dyDescent="0.35">
      <c r="G87" s="2">
        <v>64</v>
      </c>
      <c r="H87" s="25">
        <v>3.4110000000000001E-2</v>
      </c>
      <c r="I87" s="29">
        <f t="shared" si="1"/>
        <v>3.3541153406693086E-2</v>
      </c>
      <c r="J87" s="29">
        <f t="shared" si="2"/>
        <v>3.2931936830205011E-2</v>
      </c>
      <c r="K87" s="29">
        <f t="shared" si="3"/>
        <v>4.1396015242334376E-2</v>
      </c>
      <c r="L87" s="31">
        <v>3.8080000000000003E-2</v>
      </c>
    </row>
    <row r="88" spans="7:12" x14ac:dyDescent="0.35">
      <c r="G88" s="2">
        <v>65</v>
      </c>
      <c r="H88" s="25">
        <v>3.4090000000000002E-2</v>
      </c>
      <c r="I88" s="29">
        <f t="shared" si="1"/>
        <v>3.3521812917377977E-2</v>
      </c>
      <c r="J88" s="29">
        <f t="shared" si="2"/>
        <v>3.2284021601210799E-2</v>
      </c>
      <c r="K88" s="29">
        <f t="shared" ref="K88:K119" si="4">J88+LN(1+V.NOTIONAL_VA)</f>
        <v>4.0748100013340165E-2</v>
      </c>
      <c r="L88" s="31">
        <v>3.8010000000000002E-2</v>
      </c>
    </row>
    <row r="89" spans="7:12" x14ac:dyDescent="0.35">
      <c r="G89" s="7">
        <v>66</v>
      </c>
      <c r="H89" s="24">
        <v>3.4070000000000003E-2</v>
      </c>
      <c r="I89" s="29">
        <f t="shared" ref="I89:I152" si="5">LN(1+H89)</f>
        <v>3.3502472054001323E-2</v>
      </c>
      <c r="J89" s="29">
        <f t="shared" si="2"/>
        <v>3.224531593451907E-2</v>
      </c>
      <c r="K89" s="29">
        <f t="shared" si="4"/>
        <v>4.0709394346648435E-2</v>
      </c>
      <c r="L89" s="31">
        <v>3.7929999999999998E-2</v>
      </c>
    </row>
    <row r="90" spans="7:12" x14ac:dyDescent="0.35">
      <c r="G90" s="7">
        <v>67</v>
      </c>
      <c r="H90" s="24">
        <v>3.406E-2</v>
      </c>
      <c r="I90" s="29">
        <f t="shared" si="5"/>
        <v>3.3492801482035199E-2</v>
      </c>
      <c r="J90" s="29">
        <f t="shared" ref="J90:J153" si="6">G90*I90-G89*I89</f>
        <v>3.2854543732271146E-2</v>
      </c>
      <c r="K90" s="29">
        <f t="shared" si="4"/>
        <v>4.1318622144400512E-2</v>
      </c>
      <c r="L90" s="31">
        <v>3.7859999999999998E-2</v>
      </c>
    </row>
    <row r="91" spans="7:12" x14ac:dyDescent="0.35">
      <c r="G91" s="7">
        <v>68</v>
      </c>
      <c r="H91" s="24">
        <v>3.4040000000000001E-2</v>
      </c>
      <c r="I91" s="29">
        <f t="shared" si="5"/>
        <v>3.3473460057538776E-2</v>
      </c>
      <c r="J91" s="29">
        <f t="shared" si="6"/>
        <v>3.2177584616278398E-2</v>
      </c>
      <c r="K91" s="29">
        <f t="shared" si="4"/>
        <v>4.0641663028407764E-2</v>
      </c>
      <c r="L91" s="31">
        <v>3.7789999999999997E-2</v>
      </c>
    </row>
    <row r="92" spans="7:12" x14ac:dyDescent="0.35">
      <c r="G92" s="2">
        <v>69</v>
      </c>
      <c r="H92" s="25">
        <v>3.4029999999999998E-2</v>
      </c>
      <c r="I92" s="29">
        <f t="shared" si="5"/>
        <v>3.3463789205004632E-2</v>
      </c>
      <c r="J92" s="29">
        <f t="shared" si="6"/>
        <v>3.280617123268259E-2</v>
      </c>
      <c r="K92" s="29">
        <f t="shared" si="4"/>
        <v>4.1270249644811956E-2</v>
      </c>
      <c r="L92" s="31">
        <v>3.7719999999999997E-2</v>
      </c>
    </row>
    <row r="93" spans="7:12" x14ac:dyDescent="0.35">
      <c r="G93" s="2">
        <v>70</v>
      </c>
      <c r="H93" s="25">
        <v>3.4009999999999999E-2</v>
      </c>
      <c r="I93" s="29">
        <f t="shared" si="5"/>
        <v>3.3444447219355869E-2</v>
      </c>
      <c r="J93" s="29">
        <f t="shared" si="6"/>
        <v>3.210985020959134E-2</v>
      </c>
      <c r="K93" s="29">
        <f t="shared" si="4"/>
        <v>4.0573928621720705E-2</v>
      </c>
      <c r="L93" s="31">
        <v>3.7650000000000003E-2</v>
      </c>
    </row>
    <row r="94" spans="7:12" x14ac:dyDescent="0.35">
      <c r="G94" s="7">
        <v>71</v>
      </c>
      <c r="H94" s="24">
        <v>3.4000000000000002E-2</v>
      </c>
      <c r="I94" s="29">
        <f t="shared" si="5"/>
        <v>3.3434776086237419E-2</v>
      </c>
      <c r="J94" s="29">
        <f t="shared" si="6"/>
        <v>3.275779676794599E-2</v>
      </c>
      <c r="K94" s="29">
        <f t="shared" si="4"/>
        <v>4.1221875180075356E-2</v>
      </c>
      <c r="L94" s="31">
        <v>3.7589999999999998E-2</v>
      </c>
    </row>
    <row r="95" spans="7:12" x14ac:dyDescent="0.35">
      <c r="G95" s="7">
        <v>72</v>
      </c>
      <c r="H95" s="24">
        <v>3.3980000000000003E-2</v>
      </c>
      <c r="I95" s="29">
        <f t="shared" si="5"/>
        <v>3.3415433539403544E-2</v>
      </c>
      <c r="J95" s="29">
        <f t="shared" si="6"/>
        <v>3.2042112714198545E-2</v>
      </c>
      <c r="K95" s="29">
        <f t="shared" si="4"/>
        <v>4.050619112632791E-2</v>
      </c>
      <c r="L95" s="31">
        <v>3.7519999999999998E-2</v>
      </c>
    </row>
    <row r="96" spans="7:12" x14ac:dyDescent="0.35">
      <c r="G96" s="7">
        <v>73</v>
      </c>
      <c r="H96" s="24">
        <v>3.397E-2</v>
      </c>
      <c r="I96" s="29">
        <f t="shared" si="5"/>
        <v>3.3405762125684725E-2</v>
      </c>
      <c r="J96" s="29">
        <f t="shared" si="6"/>
        <v>3.2709420337929451E-2</v>
      </c>
      <c r="K96" s="29">
        <f t="shared" si="4"/>
        <v>4.1173498750058816E-2</v>
      </c>
      <c r="L96" s="31">
        <v>3.746E-2</v>
      </c>
    </row>
    <row r="97" spans="7:12" x14ac:dyDescent="0.35">
      <c r="G97" s="2">
        <v>74</v>
      </c>
      <c r="H97" s="25">
        <v>3.3959999999999997E-2</v>
      </c>
      <c r="I97" s="29">
        <f t="shared" si="5"/>
        <v>3.3396090618428534E-2</v>
      </c>
      <c r="J97" s="29">
        <f t="shared" si="6"/>
        <v>3.2690070588726527E-2</v>
      </c>
      <c r="K97" s="29">
        <f t="shared" si="4"/>
        <v>4.1154149000855893E-2</v>
      </c>
      <c r="L97" s="31">
        <v>3.7400000000000003E-2</v>
      </c>
    </row>
    <row r="98" spans="7:12" x14ac:dyDescent="0.35">
      <c r="G98" s="2">
        <v>75</v>
      </c>
      <c r="H98" s="25">
        <v>3.3939999999999998E-2</v>
      </c>
      <c r="I98" s="29">
        <f t="shared" si="5"/>
        <v>3.3376747323297692E-2</v>
      </c>
      <c r="J98" s="29">
        <f t="shared" si="6"/>
        <v>3.1945343483615662E-2</v>
      </c>
      <c r="K98" s="29">
        <f t="shared" si="4"/>
        <v>4.0409421895745028E-2</v>
      </c>
      <c r="L98" s="31">
        <v>3.7339999999999998E-2</v>
      </c>
    </row>
    <row r="99" spans="7:12" x14ac:dyDescent="0.35">
      <c r="G99" s="7">
        <v>76</v>
      </c>
      <c r="H99" s="24">
        <v>3.3930000000000002E-2</v>
      </c>
      <c r="I99" s="29">
        <f t="shared" si="5"/>
        <v>3.3367075535419205E-2</v>
      </c>
      <c r="J99" s="29">
        <f t="shared" si="6"/>
        <v>3.2641691444532661E-2</v>
      </c>
      <c r="K99" s="29">
        <f t="shared" si="4"/>
        <v>4.1105769856662026E-2</v>
      </c>
      <c r="L99" s="31">
        <v>3.7289999999999997E-2</v>
      </c>
    </row>
    <row r="100" spans="7:12" x14ac:dyDescent="0.35">
      <c r="G100" s="7">
        <v>77</v>
      </c>
      <c r="H100" s="24">
        <v>3.3919999999999999E-2</v>
      </c>
      <c r="I100" s="29">
        <f t="shared" si="5"/>
        <v>3.3357403653996337E-2</v>
      </c>
      <c r="J100" s="29">
        <f t="shared" si="6"/>
        <v>3.2622340665858118E-2</v>
      </c>
      <c r="K100" s="29">
        <f t="shared" si="4"/>
        <v>4.1086419077987484E-2</v>
      </c>
      <c r="L100" s="31">
        <v>3.7229999999999999E-2</v>
      </c>
    </row>
    <row r="101" spans="7:12" x14ac:dyDescent="0.35">
      <c r="G101" s="7">
        <v>78</v>
      </c>
      <c r="H101" s="24">
        <v>3.3910000000000003E-2</v>
      </c>
      <c r="I101" s="29">
        <f t="shared" si="5"/>
        <v>3.3347731679027479E-2</v>
      </c>
      <c r="J101" s="29">
        <f t="shared" si="6"/>
        <v>3.2602989606425492E-2</v>
      </c>
      <c r="K101" s="29">
        <f t="shared" si="4"/>
        <v>4.1067068018554857E-2</v>
      </c>
      <c r="L101" s="31">
        <v>3.7179999999999998E-2</v>
      </c>
    </row>
    <row r="102" spans="7:12" x14ac:dyDescent="0.35">
      <c r="G102" s="2">
        <v>79</v>
      </c>
      <c r="H102" s="25">
        <v>3.39E-2</v>
      </c>
      <c r="I102" s="29">
        <f t="shared" si="5"/>
        <v>3.3338059610510409E-2</v>
      </c>
      <c r="J102" s="29">
        <f t="shared" si="6"/>
        <v>3.2583638266178827E-2</v>
      </c>
      <c r="K102" s="29">
        <f t="shared" si="4"/>
        <v>4.1047716678308192E-2</v>
      </c>
      <c r="L102" s="31">
        <v>3.712E-2</v>
      </c>
    </row>
    <row r="103" spans="7:12" x14ac:dyDescent="0.35">
      <c r="G103" s="2">
        <v>80</v>
      </c>
      <c r="H103" s="25">
        <v>3.3890000000000003E-2</v>
      </c>
      <c r="I103" s="29">
        <f t="shared" si="5"/>
        <v>3.3328387448443526E-2</v>
      </c>
      <c r="J103" s="29">
        <f t="shared" si="6"/>
        <v>3.2564286645159868E-2</v>
      </c>
      <c r="K103" s="29">
        <f t="shared" si="4"/>
        <v>4.1028365057289233E-2</v>
      </c>
      <c r="L103" s="31">
        <v>3.7069999999999999E-2</v>
      </c>
    </row>
    <row r="104" spans="7:12" x14ac:dyDescent="0.35">
      <c r="G104" s="7">
        <v>81</v>
      </c>
      <c r="H104" s="24">
        <v>3.388E-2</v>
      </c>
      <c r="I104" s="29">
        <f t="shared" si="5"/>
        <v>3.3318715192825012E-2</v>
      </c>
      <c r="J104" s="29">
        <f t="shared" si="6"/>
        <v>3.2544934743343745E-2</v>
      </c>
      <c r="K104" s="29">
        <f t="shared" si="4"/>
        <v>4.100901315547311E-2</v>
      </c>
      <c r="L104" s="31">
        <v>3.7019999999999997E-2</v>
      </c>
    </row>
    <row r="105" spans="7:12" x14ac:dyDescent="0.35">
      <c r="G105" s="7">
        <v>82</v>
      </c>
      <c r="H105" s="24">
        <v>3.3860000000000001E-2</v>
      </c>
      <c r="I105" s="29">
        <f t="shared" si="5"/>
        <v>3.32993704009261E-2</v>
      </c>
      <c r="J105" s="29">
        <f t="shared" si="6"/>
        <v>3.1732442257114357E-2</v>
      </c>
      <c r="K105" s="29">
        <f t="shared" si="4"/>
        <v>4.0196520669243722E-2</v>
      </c>
      <c r="L105" s="31">
        <v>3.6970000000000003E-2</v>
      </c>
    </row>
    <row r="106" spans="7:12" x14ac:dyDescent="0.35">
      <c r="G106" s="7">
        <v>83</v>
      </c>
      <c r="H106" s="24">
        <v>3.3849999999999998E-2</v>
      </c>
      <c r="I106" s="29">
        <f t="shared" si="5"/>
        <v>3.3289697864641858E-2</v>
      </c>
      <c r="J106" s="29">
        <f t="shared" si="6"/>
        <v>3.2496549889334148E-2</v>
      </c>
      <c r="K106" s="29">
        <f t="shared" si="4"/>
        <v>4.0960628301463513E-2</v>
      </c>
      <c r="L106" s="31">
        <v>3.6920000000000001E-2</v>
      </c>
    </row>
    <row r="107" spans="7:12" x14ac:dyDescent="0.35">
      <c r="G107" s="2">
        <v>84</v>
      </c>
      <c r="H107" s="25">
        <v>3.3840000000000002E-2</v>
      </c>
      <c r="I107" s="29">
        <f t="shared" si="5"/>
        <v>3.328002523479897E-2</v>
      </c>
      <c r="J107" s="29">
        <f t="shared" si="6"/>
        <v>3.2477196957839016E-2</v>
      </c>
      <c r="K107" s="29">
        <f t="shared" si="4"/>
        <v>4.0941275369968382E-2</v>
      </c>
      <c r="L107" s="31">
        <v>3.6880000000000003E-2</v>
      </c>
    </row>
    <row r="108" spans="7:12" x14ac:dyDescent="0.35">
      <c r="G108" s="2">
        <v>85</v>
      </c>
      <c r="H108" s="25">
        <v>3.3829999999999999E-2</v>
      </c>
      <c r="I108" s="29">
        <f t="shared" si="5"/>
        <v>3.3270352511395193E-2</v>
      </c>
      <c r="J108" s="29">
        <f t="shared" si="6"/>
        <v>3.2457843745478332E-2</v>
      </c>
      <c r="K108" s="29">
        <f t="shared" si="4"/>
        <v>4.0921922157607697E-2</v>
      </c>
      <c r="L108" s="31">
        <v>3.6830000000000002E-2</v>
      </c>
    </row>
    <row r="109" spans="7:12" x14ac:dyDescent="0.35">
      <c r="G109" s="7">
        <v>86</v>
      </c>
      <c r="H109" s="24">
        <v>3.3820000000000003E-2</v>
      </c>
      <c r="I109" s="29">
        <f t="shared" si="5"/>
        <v>3.3260679694428932E-2</v>
      </c>
      <c r="J109" s="29">
        <f t="shared" si="6"/>
        <v>3.2438490252296504E-2</v>
      </c>
      <c r="K109" s="29">
        <f t="shared" si="4"/>
        <v>4.0902568664425869E-2</v>
      </c>
      <c r="L109" s="31">
        <v>3.6790000000000003E-2</v>
      </c>
    </row>
    <row r="110" spans="7:12" x14ac:dyDescent="0.35">
      <c r="G110" s="7">
        <v>87</v>
      </c>
      <c r="H110" s="24">
        <v>3.381E-2</v>
      </c>
      <c r="I110" s="29">
        <f t="shared" si="5"/>
        <v>3.3251006783898376E-2</v>
      </c>
      <c r="J110" s="29">
        <f t="shared" si="6"/>
        <v>3.2419136478270438E-2</v>
      </c>
      <c r="K110" s="29">
        <f t="shared" si="4"/>
        <v>4.0883214890399804E-2</v>
      </c>
      <c r="L110" s="31">
        <v>3.6740000000000002E-2</v>
      </c>
    </row>
    <row r="111" spans="7:12" x14ac:dyDescent="0.35">
      <c r="G111" s="7">
        <v>88</v>
      </c>
      <c r="H111" s="24">
        <v>3.381E-2</v>
      </c>
      <c r="I111" s="29">
        <f t="shared" si="5"/>
        <v>3.3251006783898376E-2</v>
      </c>
      <c r="J111" s="29">
        <f t="shared" si="6"/>
        <v>3.3251006783898696E-2</v>
      </c>
      <c r="K111" s="29">
        <f t="shared" si="4"/>
        <v>4.1715085196028061E-2</v>
      </c>
      <c r="L111" s="31">
        <v>3.6700000000000003E-2</v>
      </c>
    </row>
    <row r="112" spans="7:12" x14ac:dyDescent="0.35">
      <c r="G112" s="2">
        <v>89</v>
      </c>
      <c r="H112" s="25">
        <v>3.3799999999999997E-2</v>
      </c>
      <c r="I112" s="29">
        <f t="shared" si="5"/>
        <v>3.3241333779801936E-2</v>
      </c>
      <c r="J112" s="29">
        <f t="shared" si="6"/>
        <v>3.2390109419315305E-2</v>
      </c>
      <c r="K112" s="29">
        <f t="shared" si="4"/>
        <v>4.085418783144467E-2</v>
      </c>
      <c r="L112" s="31">
        <v>3.6659999999999998E-2</v>
      </c>
    </row>
    <row r="113" spans="7:12" x14ac:dyDescent="0.35">
      <c r="G113" s="2">
        <v>90</v>
      </c>
      <c r="H113" s="25">
        <v>3.3790000000000001E-2</v>
      </c>
      <c r="I113" s="29">
        <f t="shared" si="5"/>
        <v>3.3231660682137371E-2</v>
      </c>
      <c r="J113" s="29">
        <f t="shared" si="6"/>
        <v>3.2370754989990758E-2</v>
      </c>
      <c r="K113" s="29">
        <f t="shared" si="4"/>
        <v>4.0834833402120123E-2</v>
      </c>
      <c r="L113" s="31">
        <v>3.662E-2</v>
      </c>
    </row>
    <row r="114" spans="7:12" x14ac:dyDescent="0.35">
      <c r="G114" s="7">
        <v>91</v>
      </c>
      <c r="H114" s="24">
        <v>3.3779999999999998E-2</v>
      </c>
      <c r="I114" s="29">
        <f t="shared" si="5"/>
        <v>3.3221987490903077E-2</v>
      </c>
      <c r="J114" s="29">
        <f t="shared" si="6"/>
        <v>3.2351400279816644E-2</v>
      </c>
      <c r="K114" s="29">
        <f t="shared" si="4"/>
        <v>4.081547869194601E-2</v>
      </c>
      <c r="L114" s="31">
        <v>3.6580000000000001E-2</v>
      </c>
    </row>
    <row r="115" spans="7:12" x14ac:dyDescent="0.35">
      <c r="G115" s="7">
        <v>92</v>
      </c>
      <c r="H115" s="24">
        <v>3.3770000000000001E-2</v>
      </c>
      <c r="I115" s="29">
        <f t="shared" si="5"/>
        <v>3.3212314206097465E-2</v>
      </c>
      <c r="J115" s="29">
        <f t="shared" si="6"/>
        <v>3.2332045288786748E-2</v>
      </c>
      <c r="K115" s="29">
        <f t="shared" si="4"/>
        <v>4.0796123700916113E-2</v>
      </c>
      <c r="L115" s="31">
        <v>3.6540000000000003E-2</v>
      </c>
    </row>
    <row r="116" spans="7:12" x14ac:dyDescent="0.35">
      <c r="G116" s="7">
        <v>93</v>
      </c>
      <c r="H116" s="24">
        <v>3.3759999999999998E-2</v>
      </c>
      <c r="I116" s="29">
        <f t="shared" si="5"/>
        <v>3.3202640827718295E-2</v>
      </c>
      <c r="J116" s="29">
        <f t="shared" si="6"/>
        <v>3.23126900168349E-2</v>
      </c>
      <c r="K116" s="29">
        <f t="shared" si="4"/>
        <v>4.0776768428964265E-2</v>
      </c>
      <c r="L116" s="31">
        <v>3.6499999999999998E-2</v>
      </c>
    </row>
    <row r="117" spans="7:12" x14ac:dyDescent="0.35">
      <c r="G117" s="2">
        <v>94</v>
      </c>
      <c r="H117" s="25">
        <v>3.3750000000000002E-2</v>
      </c>
      <c r="I117" s="29">
        <f t="shared" si="5"/>
        <v>3.3192967355763964E-2</v>
      </c>
      <c r="J117" s="29">
        <f t="shared" si="6"/>
        <v>3.2293334464010837E-2</v>
      </c>
      <c r="K117" s="29">
        <f t="shared" si="4"/>
        <v>4.0757412876140202E-2</v>
      </c>
      <c r="L117" s="31">
        <v>3.6470000000000002E-2</v>
      </c>
    </row>
    <row r="118" spans="7:12" x14ac:dyDescent="0.35">
      <c r="G118" s="2">
        <v>95</v>
      </c>
      <c r="H118" s="25">
        <v>3.3750000000000002E-2</v>
      </c>
      <c r="I118" s="29">
        <f t="shared" si="5"/>
        <v>3.3192967355763964E-2</v>
      </c>
      <c r="J118" s="29">
        <f t="shared" si="6"/>
        <v>3.3192967355764047E-2</v>
      </c>
      <c r="K118" s="29">
        <f t="shared" si="4"/>
        <v>4.1657045767893412E-2</v>
      </c>
      <c r="L118" s="31">
        <v>3.6429999999999997E-2</v>
      </c>
    </row>
    <row r="119" spans="7:12" x14ac:dyDescent="0.35">
      <c r="G119" s="7">
        <v>96</v>
      </c>
      <c r="H119" s="24">
        <v>3.3739999999999999E-2</v>
      </c>
      <c r="I119" s="29">
        <f t="shared" si="5"/>
        <v>3.3183293790232889E-2</v>
      </c>
      <c r="J119" s="29">
        <f t="shared" si="6"/>
        <v>3.2264305064781063E-2</v>
      </c>
      <c r="K119" s="29">
        <f t="shared" si="4"/>
        <v>4.0728383476910428E-2</v>
      </c>
      <c r="L119" s="31">
        <v>3.6389999999999999E-2</v>
      </c>
    </row>
    <row r="120" spans="7:12" x14ac:dyDescent="0.35">
      <c r="G120" s="7">
        <v>97</v>
      </c>
      <c r="H120" s="24">
        <v>3.3730000000000003E-2</v>
      </c>
      <c r="I120" s="29">
        <f t="shared" si="5"/>
        <v>3.3173620131122829E-2</v>
      </c>
      <c r="J120" s="29">
        <f t="shared" si="6"/>
        <v>3.2244948856556821E-2</v>
      </c>
      <c r="K120" s="29">
        <f t="shared" ref="K120:K151" si="7">J120+LN(1+V.NOTIONAL_VA)</f>
        <v>4.0709027268686186E-2</v>
      </c>
      <c r="L120" s="31">
        <v>3.6360000000000003E-2</v>
      </c>
    </row>
    <row r="121" spans="7:12" x14ac:dyDescent="0.35">
      <c r="G121" s="7">
        <v>98</v>
      </c>
      <c r="H121" s="24">
        <v>3.372E-2</v>
      </c>
      <c r="I121" s="29">
        <f t="shared" si="5"/>
        <v>3.3163946378432174E-2</v>
      </c>
      <c r="J121" s="29">
        <f t="shared" si="6"/>
        <v>3.2225592367438605E-2</v>
      </c>
      <c r="K121" s="29">
        <f t="shared" si="7"/>
        <v>4.068967077956797E-2</v>
      </c>
      <c r="L121" s="31">
        <v>3.6319999999999998E-2</v>
      </c>
    </row>
    <row r="122" spans="7:12" x14ac:dyDescent="0.35">
      <c r="G122" s="2">
        <v>99</v>
      </c>
      <c r="H122" s="25">
        <v>3.372E-2</v>
      </c>
      <c r="I122" s="29">
        <f t="shared" si="5"/>
        <v>3.3163946378432174E-2</v>
      </c>
      <c r="J122" s="29">
        <f t="shared" si="6"/>
        <v>3.3163946378432119E-2</v>
      </c>
      <c r="K122" s="29">
        <f t="shared" si="7"/>
        <v>4.1628024790561484E-2</v>
      </c>
      <c r="L122" s="31">
        <v>3.6290000000000003E-2</v>
      </c>
    </row>
    <row r="123" spans="7:12" x14ac:dyDescent="0.35">
      <c r="G123" s="2">
        <v>100</v>
      </c>
      <c r="H123" s="25">
        <v>3.3709999999999997E-2</v>
      </c>
      <c r="I123" s="29">
        <f t="shared" si="5"/>
        <v>3.3154272532159128E-2</v>
      </c>
      <c r="J123" s="29">
        <f t="shared" si="6"/>
        <v>3.2196561751127728E-2</v>
      </c>
      <c r="K123" s="29">
        <f t="shared" si="7"/>
        <v>4.0660640163257093E-2</v>
      </c>
      <c r="L123" s="31">
        <v>3.6260000000000001E-2</v>
      </c>
    </row>
    <row r="124" spans="7:12" x14ac:dyDescent="0.35">
      <c r="G124" s="7">
        <v>101</v>
      </c>
      <c r="H124" s="24">
        <v>3.3700000000000001E-2</v>
      </c>
      <c r="I124" s="29">
        <f t="shared" si="5"/>
        <v>3.3144598592302087E-2</v>
      </c>
      <c r="J124" s="29">
        <f t="shared" si="6"/>
        <v>3.2177204606597787E-2</v>
      </c>
      <c r="K124" s="29">
        <f t="shared" si="7"/>
        <v>4.0641283018727152E-2</v>
      </c>
      <c r="L124" s="31">
        <v>3.6220000000000002E-2</v>
      </c>
    </row>
    <row r="125" spans="7:12" x14ac:dyDescent="0.35">
      <c r="G125" s="7">
        <v>102</v>
      </c>
      <c r="H125" s="24">
        <v>3.3689999999999998E-2</v>
      </c>
      <c r="I125" s="29">
        <f t="shared" si="5"/>
        <v>3.3134924558858816E-2</v>
      </c>
      <c r="J125" s="29">
        <f t="shared" si="6"/>
        <v>3.2157847181088606E-2</v>
      </c>
      <c r="K125" s="29">
        <f t="shared" si="7"/>
        <v>4.0621925593217971E-2</v>
      </c>
      <c r="L125" s="31">
        <v>3.619E-2</v>
      </c>
    </row>
    <row r="126" spans="7:12" x14ac:dyDescent="0.35">
      <c r="G126" s="7">
        <v>103</v>
      </c>
      <c r="H126" s="24">
        <v>3.3689999999999998E-2</v>
      </c>
      <c r="I126" s="29">
        <f t="shared" si="5"/>
        <v>3.3134924558858816E-2</v>
      </c>
      <c r="J126" s="29">
        <f t="shared" si="6"/>
        <v>3.3134924558858803E-2</v>
      </c>
      <c r="K126" s="29">
        <f t="shared" si="7"/>
        <v>4.1599002970988168E-2</v>
      </c>
      <c r="L126" s="31">
        <v>3.6159999999999998E-2</v>
      </c>
    </row>
    <row r="127" spans="7:12" x14ac:dyDescent="0.35">
      <c r="G127" s="2">
        <v>104</v>
      </c>
      <c r="H127" s="25">
        <v>3.3680000000000002E-2</v>
      </c>
      <c r="I127" s="29">
        <f t="shared" si="5"/>
        <v>3.3125250431827714E-2</v>
      </c>
      <c r="J127" s="29">
        <f t="shared" si="6"/>
        <v>3.212881534762424E-2</v>
      </c>
      <c r="K127" s="29">
        <f t="shared" si="7"/>
        <v>4.0592893759753605E-2</v>
      </c>
      <c r="L127" s="31">
        <v>3.6130000000000002E-2</v>
      </c>
    </row>
    <row r="128" spans="7:12" x14ac:dyDescent="0.35">
      <c r="G128" s="2">
        <v>105</v>
      </c>
      <c r="H128" s="25">
        <v>3.3680000000000002E-2</v>
      </c>
      <c r="I128" s="29">
        <f t="shared" si="5"/>
        <v>3.3125250431827714E-2</v>
      </c>
      <c r="J128" s="29">
        <f t="shared" si="6"/>
        <v>3.3125250431827791E-2</v>
      </c>
      <c r="K128" s="29">
        <f t="shared" si="7"/>
        <v>4.1589328843957156E-2</v>
      </c>
      <c r="L128" s="31">
        <v>3.61E-2</v>
      </c>
    </row>
    <row r="129" spans="7:12" x14ac:dyDescent="0.35">
      <c r="G129" s="7">
        <v>106</v>
      </c>
      <c r="H129" s="24">
        <v>3.3669999999999999E-2</v>
      </c>
      <c r="I129" s="29">
        <f t="shared" si="5"/>
        <v>3.3115576211207191E-2</v>
      </c>
      <c r="J129" s="29">
        <f t="shared" si="6"/>
        <v>3.2099783046052099E-2</v>
      </c>
      <c r="K129" s="29">
        <f t="shared" si="7"/>
        <v>4.0563861458181465E-2</v>
      </c>
      <c r="L129" s="31">
        <v>3.6069999999999998E-2</v>
      </c>
    </row>
    <row r="130" spans="7:12" x14ac:dyDescent="0.35">
      <c r="G130" s="7">
        <v>107</v>
      </c>
      <c r="H130" s="24">
        <v>3.3660000000000002E-2</v>
      </c>
      <c r="I130" s="29">
        <f t="shared" si="5"/>
        <v>3.3105901896994999E-2</v>
      </c>
      <c r="J130" s="29">
        <f t="shared" si="6"/>
        <v>3.2080424590502865E-2</v>
      </c>
      <c r="K130" s="29">
        <f t="shared" si="7"/>
        <v>4.054450300263223E-2</v>
      </c>
      <c r="L130" s="31">
        <v>3.6040000000000003E-2</v>
      </c>
    </row>
    <row r="131" spans="7:12" x14ac:dyDescent="0.35">
      <c r="G131" s="7">
        <v>108</v>
      </c>
      <c r="H131" s="24">
        <v>3.3660000000000002E-2</v>
      </c>
      <c r="I131" s="29">
        <f t="shared" si="5"/>
        <v>3.3105901896994999E-2</v>
      </c>
      <c r="J131" s="29">
        <f t="shared" si="6"/>
        <v>3.3105901896994805E-2</v>
      </c>
      <c r="K131" s="29">
        <f t="shared" si="7"/>
        <v>4.156998030912417E-2</v>
      </c>
      <c r="L131" s="31">
        <v>3.6020000000000003E-2</v>
      </c>
    </row>
    <row r="132" spans="7:12" x14ac:dyDescent="0.35">
      <c r="G132" s="2">
        <v>109</v>
      </c>
      <c r="H132" s="25">
        <v>3.3649999999999999E-2</v>
      </c>
      <c r="I132" s="29">
        <f t="shared" si="5"/>
        <v>3.3096227489189549E-2</v>
      </c>
      <c r="J132" s="29">
        <f t="shared" si="6"/>
        <v>3.2051391446200839E-2</v>
      </c>
      <c r="K132" s="29">
        <f t="shared" si="7"/>
        <v>4.0515469858330204E-2</v>
      </c>
      <c r="L132" s="31">
        <v>3.5990000000000001E-2</v>
      </c>
    </row>
    <row r="133" spans="7:12" x14ac:dyDescent="0.35">
      <c r="G133" s="2">
        <v>110</v>
      </c>
      <c r="H133" s="25">
        <v>3.3640000000000003E-2</v>
      </c>
      <c r="I133" s="29">
        <f t="shared" si="5"/>
        <v>3.3086552987789238E-2</v>
      </c>
      <c r="J133" s="29">
        <f t="shared" si="6"/>
        <v>3.2032032335155503E-2</v>
      </c>
      <c r="K133" s="29">
        <f t="shared" si="7"/>
        <v>4.0496110747284868E-2</v>
      </c>
      <c r="L133" s="31">
        <v>3.5959999999999999E-2</v>
      </c>
    </row>
    <row r="134" spans="7:12" x14ac:dyDescent="0.35">
      <c r="G134" s="7">
        <v>111</v>
      </c>
      <c r="H134" s="24">
        <v>3.3640000000000003E-2</v>
      </c>
      <c r="I134" s="29">
        <f t="shared" si="5"/>
        <v>3.3086552987789238E-2</v>
      </c>
      <c r="J134" s="29">
        <f t="shared" si="6"/>
        <v>3.3086552987789286E-2</v>
      </c>
      <c r="K134" s="29">
        <f t="shared" si="7"/>
        <v>4.1550631399918651E-2</v>
      </c>
      <c r="L134" s="31">
        <v>3.5929999999999997E-2</v>
      </c>
    </row>
    <row r="135" spans="7:12" x14ac:dyDescent="0.35">
      <c r="G135" s="7">
        <v>112</v>
      </c>
      <c r="H135" s="24">
        <v>3.363E-2</v>
      </c>
      <c r="I135" s="29">
        <f t="shared" si="5"/>
        <v>3.3076878392791831E-2</v>
      </c>
      <c r="J135" s="29">
        <f t="shared" si="6"/>
        <v>3.2002998348079625E-2</v>
      </c>
      <c r="K135" s="29">
        <f t="shared" si="7"/>
        <v>4.0467076760208991E-2</v>
      </c>
      <c r="L135" s="31">
        <v>3.5909999999999997E-2</v>
      </c>
    </row>
    <row r="136" spans="7:12" x14ac:dyDescent="0.35">
      <c r="G136" s="7">
        <v>113</v>
      </c>
      <c r="H136" s="24">
        <v>3.363E-2</v>
      </c>
      <c r="I136" s="29">
        <f t="shared" si="5"/>
        <v>3.3076878392791831E-2</v>
      </c>
      <c r="J136" s="29">
        <f t="shared" si="6"/>
        <v>3.307687839279172E-2</v>
      </c>
      <c r="K136" s="29">
        <f t="shared" si="7"/>
        <v>4.1540956804921085E-2</v>
      </c>
      <c r="L136" s="31">
        <v>3.5880000000000002E-2</v>
      </c>
    </row>
    <row r="137" spans="7:12" x14ac:dyDescent="0.35">
      <c r="G137" s="2">
        <v>114</v>
      </c>
      <c r="H137" s="25">
        <v>3.3619999999999997E-2</v>
      </c>
      <c r="I137" s="29">
        <f t="shared" si="5"/>
        <v>3.3067203704195733E-2</v>
      </c>
      <c r="J137" s="29">
        <f t="shared" si="6"/>
        <v>3.197396389283691E-2</v>
      </c>
      <c r="K137" s="29">
        <f t="shared" si="7"/>
        <v>4.0438042304966275E-2</v>
      </c>
      <c r="L137" s="31">
        <v>3.5860000000000003E-2</v>
      </c>
    </row>
    <row r="138" spans="7:12" x14ac:dyDescent="0.35">
      <c r="G138" s="2">
        <v>115</v>
      </c>
      <c r="H138" s="25">
        <v>3.3619999999999997E-2</v>
      </c>
      <c r="I138" s="29">
        <f t="shared" si="5"/>
        <v>3.3067203704195733E-2</v>
      </c>
      <c r="J138" s="29">
        <f t="shared" si="6"/>
        <v>3.3067203704195691E-2</v>
      </c>
      <c r="K138" s="29">
        <f t="shared" si="7"/>
        <v>4.1531282116325056E-2</v>
      </c>
      <c r="L138" s="31">
        <v>3.5830000000000001E-2</v>
      </c>
    </row>
    <row r="139" spans="7:12" x14ac:dyDescent="0.35">
      <c r="G139" s="7">
        <v>116</v>
      </c>
      <c r="H139" s="24">
        <v>3.3610000000000001E-2</v>
      </c>
      <c r="I139" s="29">
        <f t="shared" si="5"/>
        <v>3.3057528921999133E-2</v>
      </c>
      <c r="J139" s="29">
        <f t="shared" si="6"/>
        <v>3.1944928969390052E-2</v>
      </c>
      <c r="K139" s="29">
        <f t="shared" si="7"/>
        <v>4.0409007381519417E-2</v>
      </c>
      <c r="L139" s="31">
        <v>3.5810000000000002E-2</v>
      </c>
    </row>
    <row r="140" spans="7:12" x14ac:dyDescent="0.35">
      <c r="G140" s="7">
        <v>117</v>
      </c>
      <c r="H140" s="24">
        <v>3.3610000000000001E-2</v>
      </c>
      <c r="I140" s="29">
        <f t="shared" si="5"/>
        <v>3.3057528921999133E-2</v>
      </c>
      <c r="J140" s="29">
        <f t="shared" si="6"/>
        <v>3.305752892199898E-2</v>
      </c>
      <c r="K140" s="29">
        <f t="shared" si="7"/>
        <v>4.1521607334128345E-2</v>
      </c>
      <c r="L140" s="31">
        <v>3.5779999999999999E-2</v>
      </c>
    </row>
    <row r="141" spans="7:12" x14ac:dyDescent="0.35">
      <c r="G141" s="7">
        <v>118</v>
      </c>
      <c r="H141" s="24">
        <v>3.3599999999999998E-2</v>
      </c>
      <c r="I141" s="29">
        <f t="shared" si="5"/>
        <v>3.304785404620042E-2</v>
      </c>
      <c r="J141" s="29">
        <f t="shared" si="6"/>
        <v>3.1915893577751042E-2</v>
      </c>
      <c r="K141" s="29">
        <f t="shared" si="7"/>
        <v>4.0379971989880407E-2</v>
      </c>
      <c r="L141" s="31">
        <v>3.576E-2</v>
      </c>
    </row>
    <row r="142" spans="7:12" x14ac:dyDescent="0.35">
      <c r="G142" s="2">
        <v>119</v>
      </c>
      <c r="H142" s="25">
        <v>3.3599999999999998E-2</v>
      </c>
      <c r="I142" s="29">
        <f t="shared" si="5"/>
        <v>3.304785404620042E-2</v>
      </c>
      <c r="J142" s="29">
        <f t="shared" si="6"/>
        <v>3.3047854046200698E-2</v>
      </c>
      <c r="K142" s="29">
        <f t="shared" si="7"/>
        <v>4.1511932458330063E-2</v>
      </c>
      <c r="L142" s="31">
        <v>3.5740000000000001E-2</v>
      </c>
    </row>
    <row r="143" spans="7:12" x14ac:dyDescent="0.35">
      <c r="G143" s="2">
        <v>120</v>
      </c>
      <c r="H143" s="25">
        <v>3.3590000000000002E-2</v>
      </c>
      <c r="I143" s="29">
        <f t="shared" si="5"/>
        <v>3.3038179076797375E-2</v>
      </c>
      <c r="J143" s="29">
        <f t="shared" si="6"/>
        <v>3.1886857717834616E-2</v>
      </c>
      <c r="K143" s="29">
        <f t="shared" si="7"/>
        <v>4.0350936129963981E-2</v>
      </c>
      <c r="L143" s="31">
        <v>3.5709999999999999E-2</v>
      </c>
    </row>
    <row r="144" spans="7:12" x14ac:dyDescent="0.35">
      <c r="G144" s="7">
        <v>121</v>
      </c>
      <c r="H144" s="24">
        <v>3.3590000000000002E-2</v>
      </c>
      <c r="I144" s="29">
        <f t="shared" si="5"/>
        <v>3.3038179076797375E-2</v>
      </c>
      <c r="J144" s="29">
        <f t="shared" si="6"/>
        <v>3.3038179076797736E-2</v>
      </c>
      <c r="K144" s="29">
        <f t="shared" si="7"/>
        <v>4.1502257488927101E-2</v>
      </c>
      <c r="L144" s="31">
        <v>3.569E-2</v>
      </c>
    </row>
    <row r="145" spans="7:12" x14ac:dyDescent="0.35">
      <c r="G145" s="7">
        <v>122</v>
      </c>
      <c r="H145" s="24">
        <v>3.3579999999999999E-2</v>
      </c>
      <c r="I145" s="29">
        <f t="shared" si="5"/>
        <v>3.3028504013788387E-2</v>
      </c>
      <c r="J145" s="29">
        <f t="shared" si="6"/>
        <v>3.1857821389701169E-2</v>
      </c>
      <c r="K145" s="29">
        <f t="shared" si="7"/>
        <v>4.0321899801830534E-2</v>
      </c>
      <c r="L145" s="31">
        <v>3.567E-2</v>
      </c>
    </row>
    <row r="146" spans="7:12" x14ac:dyDescent="0.35">
      <c r="G146" s="7">
        <v>123</v>
      </c>
      <c r="H146" s="24">
        <v>3.3579999999999999E-2</v>
      </c>
      <c r="I146" s="29">
        <f t="shared" si="5"/>
        <v>3.3028504013788387E-2</v>
      </c>
      <c r="J146" s="29">
        <f t="shared" si="6"/>
        <v>3.3028504013787874E-2</v>
      </c>
      <c r="K146" s="29">
        <f t="shared" si="7"/>
        <v>4.1492582425917239E-2</v>
      </c>
      <c r="L146" s="31">
        <v>3.5650000000000001E-2</v>
      </c>
    </row>
    <row r="147" spans="7:12" x14ac:dyDescent="0.35">
      <c r="G147" s="2">
        <v>124</v>
      </c>
      <c r="H147" s="25">
        <v>3.3570000000000003E-2</v>
      </c>
      <c r="I147" s="29">
        <f t="shared" si="5"/>
        <v>3.3018828857171868E-2</v>
      </c>
      <c r="J147" s="29">
        <f t="shared" si="6"/>
        <v>3.1828784593340487E-2</v>
      </c>
      <c r="K147" s="29">
        <f t="shared" si="7"/>
        <v>4.0292863005469852E-2</v>
      </c>
      <c r="L147" s="31">
        <v>3.5630000000000002E-2</v>
      </c>
    </row>
    <row r="148" spans="7:12" x14ac:dyDescent="0.35">
      <c r="G148" s="2">
        <v>125</v>
      </c>
      <c r="H148" s="25">
        <v>3.3570000000000003E-2</v>
      </c>
      <c r="I148" s="29">
        <f t="shared" si="5"/>
        <v>3.3018828857171868E-2</v>
      </c>
      <c r="J148" s="29">
        <f t="shared" si="6"/>
        <v>3.3018828857171556E-2</v>
      </c>
      <c r="K148" s="29">
        <f t="shared" si="7"/>
        <v>4.1482907269300921E-2</v>
      </c>
      <c r="L148" s="31">
        <v>3.5610000000000003E-2</v>
      </c>
    </row>
    <row r="149" spans="7:12" x14ac:dyDescent="0.35">
      <c r="G149" s="7">
        <v>126</v>
      </c>
      <c r="H149" s="24">
        <v>3.356E-2</v>
      </c>
      <c r="I149" s="29">
        <f t="shared" si="5"/>
        <v>3.300915360694557E-2</v>
      </c>
      <c r="J149" s="29">
        <f t="shared" si="6"/>
        <v>3.1799747328657979E-2</v>
      </c>
      <c r="K149" s="29">
        <f t="shared" si="7"/>
        <v>4.0263825740787344E-2</v>
      </c>
      <c r="L149" s="31">
        <v>3.5580000000000001E-2</v>
      </c>
    </row>
    <row r="150" spans="7:12" x14ac:dyDescent="0.35">
      <c r="G150" s="7">
        <v>127</v>
      </c>
      <c r="H150" s="24">
        <v>3.356E-2</v>
      </c>
      <c r="I150" s="29">
        <f t="shared" si="5"/>
        <v>3.300915360694557E-2</v>
      </c>
      <c r="J150" s="29">
        <f t="shared" si="6"/>
        <v>3.3009153606945674E-2</v>
      </c>
      <c r="K150" s="29">
        <f t="shared" si="7"/>
        <v>4.1473232019075039E-2</v>
      </c>
      <c r="L150" s="31">
        <v>3.5560000000000001E-2</v>
      </c>
    </row>
    <row r="151" spans="7:12" x14ac:dyDescent="0.35">
      <c r="G151" s="7">
        <v>128</v>
      </c>
      <c r="H151" s="24">
        <v>3.3550000000000003E-2</v>
      </c>
      <c r="I151" s="29">
        <f t="shared" si="5"/>
        <v>3.2999478263107895E-2</v>
      </c>
      <c r="J151" s="29">
        <f t="shared" si="6"/>
        <v>3.1770709595723368E-2</v>
      </c>
      <c r="K151" s="29">
        <f t="shared" si="7"/>
        <v>4.0234788007852733E-2</v>
      </c>
      <c r="L151" s="31">
        <v>3.5540000000000002E-2</v>
      </c>
    </row>
    <row r="152" spans="7:12" x14ac:dyDescent="0.35">
      <c r="G152" s="2">
        <v>129</v>
      </c>
      <c r="H152" s="25">
        <v>3.3550000000000003E-2</v>
      </c>
      <c r="I152" s="29">
        <f t="shared" si="5"/>
        <v>3.2999478263107895E-2</v>
      </c>
      <c r="J152" s="29">
        <f t="shared" si="6"/>
        <v>3.2999478263107562E-2</v>
      </c>
      <c r="K152" s="29">
        <f t="shared" ref="K152:K173" si="8">J152+LN(1+V.NOTIONAL_VA)</f>
        <v>4.1463556675236928E-2</v>
      </c>
      <c r="L152" s="31">
        <v>3.5520000000000003E-2</v>
      </c>
    </row>
    <row r="153" spans="7:12" x14ac:dyDescent="0.35">
      <c r="G153" s="2">
        <v>130</v>
      </c>
      <c r="H153" s="25">
        <v>3.3550000000000003E-2</v>
      </c>
      <c r="I153" s="29">
        <f t="shared" ref="I153:I173" si="9">LN(1+H153)</f>
        <v>3.2999478263107895E-2</v>
      </c>
      <c r="J153" s="29">
        <f t="shared" si="6"/>
        <v>3.299947826310845E-2</v>
      </c>
      <c r="K153" s="29">
        <f t="shared" si="8"/>
        <v>4.1463556675237816E-2</v>
      </c>
      <c r="L153" s="31">
        <v>3.5499999999999997E-2</v>
      </c>
    </row>
    <row r="154" spans="7:12" x14ac:dyDescent="0.35">
      <c r="G154" s="7">
        <v>131</v>
      </c>
      <c r="H154" s="24">
        <v>3.354E-2</v>
      </c>
      <c r="I154" s="29">
        <f t="shared" si="9"/>
        <v>3.2989802825657041E-2</v>
      </c>
      <c r="J154" s="29">
        <f t="shared" ref="J154:J173" si="10">G154*I154-G153*I153</f>
        <v>3.1731995957045456E-2</v>
      </c>
      <c r="K154" s="29">
        <f t="shared" si="8"/>
        <v>4.0196074369174821E-2</v>
      </c>
      <c r="L154" s="31">
        <v>3.5490000000000001E-2</v>
      </c>
    </row>
    <row r="155" spans="7:12" x14ac:dyDescent="0.35">
      <c r="G155" s="7">
        <v>132</v>
      </c>
      <c r="H155" s="24">
        <v>3.354E-2</v>
      </c>
      <c r="I155" s="29">
        <f t="shared" si="9"/>
        <v>3.2989802825657041E-2</v>
      </c>
      <c r="J155" s="29">
        <f t="shared" si="10"/>
        <v>3.2989802825657222E-2</v>
      </c>
      <c r="K155" s="29">
        <f t="shared" si="8"/>
        <v>4.1453881237786587E-2</v>
      </c>
      <c r="L155" s="31">
        <v>3.5470000000000002E-2</v>
      </c>
    </row>
    <row r="156" spans="7:12" x14ac:dyDescent="0.35">
      <c r="G156" s="7">
        <v>133</v>
      </c>
      <c r="H156" s="24">
        <v>3.3529999999999997E-2</v>
      </c>
      <c r="I156" s="29">
        <f t="shared" si="9"/>
        <v>3.2980127294591405E-2</v>
      </c>
      <c r="J156" s="29">
        <f t="shared" si="10"/>
        <v>3.1702957193927794E-2</v>
      </c>
      <c r="K156" s="29">
        <f t="shared" si="8"/>
        <v>4.016703560605716E-2</v>
      </c>
      <c r="L156" s="31">
        <v>3.5450000000000002E-2</v>
      </c>
    </row>
    <row r="157" spans="7:12" x14ac:dyDescent="0.35">
      <c r="G157" s="2">
        <v>134</v>
      </c>
      <c r="H157" s="25">
        <v>3.3529999999999997E-2</v>
      </c>
      <c r="I157" s="29">
        <f t="shared" si="9"/>
        <v>3.2980127294591405E-2</v>
      </c>
      <c r="J157" s="29">
        <f t="shared" si="10"/>
        <v>3.2980127294591099E-2</v>
      </c>
      <c r="K157" s="29">
        <f t="shared" si="8"/>
        <v>4.1444205706720465E-2</v>
      </c>
      <c r="L157" s="31">
        <v>3.5430000000000003E-2</v>
      </c>
    </row>
    <row r="158" spans="7:12" x14ac:dyDescent="0.35">
      <c r="G158" s="2">
        <v>135</v>
      </c>
      <c r="H158" s="25">
        <v>3.3529999999999997E-2</v>
      </c>
      <c r="I158" s="29">
        <f t="shared" si="9"/>
        <v>3.2980127294591405E-2</v>
      </c>
      <c r="J158" s="29">
        <f t="shared" si="10"/>
        <v>3.2980127294591099E-2</v>
      </c>
      <c r="K158" s="29">
        <f t="shared" si="8"/>
        <v>4.1444205706720465E-2</v>
      </c>
      <c r="L158" s="31">
        <v>3.5409999999999997E-2</v>
      </c>
    </row>
    <row r="159" spans="7:12" x14ac:dyDescent="0.35">
      <c r="G159" s="7">
        <v>136</v>
      </c>
      <c r="H159" s="24">
        <v>3.3520000000000001E-2</v>
      </c>
      <c r="I159" s="29">
        <f t="shared" si="9"/>
        <v>3.2970451669908751E-2</v>
      </c>
      <c r="J159" s="29">
        <f t="shared" si="10"/>
        <v>3.1664242337750892E-2</v>
      </c>
      <c r="K159" s="29">
        <f t="shared" si="8"/>
        <v>4.0128320749880257E-2</v>
      </c>
      <c r="L159" s="31">
        <v>3.5389999999999998E-2</v>
      </c>
    </row>
    <row r="160" spans="7:12" x14ac:dyDescent="0.35">
      <c r="G160" s="7">
        <v>137</v>
      </c>
      <c r="H160" s="24">
        <v>3.3520000000000001E-2</v>
      </c>
      <c r="I160" s="29">
        <f t="shared" si="9"/>
        <v>3.2970451669908751E-2</v>
      </c>
      <c r="J160" s="29">
        <f t="shared" si="10"/>
        <v>3.2970451669909195E-2</v>
      </c>
      <c r="K160" s="29">
        <f t="shared" si="8"/>
        <v>4.1434530082038561E-2</v>
      </c>
      <c r="L160" s="31">
        <v>3.5380000000000002E-2</v>
      </c>
    </row>
    <row r="161" spans="7:12" x14ac:dyDescent="0.35">
      <c r="G161" s="7">
        <v>138</v>
      </c>
      <c r="H161" s="24">
        <v>3.3509999999999998E-2</v>
      </c>
      <c r="I161" s="29">
        <f t="shared" si="9"/>
        <v>3.2960775951607471E-2</v>
      </c>
      <c r="J161" s="29">
        <f t="shared" si="10"/>
        <v>3.1635202544332053E-2</v>
      </c>
      <c r="K161" s="29">
        <f t="shared" si="8"/>
        <v>4.0099280956461418E-2</v>
      </c>
      <c r="L161" s="31">
        <v>3.5360000000000003E-2</v>
      </c>
    </row>
    <row r="162" spans="7:12" x14ac:dyDescent="0.35">
      <c r="G162" s="2">
        <v>139</v>
      </c>
      <c r="H162" s="25">
        <v>3.3509999999999998E-2</v>
      </c>
      <c r="I162" s="29">
        <f t="shared" si="9"/>
        <v>3.2960775951607471E-2</v>
      </c>
      <c r="J162" s="29">
        <f t="shared" si="10"/>
        <v>3.2960775951607069E-2</v>
      </c>
      <c r="K162" s="29">
        <f t="shared" si="8"/>
        <v>4.1424854363736434E-2</v>
      </c>
      <c r="L162" s="31">
        <v>3.5340000000000003E-2</v>
      </c>
    </row>
    <row r="163" spans="7:12" x14ac:dyDescent="0.35">
      <c r="G163" s="2">
        <v>140</v>
      </c>
      <c r="H163" s="25">
        <v>3.3509999999999998E-2</v>
      </c>
      <c r="I163" s="29">
        <f t="shared" si="9"/>
        <v>3.2960775951607471E-2</v>
      </c>
      <c r="J163" s="29">
        <f t="shared" si="10"/>
        <v>3.2960775951607069E-2</v>
      </c>
      <c r="K163" s="29">
        <f t="shared" si="8"/>
        <v>4.1424854363736434E-2</v>
      </c>
      <c r="L163" s="31">
        <v>3.533E-2</v>
      </c>
    </row>
    <row r="164" spans="7:12" x14ac:dyDescent="0.35">
      <c r="G164" s="7">
        <v>141</v>
      </c>
      <c r="H164" s="24">
        <v>3.3500000000000002E-2</v>
      </c>
      <c r="I164" s="29">
        <f t="shared" si="9"/>
        <v>3.2951100139685982E-2</v>
      </c>
      <c r="J164" s="29">
        <f t="shared" si="10"/>
        <v>3.1596486470677476E-2</v>
      </c>
      <c r="K164" s="29">
        <f t="shared" si="8"/>
        <v>4.0060564882806841E-2</v>
      </c>
      <c r="L164" s="31">
        <v>3.5310000000000001E-2</v>
      </c>
    </row>
    <row r="165" spans="7:12" x14ac:dyDescent="0.35">
      <c r="G165" s="7">
        <v>142</v>
      </c>
      <c r="H165" s="24">
        <v>3.3500000000000002E-2</v>
      </c>
      <c r="I165" s="29">
        <f t="shared" si="9"/>
        <v>3.2951100139685982E-2</v>
      </c>
      <c r="J165" s="29">
        <f t="shared" si="10"/>
        <v>3.2951100139686496E-2</v>
      </c>
      <c r="K165" s="29">
        <f t="shared" si="8"/>
        <v>4.1415178551815861E-2</v>
      </c>
      <c r="L165" s="31">
        <v>3.5290000000000002E-2</v>
      </c>
    </row>
    <row r="166" spans="7:12" x14ac:dyDescent="0.35">
      <c r="G166" s="7">
        <v>143</v>
      </c>
      <c r="H166" s="24">
        <v>3.3500000000000002E-2</v>
      </c>
      <c r="I166" s="29">
        <f t="shared" si="9"/>
        <v>3.2951100139685982E-2</v>
      </c>
      <c r="J166" s="29">
        <f t="shared" si="10"/>
        <v>3.2951100139685607E-2</v>
      </c>
      <c r="K166" s="29">
        <f t="shared" si="8"/>
        <v>4.1415178551814973E-2</v>
      </c>
      <c r="L166" s="31">
        <v>3.5279999999999999E-2</v>
      </c>
    </row>
    <row r="167" spans="7:12" x14ac:dyDescent="0.35">
      <c r="G167" s="2">
        <v>144</v>
      </c>
      <c r="H167" s="25">
        <v>3.3489999999999999E-2</v>
      </c>
      <c r="I167" s="29">
        <f t="shared" si="9"/>
        <v>3.2941424234142036E-2</v>
      </c>
      <c r="J167" s="29">
        <f t="shared" si="10"/>
        <v>3.1557769741358044E-2</v>
      </c>
      <c r="K167" s="29">
        <f t="shared" si="8"/>
        <v>4.0021848153487409E-2</v>
      </c>
      <c r="L167" s="31">
        <v>3.526E-2</v>
      </c>
    </row>
    <row r="168" spans="7:12" x14ac:dyDescent="0.35">
      <c r="G168" s="2">
        <v>145</v>
      </c>
      <c r="H168" s="25">
        <v>3.3489999999999999E-2</v>
      </c>
      <c r="I168" s="29">
        <f t="shared" si="9"/>
        <v>3.2941424234142036E-2</v>
      </c>
      <c r="J168" s="29">
        <f t="shared" si="10"/>
        <v>3.2941424234142147E-2</v>
      </c>
      <c r="K168" s="29">
        <f t="shared" si="8"/>
        <v>4.1405502646271512E-2</v>
      </c>
      <c r="L168" s="31">
        <v>3.5249999999999997E-2</v>
      </c>
    </row>
    <row r="169" spans="7:12" x14ac:dyDescent="0.35">
      <c r="G169" s="7">
        <v>146</v>
      </c>
      <c r="H169" s="24">
        <v>3.3489999999999999E-2</v>
      </c>
      <c r="I169" s="29">
        <f t="shared" si="9"/>
        <v>3.2941424234142036E-2</v>
      </c>
      <c r="J169" s="29">
        <f t="shared" si="10"/>
        <v>3.2941424234142147E-2</v>
      </c>
      <c r="K169" s="29">
        <f t="shared" si="8"/>
        <v>4.1405502646271512E-2</v>
      </c>
      <c r="L169" s="31">
        <v>3.5229999999999997E-2</v>
      </c>
    </row>
    <row r="170" spans="7:12" x14ac:dyDescent="0.35">
      <c r="G170" s="7">
        <v>147</v>
      </c>
      <c r="H170" s="24">
        <v>3.3480000000000003E-2</v>
      </c>
      <c r="I170" s="29">
        <f t="shared" si="9"/>
        <v>3.293174823497403E-2</v>
      </c>
      <c r="J170" s="29">
        <f t="shared" si="10"/>
        <v>3.151905235644481E-2</v>
      </c>
      <c r="K170" s="29">
        <f t="shared" si="8"/>
        <v>3.9983130768574175E-2</v>
      </c>
      <c r="L170" s="31">
        <v>3.5209999999999998E-2</v>
      </c>
    </row>
    <row r="171" spans="7:12" x14ac:dyDescent="0.35">
      <c r="G171" s="7">
        <v>148</v>
      </c>
      <c r="H171" s="24">
        <v>3.3480000000000003E-2</v>
      </c>
      <c r="I171" s="29">
        <f t="shared" si="9"/>
        <v>3.293174823497403E-2</v>
      </c>
      <c r="J171" s="29">
        <f t="shared" si="10"/>
        <v>3.2931748234974023E-2</v>
      </c>
      <c r="K171" s="29">
        <f t="shared" si="8"/>
        <v>4.1395826647103388E-2</v>
      </c>
      <c r="L171" s="31">
        <v>3.5200000000000002E-2</v>
      </c>
    </row>
    <row r="172" spans="7:12" x14ac:dyDescent="0.35">
      <c r="G172" s="2">
        <v>149</v>
      </c>
      <c r="H172" s="25">
        <v>3.3480000000000003E-2</v>
      </c>
      <c r="I172" s="29">
        <f t="shared" si="9"/>
        <v>3.293174823497403E-2</v>
      </c>
      <c r="J172" s="29">
        <f t="shared" si="10"/>
        <v>3.2931748234974023E-2</v>
      </c>
      <c r="K172" s="29">
        <f t="shared" si="8"/>
        <v>4.1395826647103388E-2</v>
      </c>
      <c r="L172" s="31">
        <v>3.5180000000000003E-2</v>
      </c>
    </row>
    <row r="173" spans="7:12" x14ac:dyDescent="0.35">
      <c r="G173" s="2">
        <v>150</v>
      </c>
      <c r="H173" s="25">
        <v>3.347E-2</v>
      </c>
      <c r="I173" s="29">
        <f t="shared" si="9"/>
        <v>3.292207214218016E-2</v>
      </c>
      <c r="J173" s="29">
        <f t="shared" si="10"/>
        <v>3.1480334315893366E-2</v>
      </c>
      <c r="K173" s="29">
        <f t="shared" si="8"/>
        <v>3.9944412728022731E-2</v>
      </c>
      <c r="L173" s="32">
        <v>3.517E-2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J12" sqref="J12"/>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3.7303968615788073E-2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3.261E-2</v>
      </c>
      <c r="I23" s="29">
        <f>LN(1+H23)</f>
        <v>3.2089577708597508E-2</v>
      </c>
      <c r="J23" s="29">
        <f>I23</f>
        <v>3.2089577708597508E-2</v>
      </c>
      <c r="K23" s="29">
        <f t="shared" ref="K23:K54" si="0">J23+LN(1+V.TOTAL_VA)</f>
        <v>3.5483810776613126E-2</v>
      </c>
      <c r="L23" s="30" cm="1">
        <f t="array" ref="L23:L172">ROUND(Extrapolation(K23:K172, "F", V.FSP,V.UFR,V.TOTAL_VA_LLFR,V.ALPHA,"A"), 5)</f>
        <v>3.6119999999999999E-2</v>
      </c>
    </row>
    <row r="24" spans="6:12" x14ac:dyDescent="0.35">
      <c r="G24" s="7">
        <v>2</v>
      </c>
      <c r="H24" s="24">
        <v>3.4290000000000001E-2</v>
      </c>
      <c r="I24" s="29">
        <f t="shared" ref="I24:I87" si="1">LN(1+H24)</f>
        <v>3.3715200980135585E-2</v>
      </c>
      <c r="J24" s="29">
        <f>G24*I24-G23*I23</f>
        <v>3.5340824251673661E-2</v>
      </c>
      <c r="K24" s="29">
        <f t="shared" si="0"/>
        <v>3.8735057319689278E-2</v>
      </c>
      <c r="L24" s="31">
        <v>3.7810000000000003E-2</v>
      </c>
    </row>
    <row r="25" spans="6:12" x14ac:dyDescent="0.35">
      <c r="G25" s="7">
        <v>3</v>
      </c>
      <c r="H25" s="24">
        <v>3.4599999999999999E-2</v>
      </c>
      <c r="I25" s="29">
        <f t="shared" si="1"/>
        <v>3.4014878587277621E-2</v>
      </c>
      <c r="J25" s="29">
        <f t="shared" ref="J25:J88" si="2">G25*I25-G24*I24</f>
        <v>3.46142338015617E-2</v>
      </c>
      <c r="K25" s="29">
        <f t="shared" si="0"/>
        <v>3.8008466869577318E-2</v>
      </c>
      <c r="L25" s="31">
        <v>3.8120000000000001E-2</v>
      </c>
    </row>
    <row r="26" spans="6:12" x14ac:dyDescent="0.35">
      <c r="G26" s="2">
        <v>4</v>
      </c>
      <c r="H26" s="25">
        <v>3.4720000000000001E-2</v>
      </c>
      <c r="I26" s="29">
        <f t="shared" si="1"/>
        <v>3.4130858716145684E-2</v>
      </c>
      <c r="J26" s="29">
        <f t="shared" si="2"/>
        <v>3.4478799102749869E-2</v>
      </c>
      <c r="K26" s="29">
        <f t="shared" si="0"/>
        <v>3.7873032170765486E-2</v>
      </c>
      <c r="L26" s="31">
        <v>3.8240000000000003E-2</v>
      </c>
    </row>
    <row r="27" spans="6:12" x14ac:dyDescent="0.35">
      <c r="G27" s="2">
        <v>5</v>
      </c>
      <c r="H27" s="25">
        <v>3.4779999999999998E-2</v>
      </c>
      <c r="I27" s="29">
        <f t="shared" si="1"/>
        <v>3.4188843736698241E-2</v>
      </c>
      <c r="J27" s="29">
        <f t="shared" si="2"/>
        <v>3.4420783818908451E-2</v>
      </c>
      <c r="K27" s="29">
        <f t="shared" si="0"/>
        <v>3.7815016886924069E-2</v>
      </c>
      <c r="L27" s="31">
        <v>3.8300000000000001E-2</v>
      </c>
    </row>
    <row r="28" spans="6:12" x14ac:dyDescent="0.35">
      <c r="G28" s="7">
        <v>6</v>
      </c>
      <c r="H28" s="24">
        <v>3.4869999999999998E-2</v>
      </c>
      <c r="I28" s="29">
        <f t="shared" si="1"/>
        <v>3.427581496377205E-2</v>
      </c>
      <c r="J28" s="29">
        <f t="shared" si="2"/>
        <v>3.471067109914111E-2</v>
      </c>
      <c r="K28" s="29">
        <f t="shared" si="0"/>
        <v>3.8104904167156728E-2</v>
      </c>
      <c r="L28" s="31">
        <v>3.8390000000000001E-2</v>
      </c>
    </row>
    <row r="29" spans="6:12" x14ac:dyDescent="0.35">
      <c r="G29" s="7">
        <v>7</v>
      </c>
      <c r="H29" s="24">
        <v>3.5020000000000003E-2</v>
      </c>
      <c r="I29" s="29">
        <f t="shared" si="1"/>
        <v>3.4420750202130299E-2</v>
      </c>
      <c r="J29" s="29">
        <f t="shared" si="2"/>
        <v>3.5290361632279776E-2</v>
      </c>
      <c r="K29" s="29">
        <f t="shared" si="0"/>
        <v>3.8684594700295394E-2</v>
      </c>
      <c r="L29" s="31">
        <v>3.8539999999999998E-2</v>
      </c>
    </row>
    <row r="30" spans="6:12" x14ac:dyDescent="0.35">
      <c r="G30" s="7">
        <v>8</v>
      </c>
      <c r="H30" s="24">
        <v>3.5220000000000001E-2</v>
      </c>
      <c r="I30" s="29">
        <f t="shared" si="1"/>
        <v>3.4613964516047688E-2</v>
      </c>
      <c r="J30" s="29">
        <f t="shared" si="2"/>
        <v>3.5966464713469426E-2</v>
      </c>
      <c r="K30" s="29">
        <f t="shared" si="0"/>
        <v>3.9360697781485043E-2</v>
      </c>
      <c r="L30" s="31">
        <v>3.8739999999999997E-2</v>
      </c>
    </row>
    <row r="31" spans="6:12" x14ac:dyDescent="0.35">
      <c r="G31" s="2">
        <v>9</v>
      </c>
      <c r="H31" s="25">
        <v>3.5430000000000003E-2</v>
      </c>
      <c r="I31" s="29">
        <f t="shared" si="1"/>
        <v>3.4816799375362424E-2</v>
      </c>
      <c r="J31" s="29">
        <f t="shared" si="2"/>
        <v>3.6439478249880308E-2</v>
      </c>
      <c r="K31" s="29">
        <f t="shared" si="0"/>
        <v>3.9833711317895926E-2</v>
      </c>
      <c r="L31" s="31">
        <v>3.8949999999999999E-2</v>
      </c>
    </row>
    <row r="32" spans="6:12" x14ac:dyDescent="0.35">
      <c r="G32" s="2">
        <v>10</v>
      </c>
      <c r="H32" s="25">
        <v>3.567E-2</v>
      </c>
      <c r="I32" s="29">
        <f t="shared" si="1"/>
        <v>3.5048560276404656E-2</v>
      </c>
      <c r="J32" s="29">
        <f t="shared" si="2"/>
        <v>3.7134408385784745E-2</v>
      </c>
      <c r="K32" s="29">
        <f t="shared" si="0"/>
        <v>4.0528641453800363E-2</v>
      </c>
      <c r="L32" s="31">
        <v>3.9190000000000003E-2</v>
      </c>
    </row>
    <row r="33" spans="7:12" x14ac:dyDescent="0.35">
      <c r="G33" s="7">
        <v>11</v>
      </c>
      <c r="H33" s="24">
        <v>3.5869999999999999E-2</v>
      </c>
      <c r="I33" s="29">
        <f t="shared" si="1"/>
        <v>3.5241653338205434E-2</v>
      </c>
      <c r="J33" s="29">
        <f t="shared" si="2"/>
        <v>3.7172583956213201E-2</v>
      </c>
      <c r="K33" s="29">
        <f t="shared" si="0"/>
        <v>4.0566817024228818E-2</v>
      </c>
      <c r="L33" s="31">
        <v>3.9390000000000001E-2</v>
      </c>
    </row>
    <row r="34" spans="7:12" x14ac:dyDescent="0.35">
      <c r="G34" s="7">
        <v>12</v>
      </c>
      <c r="H34" s="24">
        <v>3.6060000000000002E-2</v>
      </c>
      <c r="I34" s="29">
        <f t="shared" si="1"/>
        <v>3.5425057218194139E-2</v>
      </c>
      <c r="J34" s="29">
        <f t="shared" si="2"/>
        <v>3.7442499898069914E-2</v>
      </c>
      <c r="K34" s="29">
        <f t="shared" si="0"/>
        <v>4.0836732966085532E-2</v>
      </c>
      <c r="L34" s="31">
        <v>3.9579999999999997E-2</v>
      </c>
    </row>
    <row r="35" spans="7:12" x14ac:dyDescent="0.35">
      <c r="G35" s="7">
        <v>13</v>
      </c>
      <c r="H35" s="24">
        <v>3.6200000000000003E-2</v>
      </c>
      <c r="I35" s="29">
        <f t="shared" si="1"/>
        <v>3.5560175398550879E-2</v>
      </c>
      <c r="J35" s="29">
        <f t="shared" si="2"/>
        <v>3.7181593562831738E-2</v>
      </c>
      <c r="K35" s="29">
        <f t="shared" si="0"/>
        <v>4.0575826630847356E-2</v>
      </c>
      <c r="L35" s="31">
        <v>3.9719999999999998E-2</v>
      </c>
    </row>
    <row r="36" spans="7:12" x14ac:dyDescent="0.35">
      <c r="G36" s="2">
        <v>14</v>
      </c>
      <c r="H36" s="25">
        <v>3.6290000000000003E-2</v>
      </c>
      <c r="I36" s="29">
        <f t="shared" si="1"/>
        <v>3.5647027446142419E-2</v>
      </c>
      <c r="J36" s="29">
        <f t="shared" si="2"/>
        <v>3.6776104064832449E-2</v>
      </c>
      <c r="K36" s="29">
        <f t="shared" si="0"/>
        <v>4.0170337132848066E-2</v>
      </c>
      <c r="L36" s="31">
        <v>3.9809999999999998E-2</v>
      </c>
    </row>
    <row r="37" spans="7:12" x14ac:dyDescent="0.35">
      <c r="G37" s="2">
        <v>15</v>
      </c>
      <c r="H37" s="25">
        <v>3.6330000000000001E-2</v>
      </c>
      <c r="I37" s="29">
        <f t="shared" si="1"/>
        <v>3.568562593501641E-2</v>
      </c>
      <c r="J37" s="29">
        <f t="shared" si="2"/>
        <v>3.6226004779252252E-2</v>
      </c>
      <c r="K37" s="29">
        <f t="shared" si="0"/>
        <v>3.962023784726787E-2</v>
      </c>
      <c r="L37" s="31">
        <v>3.9849999999999997E-2</v>
      </c>
    </row>
    <row r="38" spans="7:12" x14ac:dyDescent="0.35">
      <c r="G38" s="7">
        <v>16</v>
      </c>
      <c r="H38" s="24">
        <v>3.6209999999999999E-2</v>
      </c>
      <c r="I38" s="29">
        <f t="shared" si="1"/>
        <v>3.5569825998577068E-2</v>
      </c>
      <c r="J38" s="29">
        <f t="shared" si="2"/>
        <v>3.3832826951986972E-2</v>
      </c>
      <c r="K38" s="29">
        <f t="shared" si="0"/>
        <v>3.7227060020002589E-2</v>
      </c>
      <c r="L38" s="31">
        <v>3.9730000000000001E-2</v>
      </c>
    </row>
    <row r="39" spans="7:12" x14ac:dyDescent="0.35">
      <c r="G39" s="7">
        <v>17</v>
      </c>
      <c r="H39" s="24">
        <v>3.6110000000000003E-2</v>
      </c>
      <c r="I39" s="29">
        <f t="shared" si="1"/>
        <v>3.5473315807025951E-2</v>
      </c>
      <c r="J39" s="29">
        <f t="shared" si="2"/>
        <v>3.3929152742208091E-2</v>
      </c>
      <c r="K39" s="29">
        <f t="shared" si="0"/>
        <v>3.7323385810223708E-2</v>
      </c>
      <c r="L39" s="31">
        <v>3.9629999999999999E-2</v>
      </c>
    </row>
    <row r="40" spans="7:12" x14ac:dyDescent="0.35">
      <c r="G40" s="7">
        <v>18</v>
      </c>
      <c r="H40" s="24">
        <v>3.6020000000000003E-2</v>
      </c>
      <c r="I40" s="29">
        <f t="shared" si="1"/>
        <v>3.5386448670256788E-2</v>
      </c>
      <c r="J40" s="29">
        <f t="shared" si="2"/>
        <v>3.3909707345181062E-2</v>
      </c>
      <c r="K40" s="29">
        <f t="shared" si="0"/>
        <v>3.7303940413196679E-2</v>
      </c>
      <c r="L40" s="31">
        <v>3.9539999999999999E-2</v>
      </c>
    </row>
    <row r="41" spans="7:12" x14ac:dyDescent="0.35">
      <c r="G41" s="2">
        <v>19</v>
      </c>
      <c r="H41" s="25">
        <v>3.594E-2</v>
      </c>
      <c r="I41" s="29">
        <f t="shared" si="1"/>
        <v>3.5309227102234615E-2</v>
      </c>
      <c r="J41" s="29">
        <f t="shared" si="2"/>
        <v>3.3919238877835434E-2</v>
      </c>
      <c r="K41" s="29">
        <f t="shared" si="0"/>
        <v>3.7313471945851051E-2</v>
      </c>
      <c r="L41" s="31">
        <v>3.9460000000000002E-2</v>
      </c>
    </row>
    <row r="42" spans="7:12" x14ac:dyDescent="0.35">
      <c r="G42" s="2">
        <v>20</v>
      </c>
      <c r="H42" s="25">
        <v>3.5869999999999999E-2</v>
      </c>
      <c r="I42" s="29">
        <f t="shared" si="1"/>
        <v>3.5241653338205434E-2</v>
      </c>
      <c r="J42" s="29">
        <f t="shared" si="2"/>
        <v>3.3957751821651061E-2</v>
      </c>
      <c r="K42" s="29">
        <f t="shared" si="0"/>
        <v>3.7351984889666678E-2</v>
      </c>
      <c r="L42" s="31">
        <v>3.9390000000000001E-2</v>
      </c>
    </row>
    <row r="43" spans="7:12" x14ac:dyDescent="0.35">
      <c r="G43" s="7">
        <v>21</v>
      </c>
      <c r="H43" s="24">
        <v>3.5799999999999998E-2</v>
      </c>
      <c r="I43" s="29">
        <f t="shared" si="1"/>
        <v>3.5174075007654085E-2</v>
      </c>
      <c r="J43" s="29">
        <f t="shared" si="2"/>
        <v>3.3822508396627038E-2</v>
      </c>
      <c r="K43" s="29">
        <f t="shared" si="0"/>
        <v>3.7216741464642655E-2</v>
      </c>
      <c r="L43" s="31">
        <v>3.9309999999999998E-2</v>
      </c>
    </row>
    <row r="44" spans="7:12" x14ac:dyDescent="0.35">
      <c r="G44" s="7">
        <v>22</v>
      </c>
      <c r="H44" s="24">
        <v>3.5729999999999998E-2</v>
      </c>
      <c r="I44" s="29">
        <f t="shared" si="1"/>
        <v>3.510649210996334E-2</v>
      </c>
      <c r="J44" s="29">
        <f t="shared" si="2"/>
        <v>3.3687251258457729E-2</v>
      </c>
      <c r="K44" s="29">
        <f t="shared" si="0"/>
        <v>3.7081484326473346E-2</v>
      </c>
      <c r="L44" s="31">
        <v>3.9219999999999998E-2</v>
      </c>
    </row>
    <row r="45" spans="7:12" x14ac:dyDescent="0.35">
      <c r="G45" s="7">
        <v>23</v>
      </c>
      <c r="H45" s="24">
        <v>3.5659999999999997E-2</v>
      </c>
      <c r="I45" s="29">
        <f t="shared" si="1"/>
        <v>3.5038904644515825E-2</v>
      </c>
      <c r="J45" s="29">
        <f t="shared" si="2"/>
        <v>3.3551980404670445E-2</v>
      </c>
      <c r="K45" s="29">
        <f t="shared" si="0"/>
        <v>3.6946213472686062E-2</v>
      </c>
      <c r="L45" s="31">
        <v>3.9109999999999999E-2</v>
      </c>
    </row>
    <row r="46" spans="7:12" x14ac:dyDescent="0.35">
      <c r="G46" s="2">
        <v>24</v>
      </c>
      <c r="H46" s="25">
        <v>3.5589999999999997E-2</v>
      </c>
      <c r="I46" s="29">
        <f t="shared" si="1"/>
        <v>3.4971312610694062E-2</v>
      </c>
      <c r="J46" s="29">
        <f t="shared" si="2"/>
        <v>3.3416695832793608E-2</v>
      </c>
      <c r="K46" s="29">
        <f t="shared" si="0"/>
        <v>3.6810928900809226E-2</v>
      </c>
      <c r="L46" s="31">
        <v>3.9E-2</v>
      </c>
    </row>
    <row r="47" spans="7:12" x14ac:dyDescent="0.35">
      <c r="G47" s="2">
        <v>25</v>
      </c>
      <c r="H47" s="25">
        <v>3.5529999999999999E-2</v>
      </c>
      <c r="I47" s="29">
        <f t="shared" si="1"/>
        <v>3.4913372945182902E-2</v>
      </c>
      <c r="J47" s="29">
        <f t="shared" si="2"/>
        <v>3.3522820972915035E-2</v>
      </c>
      <c r="K47" s="29">
        <f t="shared" si="0"/>
        <v>3.6917054040930652E-2</v>
      </c>
      <c r="L47" s="31">
        <v>3.8879999999999998E-2</v>
      </c>
    </row>
    <row r="48" spans="7:12" x14ac:dyDescent="0.35">
      <c r="G48" s="7">
        <v>26</v>
      </c>
      <c r="H48" s="24">
        <v>3.5459999999999998E-2</v>
      </c>
      <c r="I48" s="29">
        <f t="shared" si="1"/>
        <v>3.4845772425598866E-2</v>
      </c>
      <c r="J48" s="29">
        <f t="shared" si="2"/>
        <v>3.3155759435997911E-2</v>
      </c>
      <c r="K48" s="29">
        <f t="shared" si="0"/>
        <v>3.6549992504013529E-2</v>
      </c>
      <c r="L48" s="31">
        <v>3.8760000000000003E-2</v>
      </c>
    </row>
    <row r="49" spans="7:12" x14ac:dyDescent="0.35">
      <c r="G49" s="7">
        <v>27</v>
      </c>
      <c r="H49" s="24">
        <v>3.5400000000000001E-2</v>
      </c>
      <c r="I49" s="29">
        <f t="shared" si="1"/>
        <v>3.4787825485664024E-2</v>
      </c>
      <c r="J49" s="29">
        <f t="shared" si="2"/>
        <v>3.3281205047358209E-2</v>
      </c>
      <c r="K49" s="29">
        <f t="shared" si="0"/>
        <v>3.6675438115373826E-2</v>
      </c>
      <c r="L49" s="31">
        <v>3.8640000000000001E-2</v>
      </c>
    </row>
    <row r="50" spans="7:12" x14ac:dyDescent="0.35">
      <c r="G50" s="7">
        <v>28</v>
      </c>
      <c r="H50" s="24">
        <v>3.533E-2</v>
      </c>
      <c r="I50" s="29">
        <f t="shared" si="1"/>
        <v>3.4720216478186773E-2</v>
      </c>
      <c r="J50" s="29">
        <f t="shared" si="2"/>
        <v>3.289477327630097E-2</v>
      </c>
      <c r="K50" s="29">
        <f t="shared" si="0"/>
        <v>3.6289006344316588E-2</v>
      </c>
      <c r="L50" s="31">
        <v>3.8519999999999999E-2</v>
      </c>
    </row>
    <row r="51" spans="7:12" x14ac:dyDescent="0.35">
      <c r="G51" s="2">
        <v>29</v>
      </c>
      <c r="H51" s="25">
        <v>3.5270000000000003E-2</v>
      </c>
      <c r="I51" s="29">
        <f t="shared" si="1"/>
        <v>3.4662262262001163E-2</v>
      </c>
      <c r="J51" s="29">
        <f t="shared" si="2"/>
        <v>3.303954420880395E-2</v>
      </c>
      <c r="K51" s="29">
        <f t="shared" si="0"/>
        <v>3.6433777276819568E-2</v>
      </c>
      <c r="L51" s="31">
        <v>3.8390000000000001E-2</v>
      </c>
    </row>
    <row r="52" spans="7:12" x14ac:dyDescent="0.35">
      <c r="G52" s="2">
        <v>30</v>
      </c>
      <c r="H52" s="25">
        <v>3.5209999999999998E-2</v>
      </c>
      <c r="I52" s="29">
        <f t="shared" si="1"/>
        <v>3.4604304686929932E-2</v>
      </c>
      <c r="J52" s="29">
        <f t="shared" si="2"/>
        <v>3.2923535009864224E-2</v>
      </c>
      <c r="K52" s="29">
        <f t="shared" si="0"/>
        <v>3.6317768077879842E-2</v>
      </c>
      <c r="L52" s="31">
        <v>3.8269999999999998E-2</v>
      </c>
    </row>
    <row r="53" spans="7:12" x14ac:dyDescent="0.35">
      <c r="G53" s="7">
        <v>31</v>
      </c>
      <c r="H53" s="24">
        <v>3.5159999999999997E-2</v>
      </c>
      <c r="I53" s="29">
        <f t="shared" si="1"/>
        <v>3.4556004141607498E-2</v>
      </c>
      <c r="J53" s="29">
        <f t="shared" si="2"/>
        <v>3.3106987781934549E-2</v>
      </c>
      <c r="K53" s="29">
        <f t="shared" si="0"/>
        <v>3.6501220849950167E-2</v>
      </c>
      <c r="L53" s="31">
        <v>3.8150000000000003E-2</v>
      </c>
    </row>
    <row r="54" spans="7:12" x14ac:dyDescent="0.35">
      <c r="G54" s="7">
        <v>32</v>
      </c>
      <c r="H54" s="24">
        <v>3.5099999999999999E-2</v>
      </c>
      <c r="I54" s="29">
        <f t="shared" si="1"/>
        <v>3.4498040407567356E-2</v>
      </c>
      <c r="J54" s="29">
        <f t="shared" si="2"/>
        <v>3.2701164652322978E-2</v>
      </c>
      <c r="K54" s="29">
        <f t="shared" si="0"/>
        <v>3.6095397720338596E-2</v>
      </c>
      <c r="L54" s="31">
        <v>3.8039999999999997E-2</v>
      </c>
    </row>
    <row r="55" spans="7:12" x14ac:dyDescent="0.35">
      <c r="G55" s="7">
        <v>33</v>
      </c>
      <c r="H55" s="24">
        <v>3.5049999999999998E-2</v>
      </c>
      <c r="I55" s="29">
        <f t="shared" si="1"/>
        <v>3.4449734729225585E-2</v>
      </c>
      <c r="J55" s="29">
        <f t="shared" si="2"/>
        <v>3.290395302228899E-2</v>
      </c>
      <c r="K55" s="29">
        <f t="shared" ref="K55:K86" si="3">J55+LN(1+V.TOTAL_VA)</f>
        <v>3.6298186090304607E-2</v>
      </c>
      <c r="L55" s="31">
        <v>3.7920000000000002E-2</v>
      </c>
    </row>
    <row r="56" spans="7:12" x14ac:dyDescent="0.35">
      <c r="G56" s="2">
        <v>34</v>
      </c>
      <c r="H56" s="25">
        <v>3.5000000000000003E-2</v>
      </c>
      <c r="I56" s="29">
        <f t="shared" si="1"/>
        <v>3.4401426717332317E-2</v>
      </c>
      <c r="J56" s="29">
        <f t="shared" si="2"/>
        <v>3.2807262324854314E-2</v>
      </c>
      <c r="K56" s="29">
        <f t="shared" si="3"/>
        <v>3.6201495392869931E-2</v>
      </c>
      <c r="L56" s="31">
        <v>3.7810000000000003E-2</v>
      </c>
    </row>
    <row r="57" spans="7:12" x14ac:dyDescent="0.35">
      <c r="G57" s="2">
        <v>35</v>
      </c>
      <c r="H57" s="25">
        <v>3.4950000000000002E-2</v>
      </c>
      <c r="I57" s="29">
        <f t="shared" si="1"/>
        <v>3.4353116371662509E-2</v>
      </c>
      <c r="J57" s="29">
        <f t="shared" si="2"/>
        <v>3.2710564618889215E-2</v>
      </c>
      <c r="K57" s="29">
        <f t="shared" si="3"/>
        <v>3.6104797686904833E-2</v>
      </c>
      <c r="L57" s="31">
        <v>3.7699999999999997E-2</v>
      </c>
    </row>
    <row r="58" spans="7:12" x14ac:dyDescent="0.35">
      <c r="G58" s="7">
        <v>36</v>
      </c>
      <c r="H58" s="24">
        <v>3.4909999999999997E-2</v>
      </c>
      <c r="I58" s="29">
        <f t="shared" si="1"/>
        <v>3.4314466414655742E-2</v>
      </c>
      <c r="J58" s="29">
        <f t="shared" si="2"/>
        <v>3.296171791941882E-2</v>
      </c>
      <c r="K58" s="29">
        <f t="shared" si="3"/>
        <v>3.6355950987434438E-2</v>
      </c>
      <c r="L58" s="31">
        <v>3.7589999999999998E-2</v>
      </c>
    </row>
    <row r="59" spans="7:12" x14ac:dyDescent="0.35">
      <c r="G59" s="7">
        <v>37</v>
      </c>
      <c r="H59" s="24">
        <v>3.4860000000000002E-2</v>
      </c>
      <c r="I59" s="29">
        <f t="shared" si="1"/>
        <v>3.4266151867619492E-2</v>
      </c>
      <c r="J59" s="29">
        <f t="shared" si="2"/>
        <v>3.2526828174314515E-2</v>
      </c>
      <c r="K59" s="29">
        <f t="shared" si="3"/>
        <v>3.5921061242330132E-2</v>
      </c>
      <c r="L59" s="31">
        <v>3.7490000000000002E-2</v>
      </c>
    </row>
    <row r="60" spans="7:12" x14ac:dyDescent="0.35">
      <c r="G60" s="7">
        <v>38</v>
      </c>
      <c r="H60" s="24">
        <v>3.4819999999999997E-2</v>
      </c>
      <c r="I60" s="29">
        <f t="shared" si="1"/>
        <v>3.4227498549227256E-2</v>
      </c>
      <c r="J60" s="29">
        <f t="shared" si="2"/>
        <v>3.2797325768714414E-2</v>
      </c>
      <c r="K60" s="29">
        <f t="shared" si="3"/>
        <v>3.6191558836730031E-2</v>
      </c>
      <c r="L60" s="31">
        <v>3.739E-2</v>
      </c>
    </row>
    <row r="61" spans="7:12" x14ac:dyDescent="0.35">
      <c r="G61" s="2">
        <v>39</v>
      </c>
      <c r="H61" s="25">
        <v>3.4779999999999998E-2</v>
      </c>
      <c r="I61" s="29">
        <f t="shared" si="1"/>
        <v>3.4188843736698241E-2</v>
      </c>
      <c r="J61" s="29">
        <f t="shared" si="2"/>
        <v>3.2719960860595698E-2</v>
      </c>
      <c r="K61" s="29">
        <f t="shared" si="3"/>
        <v>3.6114193928611316E-2</v>
      </c>
      <c r="L61" s="31">
        <v>3.73E-2</v>
      </c>
    </row>
    <row r="62" spans="7:12" x14ac:dyDescent="0.35">
      <c r="G62" s="2">
        <v>40</v>
      </c>
      <c r="H62" s="25">
        <v>3.474E-2</v>
      </c>
      <c r="I62" s="29">
        <f t="shared" si="1"/>
        <v>3.4150187429916941E-2</v>
      </c>
      <c r="J62" s="29">
        <f t="shared" si="2"/>
        <v>3.2642591465446236E-2</v>
      </c>
      <c r="K62" s="29">
        <f t="shared" si="3"/>
        <v>3.6036824533461853E-2</v>
      </c>
      <c r="L62" s="31">
        <v>3.7199999999999997E-2</v>
      </c>
    </row>
    <row r="63" spans="7:12" x14ac:dyDescent="0.35">
      <c r="G63" s="7">
        <v>41</v>
      </c>
      <c r="H63" s="24">
        <v>3.4700000000000002E-2</v>
      </c>
      <c r="I63" s="29">
        <f t="shared" si="1"/>
        <v>3.4111529628767817E-2</v>
      </c>
      <c r="J63" s="29">
        <f t="shared" si="2"/>
        <v>3.2565217582802841E-2</v>
      </c>
      <c r="K63" s="29">
        <f t="shared" si="3"/>
        <v>3.5959450650818459E-2</v>
      </c>
      <c r="L63" s="31">
        <v>3.7109999999999997E-2</v>
      </c>
    </row>
    <row r="64" spans="7:12" x14ac:dyDescent="0.35">
      <c r="G64" s="7">
        <v>42</v>
      </c>
      <c r="H64" s="24">
        <v>3.4660000000000003E-2</v>
      </c>
      <c r="I64" s="29">
        <f t="shared" si="1"/>
        <v>3.407287033313533E-2</v>
      </c>
      <c r="J64" s="29">
        <f t="shared" si="2"/>
        <v>3.248783921220344E-2</v>
      </c>
      <c r="K64" s="29">
        <f t="shared" si="3"/>
        <v>3.5882072280219057E-2</v>
      </c>
      <c r="L64" s="31">
        <v>3.703E-2</v>
      </c>
    </row>
    <row r="65" spans="7:12" x14ac:dyDescent="0.35">
      <c r="G65" s="7">
        <v>43</v>
      </c>
      <c r="H65" s="24">
        <v>3.4619999999999998E-2</v>
      </c>
      <c r="I65" s="29">
        <f t="shared" si="1"/>
        <v>3.4034209542904141E-2</v>
      </c>
      <c r="J65" s="29">
        <f t="shared" si="2"/>
        <v>3.2410456353194173E-2</v>
      </c>
      <c r="K65" s="29">
        <f t="shared" si="3"/>
        <v>3.580468942120979E-2</v>
      </c>
      <c r="L65" s="31">
        <v>3.6940000000000001E-2</v>
      </c>
    </row>
    <row r="66" spans="7:12" x14ac:dyDescent="0.35">
      <c r="G66" s="2">
        <v>44</v>
      </c>
      <c r="H66" s="25">
        <v>3.4590000000000003E-2</v>
      </c>
      <c r="I66" s="29">
        <f t="shared" si="1"/>
        <v>3.4005212969330359E-2</v>
      </c>
      <c r="J66" s="29">
        <f t="shared" si="2"/>
        <v>3.2758360305657819E-2</v>
      </c>
      <c r="K66" s="29">
        <f t="shared" si="3"/>
        <v>3.6152593373673436E-2</v>
      </c>
      <c r="L66" s="31">
        <v>3.6859999999999997E-2</v>
      </c>
    </row>
    <row r="67" spans="7:12" x14ac:dyDescent="0.35">
      <c r="G67" s="2">
        <v>45</v>
      </c>
      <c r="H67" s="25">
        <v>3.456E-2</v>
      </c>
      <c r="I67" s="29">
        <f t="shared" si="1"/>
        <v>3.397621555493114E-2</v>
      </c>
      <c r="J67" s="29">
        <f t="shared" si="2"/>
        <v>3.2700329321365462E-2</v>
      </c>
      <c r="K67" s="29">
        <f t="shared" si="3"/>
        <v>3.609456238938108E-2</v>
      </c>
      <c r="L67" s="31">
        <v>3.678E-2</v>
      </c>
    </row>
    <row r="68" spans="7:12" x14ac:dyDescent="0.35">
      <c r="G68" s="7">
        <v>46</v>
      </c>
      <c r="H68" s="24">
        <v>3.4520000000000002E-2</v>
      </c>
      <c r="I68" s="29">
        <f t="shared" si="1"/>
        <v>3.3937551027697001E-2</v>
      </c>
      <c r="J68" s="29">
        <f t="shared" si="2"/>
        <v>3.2197647302160792E-2</v>
      </c>
      <c r="K68" s="29">
        <f t="shared" si="3"/>
        <v>3.559188037017641E-2</v>
      </c>
      <c r="L68" s="31">
        <v>3.671E-2</v>
      </c>
    </row>
    <row r="69" spans="7:12" x14ac:dyDescent="0.35">
      <c r="G69" s="7">
        <v>47</v>
      </c>
      <c r="H69" s="24">
        <v>3.449E-2</v>
      </c>
      <c r="I69" s="29">
        <f t="shared" si="1"/>
        <v>3.3908551651181375E-2</v>
      </c>
      <c r="J69" s="29">
        <f t="shared" si="2"/>
        <v>3.2574580331462544E-2</v>
      </c>
      <c r="K69" s="29">
        <f t="shared" si="3"/>
        <v>3.5968813399478161E-2</v>
      </c>
      <c r="L69" s="31">
        <v>3.6630000000000003E-2</v>
      </c>
    </row>
    <row r="70" spans="7:12" x14ac:dyDescent="0.35">
      <c r="G70" s="7">
        <v>48</v>
      </c>
      <c r="H70" s="24">
        <v>3.4459999999999998E-2</v>
      </c>
      <c r="I70" s="29">
        <f t="shared" si="1"/>
        <v>3.3879551433677733E-2</v>
      </c>
      <c r="J70" s="29">
        <f t="shared" si="2"/>
        <v>3.2516541211006444E-2</v>
      </c>
      <c r="K70" s="29">
        <f t="shared" si="3"/>
        <v>3.5910774279022062E-2</v>
      </c>
      <c r="L70" s="31">
        <v>3.6560000000000002E-2</v>
      </c>
    </row>
    <row r="71" spans="7:12" x14ac:dyDescent="0.35">
      <c r="G71" s="2">
        <v>49</v>
      </c>
      <c r="H71" s="25">
        <v>3.4439999999999998E-2</v>
      </c>
      <c r="I71" s="29">
        <f t="shared" si="1"/>
        <v>3.3860217488102279E-2</v>
      </c>
      <c r="J71" s="29">
        <f t="shared" si="2"/>
        <v>3.2932188100480486E-2</v>
      </c>
      <c r="K71" s="29">
        <f t="shared" si="3"/>
        <v>3.6326421168496104E-2</v>
      </c>
      <c r="L71" s="31">
        <v>3.6499999999999998E-2</v>
      </c>
    </row>
    <row r="72" spans="7:12" x14ac:dyDescent="0.35">
      <c r="G72" s="2">
        <v>50</v>
      </c>
      <c r="H72" s="25">
        <v>3.4410000000000003E-2</v>
      </c>
      <c r="I72" s="29">
        <f t="shared" si="1"/>
        <v>3.3831215868843197E-2</v>
      </c>
      <c r="J72" s="29">
        <f t="shared" si="2"/>
        <v>3.2410136525148348E-2</v>
      </c>
      <c r="K72" s="29">
        <f t="shared" si="3"/>
        <v>3.5804369593163965E-2</v>
      </c>
      <c r="L72" s="31">
        <v>3.6429999999999997E-2</v>
      </c>
    </row>
    <row r="73" spans="7:12" x14ac:dyDescent="0.35">
      <c r="G73" s="7">
        <v>51</v>
      </c>
      <c r="H73" s="24">
        <v>3.4380000000000001E-2</v>
      </c>
      <c r="I73" s="29">
        <f t="shared" si="1"/>
        <v>3.38022134084658E-2</v>
      </c>
      <c r="J73" s="29">
        <f t="shared" si="2"/>
        <v>3.2352090389595967E-2</v>
      </c>
      <c r="K73" s="29">
        <f t="shared" si="3"/>
        <v>3.5746323457611584E-2</v>
      </c>
      <c r="L73" s="31">
        <v>3.637E-2</v>
      </c>
    </row>
    <row r="74" spans="7:12" x14ac:dyDescent="0.35">
      <c r="G74" s="7">
        <v>52</v>
      </c>
      <c r="H74" s="24">
        <v>3.4360000000000002E-2</v>
      </c>
      <c r="I74" s="29">
        <f t="shared" si="1"/>
        <v>3.3782877967568681E-2</v>
      </c>
      <c r="J74" s="29">
        <f t="shared" si="2"/>
        <v>3.2796770481815507E-2</v>
      </c>
      <c r="K74" s="29">
        <f t="shared" si="3"/>
        <v>3.6191003549831124E-2</v>
      </c>
      <c r="L74" s="31">
        <v>3.6299999999999999E-2</v>
      </c>
    </row>
    <row r="75" spans="7:12" x14ac:dyDescent="0.35">
      <c r="G75" s="7">
        <v>53</v>
      </c>
      <c r="H75" s="24">
        <v>3.4329999999999999E-2</v>
      </c>
      <c r="I75" s="29">
        <f t="shared" si="1"/>
        <v>3.3753874105219003E-2</v>
      </c>
      <c r="J75" s="29">
        <f t="shared" si="2"/>
        <v>3.2245673263035846E-2</v>
      </c>
      <c r="K75" s="29">
        <f t="shared" si="3"/>
        <v>3.5639906331051463E-2</v>
      </c>
      <c r="L75" s="31">
        <v>3.6240000000000001E-2</v>
      </c>
    </row>
    <row r="76" spans="7:12" x14ac:dyDescent="0.35">
      <c r="G76" s="2">
        <v>54</v>
      </c>
      <c r="H76" s="25">
        <v>3.431E-2</v>
      </c>
      <c r="I76" s="29">
        <f t="shared" si="1"/>
        <v>3.3734537729628727E-2</v>
      </c>
      <c r="J76" s="29">
        <f t="shared" si="2"/>
        <v>3.270970982334398E-2</v>
      </c>
      <c r="K76" s="29">
        <f t="shared" si="3"/>
        <v>3.6103942891359597E-2</v>
      </c>
      <c r="L76" s="31">
        <v>3.619E-2</v>
      </c>
    </row>
    <row r="77" spans="7:12" x14ac:dyDescent="0.35">
      <c r="G77" s="2">
        <v>55</v>
      </c>
      <c r="H77" s="25">
        <v>3.4279999999999998E-2</v>
      </c>
      <c r="I77" s="29">
        <f t="shared" si="1"/>
        <v>3.3705532465171217E-2</v>
      </c>
      <c r="J77" s="29">
        <f t="shared" si="2"/>
        <v>3.2139248184465785E-2</v>
      </c>
      <c r="K77" s="29">
        <f t="shared" si="3"/>
        <v>3.5533481252481403E-2</v>
      </c>
      <c r="L77" s="31">
        <v>3.6130000000000002E-2</v>
      </c>
    </row>
    <row r="78" spans="7:12" x14ac:dyDescent="0.35">
      <c r="G78" s="7">
        <v>56</v>
      </c>
      <c r="H78" s="24">
        <v>3.4259999999999999E-2</v>
      </c>
      <c r="I78" s="29">
        <f t="shared" si="1"/>
        <v>3.368619515479699E-2</v>
      </c>
      <c r="J78" s="29">
        <f t="shared" si="2"/>
        <v>3.2622643084214475E-2</v>
      </c>
      <c r="K78" s="29">
        <f t="shared" si="3"/>
        <v>3.6016876152230093E-2</v>
      </c>
      <c r="L78" s="31">
        <v>3.6080000000000001E-2</v>
      </c>
    </row>
    <row r="79" spans="7:12" x14ac:dyDescent="0.35">
      <c r="G79" s="7">
        <v>57</v>
      </c>
      <c r="H79" s="24">
        <v>3.424E-2</v>
      </c>
      <c r="I79" s="29">
        <f t="shared" si="1"/>
        <v>3.3666857470484174E-2</v>
      </c>
      <c r="J79" s="29">
        <f t="shared" si="2"/>
        <v>3.2583947148966397E-2</v>
      </c>
      <c r="K79" s="29">
        <f t="shared" si="3"/>
        <v>3.5978180216982014E-2</v>
      </c>
      <c r="L79" s="31">
        <v>3.6020000000000003E-2</v>
      </c>
    </row>
    <row r="80" spans="7:12" x14ac:dyDescent="0.35">
      <c r="G80" s="7">
        <v>58</v>
      </c>
      <c r="H80" s="24">
        <v>3.422E-2</v>
      </c>
      <c r="I80" s="29">
        <f t="shared" si="1"/>
        <v>3.3647519412217872E-2</v>
      </c>
      <c r="J80" s="29">
        <f t="shared" si="2"/>
        <v>3.2545250091038591E-2</v>
      </c>
      <c r="K80" s="29">
        <f t="shared" si="3"/>
        <v>3.5939483159054209E-2</v>
      </c>
      <c r="L80" s="31">
        <v>3.5970000000000002E-2</v>
      </c>
    </row>
    <row r="81" spans="7:12" x14ac:dyDescent="0.35">
      <c r="G81" s="2">
        <v>59</v>
      </c>
      <c r="H81" s="25">
        <v>3.4200000000000001E-2</v>
      </c>
      <c r="I81" s="29">
        <f t="shared" si="1"/>
        <v>3.362818097998406E-2</v>
      </c>
      <c r="J81" s="29">
        <f t="shared" si="2"/>
        <v>3.2506551910423065E-2</v>
      </c>
      <c r="K81" s="29">
        <f t="shared" si="3"/>
        <v>3.5900784978438682E-2</v>
      </c>
      <c r="L81" s="31">
        <v>3.5920000000000001E-2</v>
      </c>
    </row>
    <row r="82" spans="7:12" x14ac:dyDescent="0.35">
      <c r="G82" s="2">
        <v>60</v>
      </c>
      <c r="H82" s="25">
        <v>3.4180000000000002E-2</v>
      </c>
      <c r="I82" s="29">
        <f t="shared" si="1"/>
        <v>3.3608842173768055E-2</v>
      </c>
      <c r="J82" s="29">
        <f t="shared" si="2"/>
        <v>3.2467852607023895E-2</v>
      </c>
      <c r="K82" s="29">
        <f t="shared" si="3"/>
        <v>3.5862085675039512E-2</v>
      </c>
      <c r="L82" s="31">
        <v>3.5880000000000002E-2</v>
      </c>
    </row>
    <row r="83" spans="7:12" x14ac:dyDescent="0.35">
      <c r="G83" s="7">
        <v>61</v>
      </c>
      <c r="H83" s="24">
        <v>3.4160000000000003E-2</v>
      </c>
      <c r="I83" s="29">
        <f t="shared" si="1"/>
        <v>3.3589502993555169E-2</v>
      </c>
      <c r="J83" s="29">
        <f t="shared" si="2"/>
        <v>3.2429152180781795E-2</v>
      </c>
      <c r="K83" s="29">
        <f t="shared" si="3"/>
        <v>3.5823385248797412E-2</v>
      </c>
      <c r="L83" s="31">
        <v>3.5830000000000001E-2</v>
      </c>
    </row>
    <row r="84" spans="7:12" x14ac:dyDescent="0.35">
      <c r="G84" s="7">
        <v>62</v>
      </c>
      <c r="H84" s="24">
        <v>3.4139999999999997E-2</v>
      </c>
      <c r="I84" s="29">
        <f t="shared" si="1"/>
        <v>3.3570163439331384E-2</v>
      </c>
      <c r="J84" s="29">
        <f t="shared" si="2"/>
        <v>3.2390450631680778E-2</v>
      </c>
      <c r="K84" s="29">
        <f t="shared" si="3"/>
        <v>3.5784683699696396E-2</v>
      </c>
      <c r="L84" s="31">
        <v>3.5779999999999999E-2</v>
      </c>
    </row>
    <row r="85" spans="7:12" x14ac:dyDescent="0.35">
      <c r="G85" s="7">
        <v>63</v>
      </c>
      <c r="H85" s="24">
        <v>3.4119999999999998E-2</v>
      </c>
      <c r="I85" s="29">
        <f t="shared" si="1"/>
        <v>3.3550823511081788E-2</v>
      </c>
      <c r="J85" s="29">
        <f t="shared" si="2"/>
        <v>3.2351747959606492E-2</v>
      </c>
      <c r="K85" s="29">
        <f t="shared" si="3"/>
        <v>3.5745981027622109E-2</v>
      </c>
      <c r="L85" s="31">
        <v>3.5740000000000001E-2</v>
      </c>
    </row>
    <row r="86" spans="7:12" x14ac:dyDescent="0.35">
      <c r="G86" s="2">
        <v>64</v>
      </c>
      <c r="H86" s="25">
        <v>3.4110000000000001E-2</v>
      </c>
      <c r="I86" s="29">
        <f t="shared" si="1"/>
        <v>3.3541153406693086E-2</v>
      </c>
      <c r="J86" s="29">
        <f t="shared" si="2"/>
        <v>3.2931936830205011E-2</v>
      </c>
      <c r="K86" s="29">
        <f t="shared" si="3"/>
        <v>3.6326169898220628E-2</v>
      </c>
      <c r="L86" s="31">
        <v>3.5700000000000003E-2</v>
      </c>
    </row>
    <row r="87" spans="7:12" x14ac:dyDescent="0.35">
      <c r="G87" s="2">
        <v>65</v>
      </c>
      <c r="H87" s="25">
        <v>3.4090000000000002E-2</v>
      </c>
      <c r="I87" s="29">
        <f t="shared" si="1"/>
        <v>3.3521812917377977E-2</v>
      </c>
      <c r="J87" s="29">
        <f t="shared" si="2"/>
        <v>3.2284021601210799E-2</v>
      </c>
      <c r="K87" s="29">
        <f t="shared" ref="K87:K118" si="4">J87+LN(1+V.TOTAL_VA)</f>
        <v>3.5678254669226417E-2</v>
      </c>
      <c r="L87" s="31">
        <v>3.5659999999999997E-2</v>
      </c>
    </row>
    <row r="88" spans="7:12" x14ac:dyDescent="0.35">
      <c r="G88" s="7">
        <v>66</v>
      </c>
      <c r="H88" s="24">
        <v>3.4070000000000003E-2</v>
      </c>
      <c r="I88" s="29">
        <f t="shared" ref="I88:I151" si="5">LN(1+H88)</f>
        <v>3.3502472054001323E-2</v>
      </c>
      <c r="J88" s="29">
        <f t="shared" si="2"/>
        <v>3.224531593451907E-2</v>
      </c>
      <c r="K88" s="29">
        <f t="shared" si="4"/>
        <v>3.5639549002534687E-2</v>
      </c>
      <c r="L88" s="31">
        <v>3.5619999999999999E-2</v>
      </c>
    </row>
    <row r="89" spans="7:12" x14ac:dyDescent="0.35">
      <c r="G89" s="7">
        <v>67</v>
      </c>
      <c r="H89" s="24">
        <v>3.406E-2</v>
      </c>
      <c r="I89" s="29">
        <f t="shared" si="5"/>
        <v>3.3492801482035199E-2</v>
      </c>
      <c r="J89" s="29">
        <f t="shared" ref="J89:J152" si="6">G89*I89-G88*I88</f>
        <v>3.2854543732271146E-2</v>
      </c>
      <c r="K89" s="29">
        <f t="shared" si="4"/>
        <v>3.6248776800286764E-2</v>
      </c>
      <c r="L89" s="31">
        <v>3.5580000000000001E-2</v>
      </c>
    </row>
    <row r="90" spans="7:12" x14ac:dyDescent="0.35">
      <c r="G90" s="7">
        <v>68</v>
      </c>
      <c r="H90" s="24">
        <v>3.4040000000000001E-2</v>
      </c>
      <c r="I90" s="29">
        <f t="shared" si="5"/>
        <v>3.3473460057538776E-2</v>
      </c>
      <c r="J90" s="29">
        <f t="shared" si="6"/>
        <v>3.2177584616278398E-2</v>
      </c>
      <c r="K90" s="29">
        <f t="shared" si="4"/>
        <v>3.5571817684294016E-2</v>
      </c>
      <c r="L90" s="31">
        <v>3.5540000000000002E-2</v>
      </c>
    </row>
    <row r="91" spans="7:12" x14ac:dyDescent="0.35">
      <c r="G91" s="2">
        <v>69</v>
      </c>
      <c r="H91" s="25">
        <v>3.4029999999999998E-2</v>
      </c>
      <c r="I91" s="29">
        <f t="shared" si="5"/>
        <v>3.3463789205004632E-2</v>
      </c>
      <c r="J91" s="29">
        <f t="shared" si="6"/>
        <v>3.280617123268259E-2</v>
      </c>
      <c r="K91" s="29">
        <f t="shared" si="4"/>
        <v>3.6200404300698208E-2</v>
      </c>
      <c r="L91" s="31">
        <v>3.551E-2</v>
      </c>
    </row>
    <row r="92" spans="7:12" x14ac:dyDescent="0.35">
      <c r="G92" s="2">
        <v>70</v>
      </c>
      <c r="H92" s="25">
        <v>3.4009999999999999E-2</v>
      </c>
      <c r="I92" s="29">
        <f t="shared" si="5"/>
        <v>3.3444447219355869E-2</v>
      </c>
      <c r="J92" s="29">
        <f t="shared" si="6"/>
        <v>3.210985020959134E-2</v>
      </c>
      <c r="K92" s="29">
        <f t="shared" si="4"/>
        <v>3.5504083277606957E-2</v>
      </c>
      <c r="L92" s="31">
        <v>3.5470000000000002E-2</v>
      </c>
    </row>
    <row r="93" spans="7:12" x14ac:dyDescent="0.35">
      <c r="G93" s="7">
        <v>71</v>
      </c>
      <c r="H93" s="24">
        <v>3.4000000000000002E-2</v>
      </c>
      <c r="I93" s="29">
        <f t="shared" si="5"/>
        <v>3.3434776086237419E-2</v>
      </c>
      <c r="J93" s="29">
        <f t="shared" si="6"/>
        <v>3.275779676794599E-2</v>
      </c>
      <c r="K93" s="29">
        <f t="shared" si="4"/>
        <v>3.6152029835961608E-2</v>
      </c>
      <c r="L93" s="31">
        <v>3.5439999999999999E-2</v>
      </c>
    </row>
    <row r="94" spans="7:12" x14ac:dyDescent="0.35">
      <c r="G94" s="7">
        <v>72</v>
      </c>
      <c r="H94" s="24">
        <v>3.3980000000000003E-2</v>
      </c>
      <c r="I94" s="29">
        <f t="shared" si="5"/>
        <v>3.3415433539403544E-2</v>
      </c>
      <c r="J94" s="29">
        <f t="shared" si="6"/>
        <v>3.2042112714198545E-2</v>
      </c>
      <c r="K94" s="29">
        <f t="shared" si="4"/>
        <v>3.5436345782214163E-2</v>
      </c>
      <c r="L94" s="31">
        <v>3.5400000000000001E-2</v>
      </c>
    </row>
    <row r="95" spans="7:12" x14ac:dyDescent="0.35">
      <c r="G95" s="7">
        <v>73</v>
      </c>
      <c r="H95" s="24">
        <v>3.397E-2</v>
      </c>
      <c r="I95" s="29">
        <f t="shared" si="5"/>
        <v>3.3405762125684725E-2</v>
      </c>
      <c r="J95" s="29">
        <f t="shared" si="6"/>
        <v>3.2709420337929451E-2</v>
      </c>
      <c r="K95" s="29">
        <f t="shared" si="4"/>
        <v>3.6103653405945069E-2</v>
      </c>
      <c r="L95" s="31">
        <v>3.5369999999999999E-2</v>
      </c>
    </row>
    <row r="96" spans="7:12" x14ac:dyDescent="0.35">
      <c r="G96" s="2">
        <v>74</v>
      </c>
      <c r="H96" s="25">
        <v>3.3959999999999997E-2</v>
      </c>
      <c r="I96" s="29">
        <f t="shared" si="5"/>
        <v>3.3396090618428534E-2</v>
      </c>
      <c r="J96" s="29">
        <f t="shared" si="6"/>
        <v>3.2690070588726527E-2</v>
      </c>
      <c r="K96" s="29">
        <f t="shared" si="4"/>
        <v>3.6084303656742145E-2</v>
      </c>
      <c r="L96" s="31">
        <v>3.5340000000000003E-2</v>
      </c>
    </row>
    <row r="97" spans="7:12" x14ac:dyDescent="0.35">
      <c r="G97" s="2">
        <v>75</v>
      </c>
      <c r="H97" s="25">
        <v>3.3939999999999998E-2</v>
      </c>
      <c r="I97" s="29">
        <f t="shared" si="5"/>
        <v>3.3376747323297692E-2</v>
      </c>
      <c r="J97" s="29">
        <f t="shared" si="6"/>
        <v>3.1945343483615662E-2</v>
      </c>
      <c r="K97" s="29">
        <f t="shared" si="4"/>
        <v>3.533957655163128E-2</v>
      </c>
      <c r="L97" s="31">
        <v>3.5310000000000001E-2</v>
      </c>
    </row>
    <row r="98" spans="7:12" x14ac:dyDescent="0.35">
      <c r="G98" s="7">
        <v>76</v>
      </c>
      <c r="H98" s="24">
        <v>3.3930000000000002E-2</v>
      </c>
      <c r="I98" s="29">
        <f t="shared" si="5"/>
        <v>3.3367075535419205E-2</v>
      </c>
      <c r="J98" s="29">
        <f t="shared" si="6"/>
        <v>3.2641691444532661E-2</v>
      </c>
      <c r="K98" s="29">
        <f t="shared" si="4"/>
        <v>3.6035924512548279E-2</v>
      </c>
      <c r="L98" s="31">
        <v>3.5279999999999999E-2</v>
      </c>
    </row>
    <row r="99" spans="7:12" x14ac:dyDescent="0.35">
      <c r="G99" s="7">
        <v>77</v>
      </c>
      <c r="H99" s="24">
        <v>3.3919999999999999E-2</v>
      </c>
      <c r="I99" s="29">
        <f t="shared" si="5"/>
        <v>3.3357403653996337E-2</v>
      </c>
      <c r="J99" s="29">
        <f t="shared" si="6"/>
        <v>3.2622340665858118E-2</v>
      </c>
      <c r="K99" s="29">
        <f t="shared" si="4"/>
        <v>3.6016573733873736E-2</v>
      </c>
      <c r="L99" s="31">
        <v>3.5249999999999997E-2</v>
      </c>
    </row>
    <row r="100" spans="7:12" x14ac:dyDescent="0.35">
      <c r="G100" s="7">
        <v>78</v>
      </c>
      <c r="H100" s="24">
        <v>3.3910000000000003E-2</v>
      </c>
      <c r="I100" s="29">
        <f t="shared" si="5"/>
        <v>3.3347731679027479E-2</v>
      </c>
      <c r="J100" s="29">
        <f t="shared" si="6"/>
        <v>3.2602989606425492E-2</v>
      </c>
      <c r="K100" s="29">
        <f t="shared" si="4"/>
        <v>3.5997222674441109E-2</v>
      </c>
      <c r="L100" s="31">
        <v>3.5220000000000001E-2</v>
      </c>
    </row>
    <row r="101" spans="7:12" x14ac:dyDescent="0.35">
      <c r="G101" s="2">
        <v>79</v>
      </c>
      <c r="H101" s="25">
        <v>3.39E-2</v>
      </c>
      <c r="I101" s="29">
        <f t="shared" si="5"/>
        <v>3.3338059610510409E-2</v>
      </c>
      <c r="J101" s="29">
        <f t="shared" si="6"/>
        <v>3.2583638266178827E-2</v>
      </c>
      <c r="K101" s="29">
        <f t="shared" si="4"/>
        <v>3.5977871334194444E-2</v>
      </c>
      <c r="L101" s="31">
        <v>3.5189999999999999E-2</v>
      </c>
    </row>
    <row r="102" spans="7:12" x14ac:dyDescent="0.35">
      <c r="G102" s="2">
        <v>80</v>
      </c>
      <c r="H102" s="25">
        <v>3.3890000000000003E-2</v>
      </c>
      <c r="I102" s="29">
        <f t="shared" si="5"/>
        <v>3.3328387448443526E-2</v>
      </c>
      <c r="J102" s="29">
        <f t="shared" si="6"/>
        <v>3.2564286645159868E-2</v>
      </c>
      <c r="K102" s="29">
        <f t="shared" si="4"/>
        <v>3.5958519713175485E-2</v>
      </c>
      <c r="L102" s="31">
        <v>3.5159999999999997E-2</v>
      </c>
    </row>
    <row r="103" spans="7:12" x14ac:dyDescent="0.35">
      <c r="G103" s="7">
        <v>81</v>
      </c>
      <c r="H103" s="24">
        <v>3.388E-2</v>
      </c>
      <c r="I103" s="29">
        <f t="shared" si="5"/>
        <v>3.3318715192825012E-2</v>
      </c>
      <c r="J103" s="29">
        <f t="shared" si="6"/>
        <v>3.2544934743343745E-2</v>
      </c>
      <c r="K103" s="29">
        <f t="shared" si="4"/>
        <v>3.5939167811359363E-2</v>
      </c>
      <c r="L103" s="31">
        <v>3.5139999999999998E-2</v>
      </c>
    </row>
    <row r="104" spans="7:12" x14ac:dyDescent="0.35">
      <c r="G104" s="7">
        <v>82</v>
      </c>
      <c r="H104" s="24">
        <v>3.3860000000000001E-2</v>
      </c>
      <c r="I104" s="29">
        <f t="shared" si="5"/>
        <v>3.32993704009261E-2</v>
      </c>
      <c r="J104" s="29">
        <f t="shared" si="6"/>
        <v>3.1732442257114357E-2</v>
      </c>
      <c r="K104" s="29">
        <f t="shared" si="4"/>
        <v>3.5126675325129975E-2</v>
      </c>
      <c r="L104" s="31">
        <v>3.5110000000000002E-2</v>
      </c>
    </row>
    <row r="105" spans="7:12" x14ac:dyDescent="0.35">
      <c r="G105" s="7">
        <v>83</v>
      </c>
      <c r="H105" s="24">
        <v>3.3849999999999998E-2</v>
      </c>
      <c r="I105" s="29">
        <f t="shared" si="5"/>
        <v>3.3289697864641858E-2</v>
      </c>
      <c r="J105" s="29">
        <f t="shared" si="6"/>
        <v>3.2496549889334148E-2</v>
      </c>
      <c r="K105" s="29">
        <f t="shared" si="4"/>
        <v>3.5890782957349765E-2</v>
      </c>
      <c r="L105" s="31">
        <v>3.508E-2</v>
      </c>
    </row>
    <row r="106" spans="7:12" x14ac:dyDescent="0.35">
      <c r="G106" s="2">
        <v>84</v>
      </c>
      <c r="H106" s="25">
        <v>3.3840000000000002E-2</v>
      </c>
      <c r="I106" s="29">
        <f t="shared" si="5"/>
        <v>3.328002523479897E-2</v>
      </c>
      <c r="J106" s="29">
        <f t="shared" si="6"/>
        <v>3.2477196957839016E-2</v>
      </c>
      <c r="K106" s="29">
        <f t="shared" si="4"/>
        <v>3.5871430025854634E-2</v>
      </c>
      <c r="L106" s="31">
        <v>3.5060000000000001E-2</v>
      </c>
    </row>
    <row r="107" spans="7:12" x14ac:dyDescent="0.35">
      <c r="G107" s="2">
        <v>85</v>
      </c>
      <c r="H107" s="25">
        <v>3.3829999999999999E-2</v>
      </c>
      <c r="I107" s="29">
        <f t="shared" si="5"/>
        <v>3.3270352511395193E-2</v>
      </c>
      <c r="J107" s="29">
        <f t="shared" si="6"/>
        <v>3.2457843745478332E-2</v>
      </c>
      <c r="K107" s="29">
        <f t="shared" si="4"/>
        <v>3.5852076813493949E-2</v>
      </c>
      <c r="L107" s="31">
        <v>3.5040000000000002E-2</v>
      </c>
    </row>
    <row r="108" spans="7:12" x14ac:dyDescent="0.35">
      <c r="G108" s="7">
        <v>86</v>
      </c>
      <c r="H108" s="24">
        <v>3.3820000000000003E-2</v>
      </c>
      <c r="I108" s="29">
        <f t="shared" si="5"/>
        <v>3.3260679694428932E-2</v>
      </c>
      <c r="J108" s="29">
        <f t="shared" si="6"/>
        <v>3.2438490252296504E-2</v>
      </c>
      <c r="K108" s="29">
        <f t="shared" si="4"/>
        <v>3.5832723320312121E-2</v>
      </c>
      <c r="L108" s="31">
        <v>3.5009999999999999E-2</v>
      </c>
    </row>
    <row r="109" spans="7:12" x14ac:dyDescent="0.35">
      <c r="G109" s="7">
        <v>87</v>
      </c>
      <c r="H109" s="24">
        <v>3.381E-2</v>
      </c>
      <c r="I109" s="29">
        <f t="shared" si="5"/>
        <v>3.3251006783898376E-2</v>
      </c>
      <c r="J109" s="29">
        <f t="shared" si="6"/>
        <v>3.2419136478270438E-2</v>
      </c>
      <c r="K109" s="29">
        <f t="shared" si="4"/>
        <v>3.5813369546286056E-2</v>
      </c>
      <c r="L109" s="31">
        <v>3.499E-2</v>
      </c>
    </row>
    <row r="110" spans="7:12" x14ac:dyDescent="0.35">
      <c r="G110" s="7">
        <v>88</v>
      </c>
      <c r="H110" s="24">
        <v>3.381E-2</v>
      </c>
      <c r="I110" s="29">
        <f t="shared" si="5"/>
        <v>3.3251006783898376E-2</v>
      </c>
      <c r="J110" s="29">
        <f t="shared" si="6"/>
        <v>3.3251006783898696E-2</v>
      </c>
      <c r="K110" s="29">
        <f t="shared" si="4"/>
        <v>3.6645239851914313E-2</v>
      </c>
      <c r="L110" s="31">
        <v>3.4970000000000001E-2</v>
      </c>
    </row>
    <row r="111" spans="7:12" x14ac:dyDescent="0.35">
      <c r="G111" s="2">
        <v>89</v>
      </c>
      <c r="H111" s="25">
        <v>3.3799999999999997E-2</v>
      </c>
      <c r="I111" s="29">
        <f t="shared" si="5"/>
        <v>3.3241333779801936E-2</v>
      </c>
      <c r="J111" s="29">
        <f t="shared" si="6"/>
        <v>3.2390109419315305E-2</v>
      </c>
      <c r="K111" s="29">
        <f t="shared" si="4"/>
        <v>3.5784342487330922E-2</v>
      </c>
      <c r="L111" s="31">
        <v>3.4939999999999999E-2</v>
      </c>
    </row>
    <row r="112" spans="7:12" x14ac:dyDescent="0.35">
      <c r="G112" s="2">
        <v>90</v>
      </c>
      <c r="H112" s="25">
        <v>3.3790000000000001E-2</v>
      </c>
      <c r="I112" s="29">
        <f t="shared" si="5"/>
        <v>3.3231660682137371E-2</v>
      </c>
      <c r="J112" s="29">
        <f t="shared" si="6"/>
        <v>3.2370754989990758E-2</v>
      </c>
      <c r="K112" s="29">
        <f t="shared" si="4"/>
        <v>3.5764988058006375E-2</v>
      </c>
      <c r="L112" s="31">
        <v>3.492E-2</v>
      </c>
    </row>
    <row r="113" spans="7:12" x14ac:dyDescent="0.35">
      <c r="G113" s="7">
        <v>91</v>
      </c>
      <c r="H113" s="24">
        <v>3.3779999999999998E-2</v>
      </c>
      <c r="I113" s="29">
        <f t="shared" si="5"/>
        <v>3.3221987490903077E-2</v>
      </c>
      <c r="J113" s="29">
        <f t="shared" si="6"/>
        <v>3.2351400279816644E-2</v>
      </c>
      <c r="K113" s="29">
        <f t="shared" si="4"/>
        <v>3.5745633347832262E-2</v>
      </c>
      <c r="L113" s="31">
        <v>3.49E-2</v>
      </c>
    </row>
    <row r="114" spans="7:12" x14ac:dyDescent="0.35">
      <c r="G114" s="7">
        <v>92</v>
      </c>
      <c r="H114" s="24">
        <v>3.3770000000000001E-2</v>
      </c>
      <c r="I114" s="29">
        <f t="shared" si="5"/>
        <v>3.3212314206097465E-2</v>
      </c>
      <c r="J114" s="29">
        <f t="shared" si="6"/>
        <v>3.2332045288786748E-2</v>
      </c>
      <c r="K114" s="29">
        <f t="shared" si="4"/>
        <v>3.5726278356802366E-2</v>
      </c>
      <c r="L114" s="31">
        <v>3.4880000000000001E-2</v>
      </c>
    </row>
    <row r="115" spans="7:12" x14ac:dyDescent="0.35">
      <c r="G115" s="7">
        <v>93</v>
      </c>
      <c r="H115" s="24">
        <v>3.3759999999999998E-2</v>
      </c>
      <c r="I115" s="29">
        <f t="shared" si="5"/>
        <v>3.3202640827718295E-2</v>
      </c>
      <c r="J115" s="29">
        <f t="shared" si="6"/>
        <v>3.23126900168349E-2</v>
      </c>
      <c r="K115" s="29">
        <f t="shared" si="4"/>
        <v>3.5706923084850517E-2</v>
      </c>
      <c r="L115" s="31">
        <v>3.4860000000000002E-2</v>
      </c>
    </row>
    <row r="116" spans="7:12" x14ac:dyDescent="0.35">
      <c r="G116" s="2">
        <v>94</v>
      </c>
      <c r="H116" s="25">
        <v>3.3750000000000002E-2</v>
      </c>
      <c r="I116" s="29">
        <f t="shared" si="5"/>
        <v>3.3192967355763964E-2</v>
      </c>
      <c r="J116" s="29">
        <f t="shared" si="6"/>
        <v>3.2293334464010837E-2</v>
      </c>
      <c r="K116" s="29">
        <f t="shared" si="4"/>
        <v>3.5687567532026454E-2</v>
      </c>
      <c r="L116" s="31">
        <v>3.4840000000000003E-2</v>
      </c>
    </row>
    <row r="117" spans="7:12" x14ac:dyDescent="0.35">
      <c r="G117" s="2">
        <v>95</v>
      </c>
      <c r="H117" s="25">
        <v>3.3750000000000002E-2</v>
      </c>
      <c r="I117" s="29">
        <f t="shared" si="5"/>
        <v>3.3192967355763964E-2</v>
      </c>
      <c r="J117" s="29">
        <f t="shared" si="6"/>
        <v>3.3192967355764047E-2</v>
      </c>
      <c r="K117" s="29">
        <f t="shared" si="4"/>
        <v>3.6587200423779664E-2</v>
      </c>
      <c r="L117" s="31">
        <v>3.4819999999999997E-2</v>
      </c>
    </row>
    <row r="118" spans="7:12" x14ac:dyDescent="0.35">
      <c r="G118" s="7">
        <v>96</v>
      </c>
      <c r="H118" s="24">
        <v>3.3739999999999999E-2</v>
      </c>
      <c r="I118" s="29">
        <f t="shared" si="5"/>
        <v>3.3183293790232889E-2</v>
      </c>
      <c r="J118" s="29">
        <f t="shared" si="6"/>
        <v>3.2264305064781063E-2</v>
      </c>
      <c r="K118" s="29">
        <f t="shared" si="4"/>
        <v>3.565853813279668E-2</v>
      </c>
      <c r="L118" s="31">
        <v>3.4799999999999998E-2</v>
      </c>
    </row>
    <row r="119" spans="7:12" x14ac:dyDescent="0.35">
      <c r="G119" s="7">
        <v>97</v>
      </c>
      <c r="H119" s="24">
        <v>3.3730000000000003E-2</v>
      </c>
      <c r="I119" s="29">
        <f t="shared" si="5"/>
        <v>3.3173620131122829E-2</v>
      </c>
      <c r="J119" s="29">
        <f t="shared" si="6"/>
        <v>3.2244948856556821E-2</v>
      </c>
      <c r="K119" s="29">
        <f t="shared" ref="K119:K150" si="7">J119+LN(1+V.TOTAL_VA)</f>
        <v>3.5639181924572438E-2</v>
      </c>
      <c r="L119" s="31">
        <v>3.4779999999999998E-2</v>
      </c>
    </row>
    <row r="120" spans="7:12" x14ac:dyDescent="0.35">
      <c r="G120" s="7">
        <v>98</v>
      </c>
      <c r="H120" s="24">
        <v>3.372E-2</v>
      </c>
      <c r="I120" s="29">
        <f t="shared" si="5"/>
        <v>3.3163946378432174E-2</v>
      </c>
      <c r="J120" s="29">
        <f t="shared" si="6"/>
        <v>3.2225592367438605E-2</v>
      </c>
      <c r="K120" s="29">
        <f t="shared" si="7"/>
        <v>3.5619825435454222E-2</v>
      </c>
      <c r="L120" s="31">
        <v>3.4770000000000002E-2</v>
      </c>
    </row>
    <row r="121" spans="7:12" x14ac:dyDescent="0.35">
      <c r="G121" s="2">
        <v>99</v>
      </c>
      <c r="H121" s="25">
        <v>3.372E-2</v>
      </c>
      <c r="I121" s="29">
        <f t="shared" si="5"/>
        <v>3.3163946378432174E-2</v>
      </c>
      <c r="J121" s="29">
        <f t="shared" si="6"/>
        <v>3.3163946378432119E-2</v>
      </c>
      <c r="K121" s="29">
        <f t="shared" si="7"/>
        <v>3.6558179446447736E-2</v>
      </c>
      <c r="L121" s="31">
        <v>3.4750000000000003E-2</v>
      </c>
    </row>
    <row r="122" spans="7:12" x14ac:dyDescent="0.35">
      <c r="G122" s="2">
        <v>100</v>
      </c>
      <c r="H122" s="25">
        <v>3.3709999999999997E-2</v>
      </c>
      <c r="I122" s="29">
        <f t="shared" si="5"/>
        <v>3.3154272532159128E-2</v>
      </c>
      <c r="J122" s="29">
        <f t="shared" si="6"/>
        <v>3.2196561751127728E-2</v>
      </c>
      <c r="K122" s="29">
        <f t="shared" si="7"/>
        <v>3.5590794819143345E-2</v>
      </c>
      <c r="L122" s="31">
        <v>3.4729999999999997E-2</v>
      </c>
    </row>
    <row r="123" spans="7:12" x14ac:dyDescent="0.35">
      <c r="G123" s="7">
        <v>101</v>
      </c>
      <c r="H123" s="24">
        <v>3.3700000000000001E-2</v>
      </c>
      <c r="I123" s="29">
        <f t="shared" si="5"/>
        <v>3.3144598592302087E-2</v>
      </c>
      <c r="J123" s="29">
        <f t="shared" si="6"/>
        <v>3.2177204606597787E-2</v>
      </c>
      <c r="K123" s="29">
        <f t="shared" si="7"/>
        <v>3.5571437674613404E-2</v>
      </c>
      <c r="L123" s="31">
        <v>3.4709999999999998E-2</v>
      </c>
    </row>
    <row r="124" spans="7:12" x14ac:dyDescent="0.35">
      <c r="G124" s="7">
        <v>102</v>
      </c>
      <c r="H124" s="24">
        <v>3.3689999999999998E-2</v>
      </c>
      <c r="I124" s="29">
        <f t="shared" si="5"/>
        <v>3.3134924558858816E-2</v>
      </c>
      <c r="J124" s="29">
        <f t="shared" si="6"/>
        <v>3.2157847181088606E-2</v>
      </c>
      <c r="K124" s="29">
        <f t="shared" si="7"/>
        <v>3.5552080249104223E-2</v>
      </c>
      <c r="L124" s="31">
        <v>3.4700000000000002E-2</v>
      </c>
    </row>
    <row r="125" spans="7:12" x14ac:dyDescent="0.35">
      <c r="G125" s="7">
        <v>103</v>
      </c>
      <c r="H125" s="24">
        <v>3.3689999999999998E-2</v>
      </c>
      <c r="I125" s="29">
        <f t="shared" si="5"/>
        <v>3.3134924558858816E-2</v>
      </c>
      <c r="J125" s="29">
        <f t="shared" si="6"/>
        <v>3.3134924558858803E-2</v>
      </c>
      <c r="K125" s="29">
        <f t="shared" si="7"/>
        <v>3.652915762687442E-2</v>
      </c>
      <c r="L125" s="31">
        <v>3.4680000000000002E-2</v>
      </c>
    </row>
    <row r="126" spans="7:12" x14ac:dyDescent="0.35">
      <c r="G126" s="2">
        <v>104</v>
      </c>
      <c r="H126" s="25">
        <v>3.3680000000000002E-2</v>
      </c>
      <c r="I126" s="29">
        <f t="shared" si="5"/>
        <v>3.3125250431827714E-2</v>
      </c>
      <c r="J126" s="29">
        <f t="shared" si="6"/>
        <v>3.212881534762424E-2</v>
      </c>
      <c r="K126" s="29">
        <f t="shared" si="7"/>
        <v>3.5523048415639857E-2</v>
      </c>
      <c r="L126" s="31">
        <v>3.4660000000000003E-2</v>
      </c>
    </row>
    <row r="127" spans="7:12" x14ac:dyDescent="0.35">
      <c r="G127" s="2">
        <v>105</v>
      </c>
      <c r="H127" s="25">
        <v>3.3680000000000002E-2</v>
      </c>
      <c r="I127" s="29">
        <f t="shared" si="5"/>
        <v>3.3125250431827714E-2</v>
      </c>
      <c r="J127" s="29">
        <f t="shared" si="6"/>
        <v>3.3125250431827791E-2</v>
      </c>
      <c r="K127" s="29">
        <f t="shared" si="7"/>
        <v>3.6519483499843408E-2</v>
      </c>
      <c r="L127" s="31">
        <v>3.465E-2</v>
      </c>
    </row>
    <row r="128" spans="7:12" x14ac:dyDescent="0.35">
      <c r="G128" s="7">
        <v>106</v>
      </c>
      <c r="H128" s="24">
        <v>3.3669999999999999E-2</v>
      </c>
      <c r="I128" s="29">
        <f t="shared" si="5"/>
        <v>3.3115576211207191E-2</v>
      </c>
      <c r="J128" s="29">
        <f t="shared" si="6"/>
        <v>3.2099783046052099E-2</v>
      </c>
      <c r="K128" s="29">
        <f t="shared" si="7"/>
        <v>3.5494016114067717E-2</v>
      </c>
      <c r="L128" s="31">
        <v>3.4630000000000001E-2</v>
      </c>
    </row>
    <row r="129" spans="7:12" x14ac:dyDescent="0.35">
      <c r="G129" s="7">
        <v>107</v>
      </c>
      <c r="H129" s="24">
        <v>3.3660000000000002E-2</v>
      </c>
      <c r="I129" s="29">
        <f t="shared" si="5"/>
        <v>3.3105901896994999E-2</v>
      </c>
      <c r="J129" s="29">
        <f t="shared" si="6"/>
        <v>3.2080424590502865E-2</v>
      </c>
      <c r="K129" s="29">
        <f t="shared" si="7"/>
        <v>3.5474657658518483E-2</v>
      </c>
      <c r="L129" s="31">
        <v>3.4619999999999998E-2</v>
      </c>
    </row>
    <row r="130" spans="7:12" x14ac:dyDescent="0.35">
      <c r="G130" s="7">
        <v>108</v>
      </c>
      <c r="H130" s="24">
        <v>3.3660000000000002E-2</v>
      </c>
      <c r="I130" s="29">
        <f t="shared" si="5"/>
        <v>3.3105901896994999E-2</v>
      </c>
      <c r="J130" s="29">
        <f t="shared" si="6"/>
        <v>3.3105901896994805E-2</v>
      </c>
      <c r="K130" s="29">
        <f t="shared" si="7"/>
        <v>3.6500134965010422E-2</v>
      </c>
      <c r="L130" s="31">
        <v>3.4599999999999999E-2</v>
      </c>
    </row>
    <row r="131" spans="7:12" x14ac:dyDescent="0.35">
      <c r="G131" s="2">
        <v>109</v>
      </c>
      <c r="H131" s="25">
        <v>3.3649999999999999E-2</v>
      </c>
      <c r="I131" s="29">
        <f t="shared" si="5"/>
        <v>3.3096227489189549E-2</v>
      </c>
      <c r="J131" s="29">
        <f t="shared" si="6"/>
        <v>3.2051391446200839E-2</v>
      </c>
      <c r="K131" s="29">
        <f t="shared" si="7"/>
        <v>3.5445624514216456E-2</v>
      </c>
      <c r="L131" s="31">
        <v>3.4590000000000003E-2</v>
      </c>
    </row>
    <row r="132" spans="7:12" x14ac:dyDescent="0.35">
      <c r="G132" s="2">
        <v>110</v>
      </c>
      <c r="H132" s="25">
        <v>3.3640000000000003E-2</v>
      </c>
      <c r="I132" s="29">
        <f t="shared" si="5"/>
        <v>3.3086552987789238E-2</v>
      </c>
      <c r="J132" s="29">
        <f t="shared" si="6"/>
        <v>3.2032032335155503E-2</v>
      </c>
      <c r="K132" s="29">
        <f t="shared" si="7"/>
        <v>3.542626540317112E-2</v>
      </c>
      <c r="L132" s="31">
        <v>3.4569999999999997E-2</v>
      </c>
    </row>
    <row r="133" spans="7:12" x14ac:dyDescent="0.35">
      <c r="G133" s="7">
        <v>111</v>
      </c>
      <c r="H133" s="24">
        <v>3.3640000000000003E-2</v>
      </c>
      <c r="I133" s="29">
        <f t="shared" si="5"/>
        <v>3.3086552987789238E-2</v>
      </c>
      <c r="J133" s="29">
        <f t="shared" si="6"/>
        <v>3.3086552987789286E-2</v>
      </c>
      <c r="K133" s="29">
        <f t="shared" si="7"/>
        <v>3.6480786055804904E-2</v>
      </c>
      <c r="L133" s="31">
        <v>3.456E-2</v>
      </c>
    </row>
    <row r="134" spans="7:12" x14ac:dyDescent="0.35">
      <c r="G134" s="7">
        <v>112</v>
      </c>
      <c r="H134" s="24">
        <v>3.363E-2</v>
      </c>
      <c r="I134" s="29">
        <f t="shared" si="5"/>
        <v>3.3076878392791831E-2</v>
      </c>
      <c r="J134" s="29">
        <f t="shared" si="6"/>
        <v>3.2002998348079625E-2</v>
      </c>
      <c r="K134" s="29">
        <f t="shared" si="7"/>
        <v>3.5397231416095243E-2</v>
      </c>
      <c r="L134" s="31">
        <v>3.4540000000000001E-2</v>
      </c>
    </row>
    <row r="135" spans="7:12" x14ac:dyDescent="0.35">
      <c r="G135" s="7">
        <v>113</v>
      </c>
      <c r="H135" s="24">
        <v>3.363E-2</v>
      </c>
      <c r="I135" s="29">
        <f t="shared" si="5"/>
        <v>3.3076878392791831E-2</v>
      </c>
      <c r="J135" s="29">
        <f t="shared" si="6"/>
        <v>3.307687839279172E-2</v>
      </c>
      <c r="K135" s="29">
        <f t="shared" si="7"/>
        <v>3.6471111460807337E-2</v>
      </c>
      <c r="L135" s="31">
        <v>3.4529999999999998E-2</v>
      </c>
    </row>
    <row r="136" spans="7:12" x14ac:dyDescent="0.35">
      <c r="G136" s="2">
        <v>114</v>
      </c>
      <c r="H136" s="25">
        <v>3.3619999999999997E-2</v>
      </c>
      <c r="I136" s="29">
        <f t="shared" si="5"/>
        <v>3.3067203704195733E-2</v>
      </c>
      <c r="J136" s="29">
        <f t="shared" si="6"/>
        <v>3.197396389283691E-2</v>
      </c>
      <c r="K136" s="29">
        <f t="shared" si="7"/>
        <v>3.5368196960852527E-2</v>
      </c>
      <c r="L136" s="31">
        <v>3.4520000000000002E-2</v>
      </c>
    </row>
    <row r="137" spans="7:12" x14ac:dyDescent="0.35">
      <c r="G137" s="2">
        <v>115</v>
      </c>
      <c r="H137" s="25">
        <v>3.3619999999999997E-2</v>
      </c>
      <c r="I137" s="29">
        <f t="shared" si="5"/>
        <v>3.3067203704195733E-2</v>
      </c>
      <c r="J137" s="29">
        <f t="shared" si="6"/>
        <v>3.3067203704195691E-2</v>
      </c>
      <c r="K137" s="29">
        <f t="shared" si="7"/>
        <v>3.6461436772211309E-2</v>
      </c>
      <c r="L137" s="31">
        <v>3.4500000000000003E-2</v>
      </c>
    </row>
    <row r="138" spans="7:12" x14ac:dyDescent="0.35">
      <c r="G138" s="7">
        <v>116</v>
      </c>
      <c r="H138" s="24">
        <v>3.3610000000000001E-2</v>
      </c>
      <c r="I138" s="29">
        <f t="shared" si="5"/>
        <v>3.3057528921999133E-2</v>
      </c>
      <c r="J138" s="29">
        <f t="shared" si="6"/>
        <v>3.1944928969390052E-2</v>
      </c>
      <c r="K138" s="29">
        <f t="shared" si="7"/>
        <v>3.5339162037405669E-2</v>
      </c>
      <c r="L138" s="31">
        <v>3.449E-2</v>
      </c>
    </row>
    <row r="139" spans="7:12" x14ac:dyDescent="0.35">
      <c r="G139" s="7">
        <v>117</v>
      </c>
      <c r="H139" s="24">
        <v>3.3610000000000001E-2</v>
      </c>
      <c r="I139" s="29">
        <f t="shared" si="5"/>
        <v>3.3057528921999133E-2</v>
      </c>
      <c r="J139" s="29">
        <f t="shared" si="6"/>
        <v>3.305752892199898E-2</v>
      </c>
      <c r="K139" s="29">
        <f t="shared" si="7"/>
        <v>3.6451761990014597E-2</v>
      </c>
      <c r="L139" s="31">
        <v>3.4479999999999997E-2</v>
      </c>
    </row>
    <row r="140" spans="7:12" x14ac:dyDescent="0.35">
      <c r="G140" s="7">
        <v>118</v>
      </c>
      <c r="H140" s="24">
        <v>3.3599999999999998E-2</v>
      </c>
      <c r="I140" s="29">
        <f t="shared" si="5"/>
        <v>3.304785404620042E-2</v>
      </c>
      <c r="J140" s="29">
        <f t="shared" si="6"/>
        <v>3.1915893577751042E-2</v>
      </c>
      <c r="K140" s="29">
        <f t="shared" si="7"/>
        <v>3.531012664576666E-2</v>
      </c>
      <c r="L140" s="31">
        <v>3.4470000000000001E-2</v>
      </c>
    </row>
    <row r="141" spans="7:12" x14ac:dyDescent="0.35">
      <c r="G141" s="2">
        <v>119</v>
      </c>
      <c r="H141" s="25">
        <v>3.3599999999999998E-2</v>
      </c>
      <c r="I141" s="29">
        <f t="shared" si="5"/>
        <v>3.304785404620042E-2</v>
      </c>
      <c r="J141" s="29">
        <f t="shared" si="6"/>
        <v>3.3047854046200698E-2</v>
      </c>
      <c r="K141" s="29">
        <f t="shared" si="7"/>
        <v>3.6442087114216315E-2</v>
      </c>
      <c r="L141" s="31">
        <v>3.4450000000000001E-2</v>
      </c>
    </row>
    <row r="142" spans="7:12" x14ac:dyDescent="0.35">
      <c r="G142" s="2">
        <v>120</v>
      </c>
      <c r="H142" s="25">
        <v>3.3590000000000002E-2</v>
      </c>
      <c r="I142" s="29">
        <f t="shared" si="5"/>
        <v>3.3038179076797375E-2</v>
      </c>
      <c r="J142" s="29">
        <f t="shared" si="6"/>
        <v>3.1886857717834616E-2</v>
      </c>
      <c r="K142" s="29">
        <f t="shared" si="7"/>
        <v>3.5281090785850233E-2</v>
      </c>
      <c r="L142" s="31">
        <v>3.4439999999999998E-2</v>
      </c>
    </row>
    <row r="143" spans="7:12" x14ac:dyDescent="0.35">
      <c r="G143" s="7">
        <v>121</v>
      </c>
      <c r="H143" s="24">
        <v>3.3590000000000002E-2</v>
      </c>
      <c r="I143" s="29">
        <f t="shared" si="5"/>
        <v>3.3038179076797375E-2</v>
      </c>
      <c r="J143" s="29">
        <f t="shared" si="6"/>
        <v>3.3038179076797736E-2</v>
      </c>
      <c r="K143" s="29">
        <f t="shared" si="7"/>
        <v>3.6432412144813353E-2</v>
      </c>
      <c r="L143" s="31">
        <v>3.4430000000000002E-2</v>
      </c>
    </row>
    <row r="144" spans="7:12" x14ac:dyDescent="0.35">
      <c r="G144" s="7">
        <v>122</v>
      </c>
      <c r="H144" s="24">
        <v>3.3579999999999999E-2</v>
      </c>
      <c r="I144" s="29">
        <f t="shared" si="5"/>
        <v>3.3028504013788387E-2</v>
      </c>
      <c r="J144" s="29">
        <f t="shared" si="6"/>
        <v>3.1857821389701169E-2</v>
      </c>
      <c r="K144" s="29">
        <f t="shared" si="7"/>
        <v>3.5252054457716786E-2</v>
      </c>
      <c r="L144" s="31">
        <v>3.4419999999999999E-2</v>
      </c>
    </row>
    <row r="145" spans="7:12" x14ac:dyDescent="0.35">
      <c r="G145" s="7">
        <v>123</v>
      </c>
      <c r="H145" s="24">
        <v>3.3579999999999999E-2</v>
      </c>
      <c r="I145" s="29">
        <f t="shared" si="5"/>
        <v>3.3028504013788387E-2</v>
      </c>
      <c r="J145" s="29">
        <f t="shared" si="6"/>
        <v>3.3028504013787874E-2</v>
      </c>
      <c r="K145" s="29">
        <f t="shared" si="7"/>
        <v>3.6422737081803491E-2</v>
      </c>
      <c r="L145" s="31">
        <v>3.4410000000000003E-2</v>
      </c>
    </row>
    <row r="146" spans="7:12" x14ac:dyDescent="0.35">
      <c r="G146" s="2">
        <v>124</v>
      </c>
      <c r="H146" s="25">
        <v>3.3570000000000003E-2</v>
      </c>
      <c r="I146" s="29">
        <f t="shared" si="5"/>
        <v>3.3018828857171868E-2</v>
      </c>
      <c r="J146" s="29">
        <f t="shared" si="6"/>
        <v>3.1828784593340487E-2</v>
      </c>
      <c r="K146" s="29">
        <f t="shared" si="7"/>
        <v>3.5223017661356104E-2</v>
      </c>
      <c r="L146" s="31">
        <v>3.44E-2</v>
      </c>
    </row>
    <row r="147" spans="7:12" x14ac:dyDescent="0.35">
      <c r="G147" s="2">
        <v>125</v>
      </c>
      <c r="H147" s="25">
        <v>3.3570000000000003E-2</v>
      </c>
      <c r="I147" s="29">
        <f t="shared" si="5"/>
        <v>3.3018828857171868E-2</v>
      </c>
      <c r="J147" s="29">
        <f t="shared" si="6"/>
        <v>3.3018828857171556E-2</v>
      </c>
      <c r="K147" s="29">
        <f t="shared" si="7"/>
        <v>3.6413061925187173E-2</v>
      </c>
      <c r="L147" s="31">
        <v>3.4380000000000001E-2</v>
      </c>
    </row>
    <row r="148" spans="7:12" x14ac:dyDescent="0.35">
      <c r="G148" s="7">
        <v>126</v>
      </c>
      <c r="H148" s="24">
        <v>3.356E-2</v>
      </c>
      <c r="I148" s="29">
        <f t="shared" si="5"/>
        <v>3.300915360694557E-2</v>
      </c>
      <c r="J148" s="29">
        <f t="shared" si="6"/>
        <v>3.1799747328657979E-2</v>
      </c>
      <c r="K148" s="29">
        <f t="shared" si="7"/>
        <v>3.5193980396673596E-2</v>
      </c>
      <c r="L148" s="31">
        <v>3.4369999999999998E-2</v>
      </c>
    </row>
    <row r="149" spans="7:12" x14ac:dyDescent="0.35">
      <c r="G149" s="7">
        <v>127</v>
      </c>
      <c r="H149" s="24">
        <v>3.356E-2</v>
      </c>
      <c r="I149" s="29">
        <f t="shared" si="5"/>
        <v>3.300915360694557E-2</v>
      </c>
      <c r="J149" s="29">
        <f t="shared" si="6"/>
        <v>3.3009153606945674E-2</v>
      </c>
      <c r="K149" s="29">
        <f t="shared" si="7"/>
        <v>3.6403386674961291E-2</v>
      </c>
      <c r="L149" s="31">
        <v>3.4360000000000002E-2</v>
      </c>
    </row>
    <row r="150" spans="7:12" x14ac:dyDescent="0.35">
      <c r="G150" s="7">
        <v>128</v>
      </c>
      <c r="H150" s="24">
        <v>3.3550000000000003E-2</v>
      </c>
      <c r="I150" s="29">
        <f t="shared" si="5"/>
        <v>3.2999478263107895E-2</v>
      </c>
      <c r="J150" s="29">
        <f t="shared" si="6"/>
        <v>3.1770709595723368E-2</v>
      </c>
      <c r="K150" s="29">
        <f t="shared" si="7"/>
        <v>3.5164942663738985E-2</v>
      </c>
      <c r="L150" s="31">
        <v>3.4349999999999999E-2</v>
      </c>
    </row>
    <row r="151" spans="7:12" x14ac:dyDescent="0.35">
      <c r="G151" s="2">
        <v>129</v>
      </c>
      <c r="H151" s="25">
        <v>3.3550000000000003E-2</v>
      </c>
      <c r="I151" s="29">
        <f t="shared" si="5"/>
        <v>3.2999478263107895E-2</v>
      </c>
      <c r="J151" s="29">
        <f t="shared" si="6"/>
        <v>3.2999478263107562E-2</v>
      </c>
      <c r="K151" s="29">
        <f t="shared" ref="K151:K172" si="8">J151+LN(1+V.TOTAL_VA)</f>
        <v>3.639371133112318E-2</v>
      </c>
      <c r="L151" s="31">
        <v>3.4340000000000002E-2</v>
      </c>
    </row>
    <row r="152" spans="7:12" x14ac:dyDescent="0.35">
      <c r="G152" s="2">
        <v>130</v>
      </c>
      <c r="H152" s="25">
        <v>3.3550000000000003E-2</v>
      </c>
      <c r="I152" s="29">
        <f t="shared" ref="I152:I172" si="9">LN(1+H152)</f>
        <v>3.2999478263107895E-2</v>
      </c>
      <c r="J152" s="29">
        <f t="shared" si="6"/>
        <v>3.299947826310845E-2</v>
      </c>
      <c r="K152" s="29">
        <f t="shared" si="8"/>
        <v>3.6393711331124068E-2</v>
      </c>
      <c r="L152" s="31">
        <v>3.4329999999999999E-2</v>
      </c>
    </row>
    <row r="153" spans="7:12" x14ac:dyDescent="0.35">
      <c r="G153" s="7">
        <v>131</v>
      </c>
      <c r="H153" s="24">
        <v>3.354E-2</v>
      </c>
      <c r="I153" s="29">
        <f t="shared" si="9"/>
        <v>3.2989802825657041E-2</v>
      </c>
      <c r="J153" s="29">
        <f t="shared" ref="J153:J172" si="10">G153*I153-G152*I152</f>
        <v>3.1731995957045456E-2</v>
      </c>
      <c r="K153" s="29">
        <f t="shared" si="8"/>
        <v>3.5126229025061073E-2</v>
      </c>
      <c r="L153" s="31">
        <v>3.4320000000000003E-2</v>
      </c>
    </row>
    <row r="154" spans="7:12" x14ac:dyDescent="0.35">
      <c r="G154" s="7">
        <v>132</v>
      </c>
      <c r="H154" s="24">
        <v>3.354E-2</v>
      </c>
      <c r="I154" s="29">
        <f t="shared" si="9"/>
        <v>3.2989802825657041E-2</v>
      </c>
      <c r="J154" s="29">
        <f t="shared" si="10"/>
        <v>3.2989802825657222E-2</v>
      </c>
      <c r="K154" s="29">
        <f t="shared" si="8"/>
        <v>3.6384035893672839E-2</v>
      </c>
      <c r="L154" s="31">
        <v>3.431E-2</v>
      </c>
    </row>
    <row r="155" spans="7:12" x14ac:dyDescent="0.35">
      <c r="G155" s="7">
        <v>133</v>
      </c>
      <c r="H155" s="24">
        <v>3.3529999999999997E-2</v>
      </c>
      <c r="I155" s="29">
        <f t="shared" si="9"/>
        <v>3.2980127294591405E-2</v>
      </c>
      <c r="J155" s="29">
        <f t="shared" si="10"/>
        <v>3.1702957193927794E-2</v>
      </c>
      <c r="K155" s="29">
        <f t="shared" si="8"/>
        <v>3.5097190261943412E-2</v>
      </c>
      <c r="L155" s="31">
        <v>3.4299999999999997E-2</v>
      </c>
    </row>
    <row r="156" spans="7:12" x14ac:dyDescent="0.35">
      <c r="G156" s="2">
        <v>134</v>
      </c>
      <c r="H156" s="25">
        <v>3.3529999999999997E-2</v>
      </c>
      <c r="I156" s="29">
        <f t="shared" si="9"/>
        <v>3.2980127294591405E-2</v>
      </c>
      <c r="J156" s="29">
        <f t="shared" si="10"/>
        <v>3.2980127294591099E-2</v>
      </c>
      <c r="K156" s="29">
        <f t="shared" si="8"/>
        <v>3.6374360362606717E-2</v>
      </c>
      <c r="L156" s="31">
        <v>3.4290000000000001E-2</v>
      </c>
    </row>
    <row r="157" spans="7:12" x14ac:dyDescent="0.35">
      <c r="G157" s="2">
        <v>135</v>
      </c>
      <c r="H157" s="25">
        <v>3.3529999999999997E-2</v>
      </c>
      <c r="I157" s="29">
        <f t="shared" si="9"/>
        <v>3.2980127294591405E-2</v>
      </c>
      <c r="J157" s="29">
        <f t="shared" si="10"/>
        <v>3.2980127294591099E-2</v>
      </c>
      <c r="K157" s="29">
        <f t="shared" si="8"/>
        <v>3.6374360362606717E-2</v>
      </c>
      <c r="L157" s="31">
        <v>3.4279999999999998E-2</v>
      </c>
    </row>
    <row r="158" spans="7:12" x14ac:dyDescent="0.35">
      <c r="G158" s="7">
        <v>136</v>
      </c>
      <c r="H158" s="24">
        <v>3.3520000000000001E-2</v>
      </c>
      <c r="I158" s="29">
        <f t="shared" si="9"/>
        <v>3.2970451669908751E-2</v>
      </c>
      <c r="J158" s="29">
        <f t="shared" si="10"/>
        <v>3.1664242337750892E-2</v>
      </c>
      <c r="K158" s="29">
        <f t="shared" si="8"/>
        <v>3.5058475405766509E-2</v>
      </c>
      <c r="L158" s="31">
        <v>3.4270000000000002E-2</v>
      </c>
    </row>
    <row r="159" spans="7:12" x14ac:dyDescent="0.35">
      <c r="G159" s="7">
        <v>137</v>
      </c>
      <c r="H159" s="24">
        <v>3.3520000000000001E-2</v>
      </c>
      <c r="I159" s="29">
        <f t="shared" si="9"/>
        <v>3.2970451669908751E-2</v>
      </c>
      <c r="J159" s="29">
        <f t="shared" si="10"/>
        <v>3.2970451669909195E-2</v>
      </c>
      <c r="K159" s="29">
        <f t="shared" si="8"/>
        <v>3.6364684737924813E-2</v>
      </c>
      <c r="L159" s="31">
        <v>3.4259999999999999E-2</v>
      </c>
    </row>
    <row r="160" spans="7:12" x14ac:dyDescent="0.35">
      <c r="G160" s="7">
        <v>138</v>
      </c>
      <c r="H160" s="24">
        <v>3.3509999999999998E-2</v>
      </c>
      <c r="I160" s="29">
        <f t="shared" si="9"/>
        <v>3.2960775951607471E-2</v>
      </c>
      <c r="J160" s="29">
        <f t="shared" si="10"/>
        <v>3.1635202544332053E-2</v>
      </c>
      <c r="K160" s="29">
        <f t="shared" si="8"/>
        <v>3.502943561234767E-2</v>
      </c>
      <c r="L160" s="31">
        <v>3.4250000000000003E-2</v>
      </c>
    </row>
    <row r="161" spans="7:12" x14ac:dyDescent="0.35">
      <c r="G161" s="2">
        <v>139</v>
      </c>
      <c r="H161" s="25">
        <v>3.3509999999999998E-2</v>
      </c>
      <c r="I161" s="29">
        <f t="shared" si="9"/>
        <v>3.2960775951607471E-2</v>
      </c>
      <c r="J161" s="29">
        <f t="shared" si="10"/>
        <v>3.2960775951607069E-2</v>
      </c>
      <c r="K161" s="29">
        <f t="shared" si="8"/>
        <v>3.6355009019622686E-2</v>
      </c>
      <c r="L161" s="31">
        <v>3.424E-2</v>
      </c>
    </row>
    <row r="162" spans="7:12" x14ac:dyDescent="0.35">
      <c r="G162" s="2">
        <v>140</v>
      </c>
      <c r="H162" s="25">
        <v>3.3509999999999998E-2</v>
      </c>
      <c r="I162" s="29">
        <f t="shared" si="9"/>
        <v>3.2960775951607471E-2</v>
      </c>
      <c r="J162" s="29">
        <f t="shared" si="10"/>
        <v>3.2960775951607069E-2</v>
      </c>
      <c r="K162" s="29">
        <f t="shared" si="8"/>
        <v>3.6355009019622686E-2</v>
      </c>
      <c r="L162" s="31">
        <v>3.424E-2</v>
      </c>
    </row>
    <row r="163" spans="7:12" x14ac:dyDescent="0.35">
      <c r="G163" s="7">
        <v>141</v>
      </c>
      <c r="H163" s="24">
        <v>3.3500000000000002E-2</v>
      </c>
      <c r="I163" s="29">
        <f t="shared" si="9"/>
        <v>3.2951100139685982E-2</v>
      </c>
      <c r="J163" s="29">
        <f t="shared" si="10"/>
        <v>3.1596486470677476E-2</v>
      </c>
      <c r="K163" s="29">
        <f t="shared" si="8"/>
        <v>3.4990719538693094E-2</v>
      </c>
      <c r="L163" s="31">
        <v>3.4229999999999997E-2</v>
      </c>
    </row>
    <row r="164" spans="7:12" x14ac:dyDescent="0.35">
      <c r="G164" s="7">
        <v>142</v>
      </c>
      <c r="H164" s="24">
        <v>3.3500000000000002E-2</v>
      </c>
      <c r="I164" s="29">
        <f t="shared" si="9"/>
        <v>3.2951100139685982E-2</v>
      </c>
      <c r="J164" s="29">
        <f t="shared" si="10"/>
        <v>3.2951100139686496E-2</v>
      </c>
      <c r="K164" s="29">
        <f t="shared" si="8"/>
        <v>3.6345333207702113E-2</v>
      </c>
      <c r="L164" s="31">
        <v>3.422E-2</v>
      </c>
    </row>
    <row r="165" spans="7:12" x14ac:dyDescent="0.35">
      <c r="G165" s="7">
        <v>143</v>
      </c>
      <c r="H165" s="24">
        <v>3.3500000000000002E-2</v>
      </c>
      <c r="I165" s="29">
        <f t="shared" si="9"/>
        <v>3.2951100139685982E-2</v>
      </c>
      <c r="J165" s="29">
        <f t="shared" si="10"/>
        <v>3.2951100139685607E-2</v>
      </c>
      <c r="K165" s="29">
        <f t="shared" si="8"/>
        <v>3.6345333207701225E-2</v>
      </c>
      <c r="L165" s="31">
        <v>3.4209999999999997E-2</v>
      </c>
    </row>
    <row r="166" spans="7:12" x14ac:dyDescent="0.35">
      <c r="G166" s="2">
        <v>144</v>
      </c>
      <c r="H166" s="25">
        <v>3.3489999999999999E-2</v>
      </c>
      <c r="I166" s="29">
        <f t="shared" si="9"/>
        <v>3.2941424234142036E-2</v>
      </c>
      <c r="J166" s="29">
        <f t="shared" si="10"/>
        <v>3.1557769741358044E-2</v>
      </c>
      <c r="K166" s="29">
        <f t="shared" si="8"/>
        <v>3.4952002809373661E-2</v>
      </c>
      <c r="L166" s="31">
        <v>3.4200000000000001E-2</v>
      </c>
    </row>
    <row r="167" spans="7:12" x14ac:dyDescent="0.35">
      <c r="G167" s="2">
        <v>145</v>
      </c>
      <c r="H167" s="25">
        <v>3.3489999999999999E-2</v>
      </c>
      <c r="I167" s="29">
        <f t="shared" si="9"/>
        <v>3.2941424234142036E-2</v>
      </c>
      <c r="J167" s="29">
        <f t="shared" si="10"/>
        <v>3.2941424234142147E-2</v>
      </c>
      <c r="K167" s="29">
        <f t="shared" si="8"/>
        <v>3.6335657302157764E-2</v>
      </c>
      <c r="L167" s="31">
        <v>3.4189999999999998E-2</v>
      </c>
    </row>
    <row r="168" spans="7:12" x14ac:dyDescent="0.35">
      <c r="G168" s="7">
        <v>146</v>
      </c>
      <c r="H168" s="24">
        <v>3.3489999999999999E-2</v>
      </c>
      <c r="I168" s="29">
        <f t="shared" si="9"/>
        <v>3.2941424234142036E-2</v>
      </c>
      <c r="J168" s="29">
        <f t="shared" si="10"/>
        <v>3.2941424234142147E-2</v>
      </c>
      <c r="K168" s="29">
        <f t="shared" si="8"/>
        <v>3.6335657302157764E-2</v>
      </c>
      <c r="L168" s="31">
        <v>3.4180000000000002E-2</v>
      </c>
    </row>
    <row r="169" spans="7:12" x14ac:dyDescent="0.35">
      <c r="G169" s="7">
        <v>147</v>
      </c>
      <c r="H169" s="24">
        <v>3.3480000000000003E-2</v>
      </c>
      <c r="I169" s="29">
        <f t="shared" si="9"/>
        <v>3.293174823497403E-2</v>
      </c>
      <c r="J169" s="29">
        <f t="shared" si="10"/>
        <v>3.151905235644481E-2</v>
      </c>
      <c r="K169" s="29">
        <f t="shared" si="8"/>
        <v>3.4913285424460427E-2</v>
      </c>
      <c r="L169" s="31">
        <v>3.4180000000000002E-2</v>
      </c>
    </row>
    <row r="170" spans="7:12" x14ac:dyDescent="0.35">
      <c r="G170" s="7">
        <v>148</v>
      </c>
      <c r="H170" s="24">
        <v>3.3480000000000003E-2</v>
      </c>
      <c r="I170" s="29">
        <f t="shared" si="9"/>
        <v>3.293174823497403E-2</v>
      </c>
      <c r="J170" s="29">
        <f t="shared" si="10"/>
        <v>3.2931748234974023E-2</v>
      </c>
      <c r="K170" s="29">
        <f t="shared" si="8"/>
        <v>3.6325981302989641E-2</v>
      </c>
      <c r="L170" s="31">
        <v>3.4169999999999999E-2</v>
      </c>
    </row>
    <row r="171" spans="7:12" x14ac:dyDescent="0.35">
      <c r="G171" s="2">
        <v>149</v>
      </c>
      <c r="H171" s="25">
        <v>3.3480000000000003E-2</v>
      </c>
      <c r="I171" s="29">
        <f t="shared" si="9"/>
        <v>3.293174823497403E-2</v>
      </c>
      <c r="J171" s="29">
        <f t="shared" si="10"/>
        <v>3.2931748234974023E-2</v>
      </c>
      <c r="K171" s="29">
        <f t="shared" si="8"/>
        <v>3.6325981302989641E-2</v>
      </c>
      <c r="L171" s="31">
        <v>3.4160000000000003E-2</v>
      </c>
    </row>
    <row r="172" spans="7:12" x14ac:dyDescent="0.35">
      <c r="G172" s="2">
        <v>150</v>
      </c>
      <c r="H172" s="25">
        <v>3.347E-2</v>
      </c>
      <c r="I172" s="29">
        <f t="shared" si="9"/>
        <v>3.292207214218016E-2</v>
      </c>
      <c r="J172" s="29">
        <f t="shared" si="10"/>
        <v>3.1480334315893366E-2</v>
      </c>
      <c r="K172" s="29">
        <f t="shared" si="8"/>
        <v>3.4874567383908983E-2</v>
      </c>
      <c r="L172" s="32">
        <v>3.415E-2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4.467032849610162E-2</v>
      </c>
      <c r="N19" s="16" t="s">
        <v>127</v>
      </c>
      <c r="O19" s="74" cm="1">
        <f t="array" ref="O19">_xlfn.LET(_xlpm.FIRST_LLFR_WEIGHT, INDEX(R.LLFR_WEIGHTS, V.FSP),
     V.LLFR_IRR_UP + _xlpm.FIRST_LLFR_WEIGHT * LN(1+$H$12))</f>
        <v>4.8064561564117238E-2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3.261E-2</v>
      </c>
      <c r="I22" s="75" cm="1">
        <f t="array" ref="I22:I171">_xlfn.LET(_xlpm.LLP, MAX(_xlfn._xlws.FILTER(R.MATURITY,R.DLT=1)),
     BootstrapCurve(V.INSTRUMENT,_xlfn.ANCHORARRAY(H22),R.DLT,"A",V.CRA,V.COUPON_FREQ,_xlpm.LLP,"A", "Z"))</f>
        <v>3.2610000000000028E-2</v>
      </c>
      <c r="J22" s="75" cm="1">
        <f t="array" ref="J22">_xlfn.LET(_xlpm.m, G22,
     _xlpm.rfr, I22,
     _xlpm.sm_up, INDEX(R.IRR_SM_UP, _xlpm.m),
     _xlpm.bm_up, INDEX(R.IRR_BM_UP, _xlpm.m),
     _xlpm.rfr * (1 + _xlpm.sm_up) + _xlpm.bm_up)</f>
        <v>7.390210000000004E-2</v>
      </c>
      <c r="K22" s="75">
        <f>LN(1+J22)</f>
        <v>7.1298837369459689E-2</v>
      </c>
      <c r="L22" s="76" cm="1">
        <f t="array" ref="L22:L171">ROUND(Extrapolation(R.IRR_SHOCK_UP_CC, "Z", V.FSP, V.UFR_UP, V.LLFR_IRR_UP, V.ALPHA, "A"), 5)</f>
        <v>7.3899999999999993E-2</v>
      </c>
      <c r="M22" s="75">
        <f>K22</f>
        <v>7.1298837369459689E-2</v>
      </c>
      <c r="N22" s="75">
        <f t="shared" ref="N22:N53" si="0">M22+LN(1+V.TOTAL_VA)</f>
        <v>7.4693070437475306E-2</v>
      </c>
      <c r="O22" s="76" cm="1">
        <f t="array" ref="O22:O171">ROUND(Extrapolation(N22:N171, "F", V.FSP,V.UFR_UP,V.LLFR_STAR_IRR_UP,V.ALPHA,"A"), 5)</f>
        <v>7.7549999999999994E-2</v>
      </c>
    </row>
    <row r="23" spans="6:18" x14ac:dyDescent="0.35">
      <c r="G23" s="7">
        <v>2</v>
      </c>
      <c r="H23" s="75">
        <v>3.4290000000000001E-2</v>
      </c>
      <c r="I23" s="75">
        <v>3.4289999999999932E-2</v>
      </c>
      <c r="J23" s="75" cm="1">
        <f t="array" ref="J23">_xlfn.LET(_xlpm.m, G23,
     _xlpm.rfr, I23,
     _xlpm.sm_up, INDEX(R.IRR_SM_UP, _xlpm.m),
     _xlpm.bm_up, INDEX(R.IRR_BM_UP, _xlpm.m),
     _xlpm.rfr * (1 + _xlpm.sm_up) + _xlpm.bm_up)</f>
        <v>7.1063699999999896E-2</v>
      </c>
      <c r="K23" s="75">
        <f t="shared" ref="K23:K86" si="1">LN(1+J23)</f>
        <v>6.8652266821100552E-2</v>
      </c>
      <c r="L23" s="77">
        <v>7.1059999999999998E-2</v>
      </c>
      <c r="M23" s="75">
        <f t="shared" ref="M23:M54" si="2">G23*K23-G22*K22</f>
        <v>6.6005696272741415E-2</v>
      </c>
      <c r="N23" s="75">
        <f t="shared" si="0"/>
        <v>6.9399929340757033E-2</v>
      </c>
      <c r="O23" s="77">
        <v>7.4709999999999999E-2</v>
      </c>
    </row>
    <row r="24" spans="6:18" x14ac:dyDescent="0.35">
      <c r="G24" s="7">
        <v>3</v>
      </c>
      <c r="H24" s="75">
        <v>3.4599999999999999E-2</v>
      </c>
      <c r="I24" s="75">
        <v>3.4599999999999964E-2</v>
      </c>
      <c r="J24" s="75" cm="1">
        <f t="array" ref="J24">_xlfn.LET(_xlpm.m, G24,
     _xlpm.rfr, I24,
     _xlpm.sm_up, INDEX(R.IRR_SM_UP, _xlpm.m),
     _xlpm.bm_up, INDEX(R.IRR_BM_UP, _xlpm.m),
     _xlpm.rfr * (1 + _xlpm.sm_up) + _xlpm.bm_up)</f>
        <v>6.8753999999999954E-2</v>
      </c>
      <c r="K24" s="75">
        <f t="shared" si="1"/>
        <v>6.6493483951887533E-2</v>
      </c>
      <c r="L24" s="77">
        <v>6.8750000000000006E-2</v>
      </c>
      <c r="M24" s="75">
        <f t="shared" si="2"/>
        <v>6.2175918213461495E-2</v>
      </c>
      <c r="N24" s="75">
        <f t="shared" si="0"/>
        <v>6.5570151281477113E-2</v>
      </c>
      <c r="O24" s="77">
        <v>7.2389999999999996E-2</v>
      </c>
    </row>
    <row r="25" spans="6:18" x14ac:dyDescent="0.35">
      <c r="G25" s="2">
        <v>4</v>
      </c>
      <c r="H25" s="75">
        <v>3.4720000000000001E-2</v>
      </c>
      <c r="I25" s="75">
        <v>3.4720000000000084E-2</v>
      </c>
      <c r="J25" s="75" cm="1">
        <f t="array" ref="J25">_xlfn.LET(_xlpm.m, G25,
     _xlpm.rfr, I25,
     _xlpm.sm_up, INDEX(R.IRR_SM_UP, _xlpm.m),
     _xlpm.bm_up, INDEX(R.IRR_BM_UP, _xlpm.m),
     _xlpm.rfr * (1 + _xlpm.sm_up) + _xlpm.bm_up)</f>
        <v>6.679120000000012E-2</v>
      </c>
      <c r="K25" s="75">
        <f t="shared" si="1"/>
        <v>6.4655264322820483E-2</v>
      </c>
      <c r="L25" s="77">
        <v>6.6790000000000002E-2</v>
      </c>
      <c r="M25" s="75">
        <f t="shared" si="2"/>
        <v>5.9140605435619331E-2</v>
      </c>
      <c r="N25" s="75">
        <f t="shared" si="0"/>
        <v>6.2534838503634949E-2</v>
      </c>
      <c r="O25" s="77">
        <v>7.0419999999999996E-2</v>
      </c>
    </row>
    <row r="26" spans="6:18" x14ac:dyDescent="0.35">
      <c r="G26" s="2">
        <v>5</v>
      </c>
      <c r="H26" s="75">
        <v>3.4779999999999998E-2</v>
      </c>
      <c r="I26" s="75">
        <v>3.4780000000000033E-2</v>
      </c>
      <c r="J26" s="75" cm="1">
        <f t="array" ref="J26">_xlfn.LET(_xlpm.m, G26,
     _xlpm.rfr, I26,
     _xlpm.sm_up, INDEX(R.IRR_SM_UP, _xlpm.m),
     _xlpm.bm_up, INDEX(R.IRR_BM_UP, _xlpm.m),
     _xlpm.rfr * (1 + _xlpm.sm_up) + _xlpm.bm_up)</f>
        <v>6.623100000000004E-2</v>
      </c>
      <c r="K26" s="75">
        <f t="shared" si="1"/>
        <v>6.4130000204256646E-2</v>
      </c>
      <c r="L26" s="77">
        <v>6.6229999999999997E-2</v>
      </c>
      <c r="M26" s="75">
        <f t="shared" si="2"/>
        <v>6.2028943730001285E-2</v>
      </c>
      <c r="N26" s="75">
        <f t="shared" si="0"/>
        <v>6.5423176798016902E-2</v>
      </c>
      <c r="O26" s="77">
        <v>6.9860000000000005E-2</v>
      </c>
    </row>
    <row r="27" spans="6:18" x14ac:dyDescent="0.35">
      <c r="G27" s="7">
        <v>6</v>
      </c>
      <c r="H27" s="75">
        <v>3.4869999999999998E-2</v>
      </c>
      <c r="I27" s="75">
        <v>3.4869999999999957E-2</v>
      </c>
      <c r="J27" s="75" cm="1">
        <f t="array" ref="J27">_xlfn.LET(_xlpm.m, G27,
     _xlpm.rfr, I27,
     _xlpm.sm_up, INDEX(R.IRR_SM_UP, _xlpm.m),
     _xlpm.bm_up, INDEX(R.IRR_BM_UP, _xlpm.m),
     _xlpm.rfr * (1 + _xlpm.sm_up) + _xlpm.bm_up)</f>
        <v>6.3566699999999934E-2</v>
      </c>
      <c r="K27" s="75">
        <f t="shared" si="1"/>
        <v>6.1628071133905393E-2</v>
      </c>
      <c r="L27" s="77">
        <v>6.3570000000000002E-2</v>
      </c>
      <c r="M27" s="75">
        <f t="shared" si="2"/>
        <v>4.9118425782149144E-2</v>
      </c>
      <c r="N27" s="75">
        <f t="shared" si="0"/>
        <v>5.2512658850164762E-2</v>
      </c>
      <c r="O27" s="77">
        <v>6.7180000000000004E-2</v>
      </c>
    </row>
    <row r="28" spans="6:18" x14ac:dyDescent="0.35">
      <c r="G28" s="7">
        <v>7</v>
      </c>
      <c r="H28" s="75">
        <v>3.5020000000000003E-2</v>
      </c>
      <c r="I28" s="75">
        <v>3.5020000000000051E-2</v>
      </c>
      <c r="J28" s="75" cm="1">
        <f t="array" ref="J28">_xlfn.LET(_xlpm.m, G28,
     _xlpm.rfr, I28,
     _xlpm.sm_up, INDEX(R.IRR_SM_UP, _xlpm.m),
     _xlpm.bm_up, INDEX(R.IRR_BM_UP, _xlpm.m),
     _xlpm.rfr * (1 + _xlpm.sm_up) + _xlpm.bm_up)</f>
        <v>6.097740000000007E-2</v>
      </c>
      <c r="K28" s="75">
        <f t="shared" si="1"/>
        <v>5.9190558745228924E-2</v>
      </c>
      <c r="L28" s="77">
        <v>6.0979999999999999E-2</v>
      </c>
      <c r="M28" s="75">
        <f t="shared" si="2"/>
        <v>4.4565484413170098E-2</v>
      </c>
      <c r="N28" s="75">
        <f t="shared" si="0"/>
        <v>4.7959717481185715E-2</v>
      </c>
      <c r="O28" s="77">
        <v>6.4579999999999999E-2</v>
      </c>
    </row>
    <row r="29" spans="6:18" x14ac:dyDescent="0.35">
      <c r="G29" s="7">
        <v>8</v>
      </c>
      <c r="H29" s="75">
        <v>3.5220000000000001E-2</v>
      </c>
      <c r="I29" s="75">
        <v>3.5220000000000029E-2</v>
      </c>
      <c r="J29" s="75" cm="1">
        <f t="array" ref="J29">_xlfn.LET(_xlpm.m, G29,
     _xlpm.rfr, I29,
     _xlpm.sm_up, INDEX(R.IRR_SM_UP, _xlpm.m),
     _xlpm.bm_up, INDEX(R.IRR_BM_UP, _xlpm.m),
     _xlpm.rfr * (1 + _xlpm.sm_up) + _xlpm.bm_up)</f>
        <v>5.9094800000000045E-2</v>
      </c>
      <c r="K29" s="75">
        <f t="shared" si="1"/>
        <v>5.741458102633306E-2</v>
      </c>
      <c r="L29" s="77">
        <v>5.9089999999999997E-2</v>
      </c>
      <c r="M29" s="75">
        <f t="shared" si="2"/>
        <v>4.4982736994062023E-2</v>
      </c>
      <c r="N29" s="75">
        <f t="shared" si="0"/>
        <v>4.837697006207764E-2</v>
      </c>
      <c r="O29" s="77">
        <v>6.2700000000000006E-2</v>
      </c>
    </row>
    <row r="30" spans="6:18" x14ac:dyDescent="0.35">
      <c r="G30" s="2">
        <v>9</v>
      </c>
      <c r="H30" s="75">
        <v>3.5430000000000003E-2</v>
      </c>
      <c r="I30" s="75">
        <v>3.5430000000000073E-2</v>
      </c>
      <c r="J30" s="75" cm="1">
        <f t="array" ref="J30">_xlfn.LET(_xlpm.m, G30,
     _xlpm.rfr, I30,
     _xlpm.sm_up, INDEX(R.IRR_SM_UP, _xlpm.m),
     _xlpm.bm_up, INDEX(R.IRR_BM_UP, _xlpm.m),
     _xlpm.rfr * (1 + _xlpm.sm_up) + _xlpm.bm_up)</f>
        <v>5.7967600000000098E-2</v>
      </c>
      <c r="K30" s="75">
        <f t="shared" si="1"/>
        <v>5.634970914866342E-2</v>
      </c>
      <c r="L30" s="77">
        <v>5.7970000000000001E-2</v>
      </c>
      <c r="M30" s="75">
        <f t="shared" si="2"/>
        <v>4.7830734127306263E-2</v>
      </c>
      <c r="N30" s="75">
        <f t="shared" si="0"/>
        <v>5.122496719532188E-2</v>
      </c>
      <c r="O30" s="77">
        <v>6.1559999999999997E-2</v>
      </c>
    </row>
    <row r="31" spans="6:18" x14ac:dyDescent="0.35">
      <c r="G31" s="2">
        <v>10</v>
      </c>
      <c r="H31" s="75">
        <v>3.567E-2</v>
      </c>
      <c r="I31" s="75">
        <v>3.5670000000000091E-2</v>
      </c>
      <c r="J31" s="75" cm="1">
        <f t="array" ref="J31">_xlfn.LET(_xlpm.m, G31,
     _xlpm.rfr, I31,
     _xlpm.sm_up, INDEX(R.IRR_SM_UP, _xlpm.m),
     _xlpm.bm_up, INDEX(R.IRR_BM_UP, _xlpm.m),
     _xlpm.rfr * (1 + _xlpm.sm_up) + _xlpm.bm_up)</f>
        <v>5.6871000000000123E-2</v>
      </c>
      <c r="K31" s="75">
        <f t="shared" si="1"/>
        <v>5.5312655920789877E-2</v>
      </c>
      <c r="L31" s="77">
        <v>5.6869999999999997E-2</v>
      </c>
      <c r="M31" s="75">
        <f t="shared" si="2"/>
        <v>4.5979176869928029E-2</v>
      </c>
      <c r="N31" s="75">
        <f t="shared" si="0"/>
        <v>4.9373409937943646E-2</v>
      </c>
      <c r="O31" s="77">
        <v>6.046E-2</v>
      </c>
    </row>
    <row r="32" spans="6:18" x14ac:dyDescent="0.35">
      <c r="G32" s="7">
        <v>11</v>
      </c>
      <c r="H32" s="75">
        <v>3.5869999999999999E-2</v>
      </c>
      <c r="I32" s="75">
        <v>3.5870000000000068E-2</v>
      </c>
      <c r="J32" s="75" cm="1">
        <f t="array" ref="J32">_xlfn.LET(_xlpm.m, G32,
     _xlpm.rfr, I32,
     _xlpm.sm_up, INDEX(R.IRR_SM_UP, _xlpm.m),
     _xlpm.bm_up, INDEX(R.IRR_BM_UP, _xlpm.m),
     _xlpm.rfr * (1 + _xlpm.sm_up) + _xlpm.bm_up)</f>
        <v>5.7131000000000091E-2</v>
      </c>
      <c r="K32" s="75">
        <f t="shared" si="1"/>
        <v>5.5558634875692368E-2</v>
      </c>
      <c r="L32" s="77">
        <v>5.713E-2</v>
      </c>
      <c r="M32" s="75">
        <f t="shared" si="2"/>
        <v>5.8018424424717274E-2</v>
      </c>
      <c r="N32" s="75">
        <f t="shared" si="0"/>
        <v>6.1412657492732892E-2</v>
      </c>
      <c r="O32" s="77">
        <v>6.0729999999999999E-2</v>
      </c>
    </row>
    <row r="33" spans="7:15" x14ac:dyDescent="0.35">
      <c r="G33" s="7">
        <v>12</v>
      </c>
      <c r="H33" s="75">
        <v>3.6060000000000002E-2</v>
      </c>
      <c r="I33" s="75">
        <v>3.6059999999999981E-2</v>
      </c>
      <c r="J33" s="75" cm="1">
        <f t="array" ref="J33">_xlfn.LET(_xlpm.m, G33,
     _xlpm.rfr, I33,
     _xlpm.sm_up, INDEX(R.IRR_SM_UP, _xlpm.m),
     _xlpm.bm_up, INDEX(R.IRR_BM_UP, _xlpm.m),
     _xlpm.rfr * (1 + _xlpm.sm_up) + _xlpm.bm_up)</f>
        <v>5.7377999999999978E-2</v>
      </c>
      <c r="K33" s="75">
        <f t="shared" si="1"/>
        <v>5.579225885281739E-2</v>
      </c>
      <c r="L33" s="77">
        <v>5.738E-2</v>
      </c>
      <c r="M33" s="75">
        <f t="shared" si="2"/>
        <v>5.8362122601192667E-2</v>
      </c>
      <c r="N33" s="75">
        <f t="shared" si="0"/>
        <v>6.1756355669208285E-2</v>
      </c>
      <c r="O33" s="77">
        <v>6.0970000000000003E-2</v>
      </c>
    </row>
    <row r="34" spans="7:15" x14ac:dyDescent="0.35">
      <c r="G34" s="7">
        <v>13</v>
      </c>
      <c r="H34" s="75">
        <v>3.6200000000000003E-2</v>
      </c>
      <c r="I34" s="75">
        <v>3.620000000000001E-2</v>
      </c>
      <c r="J34" s="75" cm="1">
        <f t="array" ref="J34">_xlfn.LET(_xlpm.m, G34,
     _xlpm.rfr, I34,
     _xlpm.sm_up, INDEX(R.IRR_SM_UP, _xlpm.m),
     _xlpm.bm_up, INDEX(R.IRR_BM_UP, _xlpm.m),
     _xlpm.rfr * (1 + _xlpm.sm_up) + _xlpm.bm_up)</f>
        <v>5.7560000000000014E-2</v>
      </c>
      <c r="K34" s="75">
        <f t="shared" si="1"/>
        <v>5.5964367917432416E-2</v>
      </c>
      <c r="L34" s="77">
        <v>5.756E-2</v>
      </c>
      <c r="M34" s="75">
        <f t="shared" si="2"/>
        <v>5.8029676692812671E-2</v>
      </c>
      <c r="N34" s="75">
        <f t="shared" si="0"/>
        <v>6.1423909760828288E-2</v>
      </c>
      <c r="O34" s="77">
        <v>6.1159999999999999E-2</v>
      </c>
    </row>
    <row r="35" spans="7:15" x14ac:dyDescent="0.35">
      <c r="G35" s="2">
        <v>14</v>
      </c>
      <c r="H35" s="75">
        <v>3.6290000000000003E-2</v>
      </c>
      <c r="I35" s="75">
        <v>3.6289999999999933E-2</v>
      </c>
      <c r="J35" s="75" cm="1">
        <f t="array" ref="J35">_xlfn.LET(_xlpm.m, G35,
     _xlpm.rfr, I35,
     _xlpm.sm_up, INDEX(R.IRR_SM_UP, _xlpm.m),
     _xlpm.bm_up, INDEX(R.IRR_BM_UP, _xlpm.m),
     _xlpm.rfr * (1 + _xlpm.sm_up) + _xlpm.bm_up)</f>
        <v>5.7014099999999915E-2</v>
      </c>
      <c r="K35" s="75">
        <f t="shared" si="1"/>
        <v>5.5448046439620285E-2</v>
      </c>
      <c r="L35" s="77">
        <v>5.7009999999999998E-2</v>
      </c>
      <c r="M35" s="75">
        <f t="shared" si="2"/>
        <v>4.8735867228062557E-2</v>
      </c>
      <c r="N35" s="75">
        <f t="shared" si="0"/>
        <v>5.2130100296078175E-2</v>
      </c>
      <c r="O35" s="77">
        <v>6.0609999999999997E-2</v>
      </c>
    </row>
    <row r="36" spans="7:15" x14ac:dyDescent="0.35">
      <c r="G36" s="2">
        <v>15</v>
      </c>
      <c r="H36" s="75">
        <v>3.6330000000000001E-2</v>
      </c>
      <c r="I36" s="75">
        <v>3.6329999999999973E-2</v>
      </c>
      <c r="J36" s="75" cm="1">
        <f t="array" ref="J36">_xlfn.LET(_xlpm.m, G36,
     _xlpm.rfr, I36,
     _xlpm.sm_up, INDEX(R.IRR_SM_UP, _xlpm.m),
     _xlpm.bm_up, INDEX(R.IRR_BM_UP, _xlpm.m),
     _xlpm.rfr * (1 + _xlpm.sm_up) + _xlpm.bm_up)</f>
        <v>5.6302399999999961E-2</v>
      </c>
      <c r="K36" s="75">
        <f t="shared" si="1"/>
        <v>5.4774507926193108E-2</v>
      </c>
      <c r="L36" s="77">
        <v>5.6300000000000003E-2</v>
      </c>
      <c r="M36" s="75">
        <f t="shared" si="2"/>
        <v>4.5344968738212699E-2</v>
      </c>
      <c r="N36" s="75">
        <f t="shared" si="0"/>
        <v>4.8739201806228316E-2</v>
      </c>
      <c r="O36" s="77">
        <v>5.9889999999999999E-2</v>
      </c>
    </row>
    <row r="37" spans="7:15" x14ac:dyDescent="0.35">
      <c r="G37" s="7">
        <v>16</v>
      </c>
      <c r="H37" s="75">
        <v>3.6299999999999999E-2</v>
      </c>
      <c r="I37" s="75">
        <v>3.6214980852973477E-2</v>
      </c>
      <c r="J37" s="75" cm="1">
        <f t="array" ref="J37">_xlfn.LET(_xlpm.m, G37,
     _xlpm.rfr, I37,
     _xlpm.sm_up, INDEX(R.IRR_SM_UP, _xlpm.m),
     _xlpm.bm_up, INDEX(R.IRR_BM_UP, _xlpm.m),
     _xlpm.rfr * (1 + _xlpm.sm_up) + _xlpm.bm_up)</f>
        <v>5.6155175491806056E-2</v>
      </c>
      <c r="K37" s="75">
        <f t="shared" si="1"/>
        <v>5.4635120976944861E-2</v>
      </c>
      <c r="L37" s="77">
        <v>5.6160000000000002E-2</v>
      </c>
      <c r="M37" s="75">
        <f t="shared" si="2"/>
        <v>5.2544316738221131E-2</v>
      </c>
      <c r="N37" s="75">
        <f t="shared" si="0"/>
        <v>5.5938549806236748E-2</v>
      </c>
      <c r="O37" s="77">
        <v>5.9749999999999998E-2</v>
      </c>
    </row>
    <row r="38" spans="7:15" x14ac:dyDescent="0.35">
      <c r="G38" s="7">
        <v>17</v>
      </c>
      <c r="H38" s="75">
        <v>3.6220000000000002E-2</v>
      </c>
      <c r="I38" s="75">
        <v>3.6113503971563432E-2</v>
      </c>
      <c r="J38" s="75" cm="1">
        <f t="array" ref="J38">_xlfn.LET(_xlpm.m, G38,
     _xlpm.rfr, I38,
     _xlpm.sm_up, INDEX(R.IRR_SM_UP, _xlpm.m),
     _xlpm.bm_up, INDEX(R.IRR_BM_UP, _xlpm.m),
     _xlpm.rfr * (1 + _xlpm.sm_up) + _xlpm.bm_up)</f>
        <v>5.5364150043885563E-2</v>
      </c>
      <c r="K38" s="75">
        <f t="shared" si="1"/>
        <v>5.3885873290353187E-2</v>
      </c>
      <c r="L38" s="77">
        <v>5.5359999999999999E-2</v>
      </c>
      <c r="M38" s="75">
        <f t="shared" si="2"/>
        <v>4.1897910304886432E-2</v>
      </c>
      <c r="N38" s="75">
        <f t="shared" si="0"/>
        <v>4.529214337290205E-2</v>
      </c>
      <c r="O38" s="77">
        <v>5.8950000000000002E-2</v>
      </c>
    </row>
    <row r="39" spans="7:15" x14ac:dyDescent="0.35">
      <c r="G39" s="7">
        <v>18</v>
      </c>
      <c r="H39" s="75">
        <v>3.6110000000000003E-2</v>
      </c>
      <c r="I39" s="75">
        <v>3.6023310641960515E-2</v>
      </c>
      <c r="J39" s="75" cm="1">
        <f t="array" ref="J39">_xlfn.LET(_xlpm.m, G39,
     _xlpm.rfr, I39,
     _xlpm.sm_up, INDEX(R.IRR_SM_UP, _xlpm.m),
     _xlpm.bm_up, INDEX(R.IRR_BM_UP, _xlpm.m),
     _xlpm.rfr * (1 + _xlpm.sm_up) + _xlpm.bm_up)</f>
        <v>5.4489371408870252E-2</v>
      </c>
      <c r="K39" s="75">
        <f t="shared" si="1"/>
        <v>5.3056641615028648E-2</v>
      </c>
      <c r="L39" s="77">
        <v>5.4489999999999997E-2</v>
      </c>
      <c r="M39" s="75">
        <f t="shared" si="2"/>
        <v>3.895970313451147E-2</v>
      </c>
      <c r="N39" s="75">
        <f t="shared" si="0"/>
        <v>4.2353936202527087E-2</v>
      </c>
      <c r="O39" s="77">
        <v>5.8069999999999997E-2</v>
      </c>
    </row>
    <row r="40" spans="7:15" x14ac:dyDescent="0.35">
      <c r="G40" s="2">
        <v>19</v>
      </c>
      <c r="H40" s="75">
        <v>3.5990000000000001E-2</v>
      </c>
      <c r="I40" s="75">
        <v>3.594261800219023E-2</v>
      </c>
      <c r="J40" s="75" cm="1">
        <f t="array" ref="J40">_xlfn.LET(_xlpm.m, G40,
     _xlpm.rfr, I40,
     _xlpm.sm_up, INDEX(R.IRR_SM_UP, _xlpm.m),
     _xlpm.bm_up, INDEX(R.IRR_BM_UP, _xlpm.m),
     _xlpm.rfr * (1 + _xlpm.sm_up) + _xlpm.bm_up)</f>
        <v>5.4387698682759694E-2</v>
      </c>
      <c r="K40" s="75">
        <f t="shared" si="1"/>
        <v>5.2960218046645802E-2</v>
      </c>
      <c r="L40" s="77">
        <v>5.4390000000000001E-2</v>
      </c>
      <c r="M40" s="75">
        <f t="shared" si="2"/>
        <v>5.1224593815754615E-2</v>
      </c>
      <c r="N40" s="75">
        <f t="shared" si="0"/>
        <v>5.4618826883770233E-2</v>
      </c>
      <c r="O40" s="77">
        <v>5.7970000000000001E-2</v>
      </c>
    </row>
    <row r="41" spans="7:15" x14ac:dyDescent="0.35">
      <c r="G41" s="2">
        <v>20</v>
      </c>
      <c r="H41" s="75">
        <v>3.5869999999999999E-2</v>
      </c>
      <c r="I41" s="75">
        <v>3.5870000000000068E-2</v>
      </c>
      <c r="J41" s="75" cm="1">
        <f t="array" ref="J41">_xlfn.LET(_xlpm.m, G41,
     _xlpm.rfr, I41,
     _xlpm.sm_up, INDEX(R.IRR_SM_UP, _xlpm.m),
     _xlpm.bm_up, INDEX(R.IRR_BM_UP, _xlpm.m),
     _xlpm.rfr * (1 + _xlpm.sm_up) + _xlpm.bm_up)</f>
        <v>5.3637500000000088E-2</v>
      </c>
      <c r="K41" s="75">
        <f t="shared" si="1"/>
        <v>5.2248463068670238E-2</v>
      </c>
      <c r="L41" s="77">
        <v>5.364E-2</v>
      </c>
      <c r="M41" s="75">
        <f t="shared" si="2"/>
        <v>3.8725118487134447E-2</v>
      </c>
      <c r="N41" s="75">
        <f t="shared" si="0"/>
        <v>4.2119351555150064E-2</v>
      </c>
      <c r="O41" s="77">
        <v>5.722E-2</v>
      </c>
    </row>
    <row r="42" spans="7:15" x14ac:dyDescent="0.35">
      <c r="G42" s="7">
        <v>21</v>
      </c>
      <c r="H42" s="75">
        <v>0</v>
      </c>
      <c r="I42" s="75" t="e">
        <v>#N/A</v>
      </c>
      <c r="J42" s="75" t="e" cm="1">
        <f t="array" ref="J42">_xlfn.LET(_xlpm.m, G42,
     _xlpm.rfr, I42,
     _xlpm.sm_up, INDEX(R.IRR_SM_UP, _xlpm.m),
     _xlpm.bm_up, INDEX(R.IRR_BM_UP, _xlpm.m),
     _xlpm.rfr * (1 + _xlpm.sm_up) + _xlpm.bm_up)</f>
        <v>#N/A</v>
      </c>
      <c r="K42" s="75" t="e">
        <f t="shared" si="1"/>
        <v>#N/A</v>
      </c>
      <c r="L42" s="77">
        <v>5.323E-2</v>
      </c>
      <c r="M42" s="75" t="e">
        <f t="shared" si="2"/>
        <v>#N/A</v>
      </c>
      <c r="N42" s="75" t="e">
        <f t="shared" si="0"/>
        <v>#N/A</v>
      </c>
      <c r="O42" s="77">
        <v>5.6800000000000003E-2</v>
      </c>
    </row>
    <row r="43" spans="7:15" x14ac:dyDescent="0.35">
      <c r="G43" s="7">
        <v>22</v>
      </c>
      <c r="H43" s="75">
        <v>0</v>
      </c>
      <c r="I43" s="75" t="e">
        <v>#N/A</v>
      </c>
      <c r="J43" s="75" t="e" cm="1">
        <f t="array" ref="J43">_xlfn.LET(_xlpm.m, G43,
     _xlpm.rfr, I43,
     _xlpm.sm_up, INDEX(R.IRR_SM_UP, _xlpm.m),
     _xlpm.bm_up, INDEX(R.IRR_BM_UP, _xlpm.m),
     _xlpm.rfr * (1 + _xlpm.sm_up) + _xlpm.bm_up)</f>
        <v>#N/A</v>
      </c>
      <c r="K43" s="75" t="e">
        <f t="shared" si="1"/>
        <v>#N/A</v>
      </c>
      <c r="L43" s="77">
        <v>5.2810000000000003E-2</v>
      </c>
      <c r="M43" s="75" t="e">
        <f t="shared" si="2"/>
        <v>#N/A</v>
      </c>
      <c r="N43" s="75" t="e">
        <f t="shared" si="0"/>
        <v>#N/A</v>
      </c>
      <c r="O43" s="77">
        <v>5.6349999999999997E-2</v>
      </c>
    </row>
    <row r="44" spans="7:15" x14ac:dyDescent="0.35">
      <c r="G44" s="7">
        <v>23</v>
      </c>
      <c r="H44" s="75">
        <v>0</v>
      </c>
      <c r="I44" s="75" t="e">
        <v>#N/A</v>
      </c>
      <c r="J44" s="75" t="e" cm="1">
        <f t="array" ref="J44">_xlfn.LET(_xlpm.m, G44,
     _xlpm.rfr, I44,
     _xlpm.sm_up, INDEX(R.IRR_SM_UP, _xlpm.m),
     _xlpm.bm_up, INDEX(R.IRR_BM_UP, _xlpm.m),
     _xlpm.rfr * (1 + _xlpm.sm_up) + _xlpm.bm_up)</f>
        <v>#N/A</v>
      </c>
      <c r="K44" s="75" t="e">
        <f t="shared" si="1"/>
        <v>#N/A</v>
      </c>
      <c r="L44" s="77">
        <v>5.2380000000000003E-2</v>
      </c>
      <c r="M44" s="75" t="e">
        <f t="shared" si="2"/>
        <v>#N/A</v>
      </c>
      <c r="N44" s="75" t="e">
        <f t="shared" si="0"/>
        <v>#N/A</v>
      </c>
      <c r="O44" s="77">
        <v>5.5890000000000002E-2</v>
      </c>
    </row>
    <row r="45" spans="7:15" x14ac:dyDescent="0.35">
      <c r="G45" s="2">
        <v>24</v>
      </c>
      <c r="H45" s="75">
        <v>0</v>
      </c>
      <c r="I45" s="75" t="e">
        <v>#N/A</v>
      </c>
      <c r="J45" s="75" t="e" cm="1">
        <f t="array" ref="J45">_xlfn.LET(_xlpm.m, G45,
     _xlpm.rfr, I45,
     _xlpm.sm_up, INDEX(R.IRR_SM_UP, _xlpm.m),
     _xlpm.bm_up, INDEX(R.IRR_BM_UP, _xlpm.m),
     _xlpm.rfr * (1 + _xlpm.sm_up) + _xlpm.bm_up)</f>
        <v>#N/A</v>
      </c>
      <c r="K45" s="75" t="e">
        <f t="shared" si="1"/>
        <v>#N/A</v>
      </c>
      <c r="L45" s="77">
        <v>5.1950000000000003E-2</v>
      </c>
      <c r="M45" s="75" t="e">
        <f t="shared" si="2"/>
        <v>#N/A</v>
      </c>
      <c r="N45" s="75" t="e">
        <f t="shared" si="0"/>
        <v>#N/A</v>
      </c>
      <c r="O45" s="77">
        <v>5.5410000000000001E-2</v>
      </c>
    </row>
    <row r="46" spans="7:15" x14ac:dyDescent="0.35">
      <c r="G46" s="2">
        <v>25</v>
      </c>
      <c r="H46" s="75">
        <v>0</v>
      </c>
      <c r="I46" s="75" t="e">
        <v>#N/A</v>
      </c>
      <c r="J46" s="75" t="e" cm="1">
        <f t="array" ref="J46">_xlfn.LET(_xlpm.m, G46,
     _xlpm.rfr, I46,
     _xlpm.sm_up, INDEX(R.IRR_SM_UP, _xlpm.m),
     _xlpm.bm_up, INDEX(R.IRR_BM_UP, _xlpm.m),
     _xlpm.rfr * (1 + _xlpm.sm_up) + _xlpm.bm_up)</f>
        <v>#N/A</v>
      </c>
      <c r="K46" s="75" t="e">
        <f t="shared" si="1"/>
        <v>#N/A</v>
      </c>
      <c r="L46" s="77">
        <v>5.1520000000000003E-2</v>
      </c>
      <c r="M46" s="75" t="e">
        <f t="shared" si="2"/>
        <v>#N/A</v>
      </c>
      <c r="N46" s="75" t="e">
        <f t="shared" si="0"/>
        <v>#N/A</v>
      </c>
      <c r="O46" s="77">
        <v>5.493E-2</v>
      </c>
    </row>
    <row r="47" spans="7:15" x14ac:dyDescent="0.35">
      <c r="G47" s="7">
        <v>26</v>
      </c>
      <c r="H47" s="75">
        <v>0</v>
      </c>
      <c r="I47" s="75" t="e">
        <v>#N/A</v>
      </c>
      <c r="J47" s="75" t="e" cm="1">
        <f t="array" ref="J47">_xlfn.LET(_xlpm.m, G47,
     _xlpm.rfr, I47,
     _xlpm.sm_up, INDEX(R.IRR_SM_UP, _xlpm.m),
     _xlpm.bm_up, INDEX(R.IRR_BM_UP, _xlpm.m),
     _xlpm.rfr * (1 + _xlpm.sm_up) + _xlpm.bm_up)</f>
        <v>#N/A</v>
      </c>
      <c r="K47" s="75" t="e">
        <f t="shared" si="1"/>
        <v>#N/A</v>
      </c>
      <c r="L47" s="77">
        <v>5.11E-2</v>
      </c>
      <c r="M47" s="75" t="e">
        <f t="shared" si="2"/>
        <v>#N/A</v>
      </c>
      <c r="N47" s="75" t="e">
        <f t="shared" si="0"/>
        <v>#N/A</v>
      </c>
      <c r="O47" s="77">
        <v>5.4449999999999998E-2</v>
      </c>
    </row>
    <row r="48" spans="7:15" x14ac:dyDescent="0.35">
      <c r="G48" s="7">
        <v>27</v>
      </c>
      <c r="H48" s="75">
        <v>0</v>
      </c>
      <c r="I48" s="75" t="e">
        <v>#N/A</v>
      </c>
      <c r="J48" s="75" t="e" cm="1">
        <f t="array" ref="J48">_xlfn.LET(_xlpm.m, G48,
     _xlpm.rfr, I48,
     _xlpm.sm_up, INDEX(R.IRR_SM_UP, _xlpm.m),
     _xlpm.bm_up, INDEX(R.IRR_BM_UP, _xlpm.m),
     _xlpm.rfr * (1 + _xlpm.sm_up) + _xlpm.bm_up)</f>
        <v>#N/A</v>
      </c>
      <c r="K48" s="75" t="e">
        <f t="shared" si="1"/>
        <v>#N/A</v>
      </c>
      <c r="L48" s="77">
        <v>5.0680000000000003E-2</v>
      </c>
      <c r="M48" s="75" t="e">
        <f t="shared" si="2"/>
        <v>#N/A</v>
      </c>
      <c r="N48" s="75" t="e">
        <f t="shared" si="0"/>
        <v>#N/A</v>
      </c>
      <c r="O48" s="77">
        <v>5.3969999999999997E-2</v>
      </c>
    </row>
    <row r="49" spans="7:15" x14ac:dyDescent="0.35">
      <c r="G49" s="7">
        <v>28</v>
      </c>
      <c r="H49" s="75">
        <v>0</v>
      </c>
      <c r="I49" s="75" t="e">
        <v>#N/A</v>
      </c>
      <c r="J49" s="75" t="e" cm="1">
        <f t="array" ref="J49">_xlfn.LET(_xlpm.m, G49,
     _xlpm.rfr, I49,
     _xlpm.sm_up, INDEX(R.IRR_SM_UP, _xlpm.m),
     _xlpm.bm_up, INDEX(R.IRR_BM_UP, _xlpm.m),
     _xlpm.rfr * (1 + _xlpm.sm_up) + _xlpm.bm_up)</f>
        <v>#N/A</v>
      </c>
      <c r="K49" s="75" t="e">
        <f t="shared" si="1"/>
        <v>#N/A</v>
      </c>
      <c r="L49" s="77">
        <v>5.0279999999999998E-2</v>
      </c>
      <c r="M49" s="75" t="e">
        <f t="shared" si="2"/>
        <v>#N/A</v>
      </c>
      <c r="N49" s="75" t="e">
        <f t="shared" si="0"/>
        <v>#N/A</v>
      </c>
      <c r="O49" s="77">
        <v>5.3510000000000002E-2</v>
      </c>
    </row>
    <row r="50" spans="7:15" x14ac:dyDescent="0.35">
      <c r="G50" s="2">
        <v>29</v>
      </c>
      <c r="H50" s="75">
        <v>0</v>
      </c>
      <c r="I50" s="75" t="e">
        <v>#N/A</v>
      </c>
      <c r="J50" s="75" t="e" cm="1">
        <f t="array" ref="J50">_xlfn.LET(_xlpm.m, G50,
     _xlpm.rfr, I50,
     _xlpm.sm_up, INDEX(R.IRR_SM_UP, _xlpm.m),
     _xlpm.bm_up, INDEX(R.IRR_BM_UP, _xlpm.m),
     _xlpm.rfr * (1 + _xlpm.sm_up) + _xlpm.bm_up)</f>
        <v>#N/A</v>
      </c>
      <c r="K50" s="75" t="e">
        <f t="shared" si="1"/>
        <v>#N/A</v>
      </c>
      <c r="L50" s="77">
        <v>4.9880000000000001E-2</v>
      </c>
      <c r="M50" s="75" t="e">
        <f t="shared" si="2"/>
        <v>#N/A</v>
      </c>
      <c r="N50" s="75" t="e">
        <f t="shared" si="0"/>
        <v>#N/A</v>
      </c>
      <c r="O50" s="77">
        <v>5.305E-2</v>
      </c>
    </row>
    <row r="51" spans="7:15" x14ac:dyDescent="0.35">
      <c r="G51" s="2">
        <v>30</v>
      </c>
      <c r="H51" s="75">
        <v>0</v>
      </c>
      <c r="I51" s="75" t="e">
        <v>#N/A</v>
      </c>
      <c r="J51" s="75" t="e" cm="1">
        <f t="array" ref="J51">_xlfn.LET(_xlpm.m, G51,
     _xlpm.rfr, I51,
     _xlpm.sm_up, INDEX(R.IRR_SM_UP, _xlpm.m),
     _xlpm.bm_up, INDEX(R.IRR_BM_UP, _xlpm.m),
     _xlpm.rfr * (1 + _xlpm.sm_up) + _xlpm.bm_up)</f>
        <v>#N/A</v>
      </c>
      <c r="K51" s="75" t="e">
        <f t="shared" si="1"/>
        <v>#N/A</v>
      </c>
      <c r="L51" s="77">
        <v>4.9500000000000002E-2</v>
      </c>
      <c r="M51" s="75" t="e">
        <f t="shared" si="2"/>
        <v>#N/A</v>
      </c>
      <c r="N51" s="75" t="e">
        <f t="shared" si="0"/>
        <v>#N/A</v>
      </c>
      <c r="O51" s="77">
        <v>5.2600000000000001E-2</v>
      </c>
    </row>
    <row r="52" spans="7:15" x14ac:dyDescent="0.35">
      <c r="G52" s="7">
        <v>31</v>
      </c>
      <c r="H52" s="75">
        <v>0</v>
      </c>
      <c r="I52" s="75" t="e">
        <v>#N/A</v>
      </c>
      <c r="J52" s="75" t="e" cm="1">
        <f t="array" ref="J52">_xlfn.LET(_xlpm.m, G52,
     _xlpm.rfr, I52,
     _xlpm.sm_up, INDEX(R.IRR_SM_UP, _xlpm.m),
     _xlpm.bm_up, INDEX(R.IRR_BM_UP, _xlpm.m),
     _xlpm.rfr * (1 + _xlpm.sm_up) + _xlpm.bm_up)</f>
        <v>#N/A</v>
      </c>
      <c r="K52" s="75" t="e">
        <f t="shared" si="1"/>
        <v>#N/A</v>
      </c>
      <c r="L52" s="77">
        <v>4.913E-2</v>
      </c>
      <c r="M52" s="75" t="e">
        <f t="shared" si="2"/>
        <v>#N/A</v>
      </c>
      <c r="N52" s="75" t="e">
        <f t="shared" si="0"/>
        <v>#N/A</v>
      </c>
      <c r="O52" s="77">
        <v>5.2159999999999998E-2</v>
      </c>
    </row>
    <row r="53" spans="7:15" x14ac:dyDescent="0.35">
      <c r="G53" s="7">
        <v>32</v>
      </c>
      <c r="H53" s="75">
        <v>0</v>
      </c>
      <c r="I53" s="75" t="e">
        <v>#N/A</v>
      </c>
      <c r="J53" s="75" t="e" cm="1">
        <f t="array" ref="J53">_xlfn.LET(_xlpm.m, G53,
     _xlpm.rfr, I53,
     _xlpm.sm_up, INDEX(R.IRR_SM_UP, _xlpm.m),
     _xlpm.bm_up, INDEX(R.IRR_BM_UP, _xlpm.m),
     _xlpm.rfr * (1 + _xlpm.sm_up) + _xlpm.bm_up)</f>
        <v>#N/A</v>
      </c>
      <c r="K53" s="75" t="e">
        <f t="shared" si="1"/>
        <v>#N/A</v>
      </c>
      <c r="L53" s="77">
        <v>4.8759999999999998E-2</v>
      </c>
      <c r="M53" s="75" t="e">
        <f t="shared" si="2"/>
        <v>#N/A</v>
      </c>
      <c r="N53" s="75" t="e">
        <f t="shared" si="0"/>
        <v>#N/A</v>
      </c>
      <c r="O53" s="77">
        <v>5.1740000000000001E-2</v>
      </c>
    </row>
    <row r="54" spans="7:15" x14ac:dyDescent="0.35">
      <c r="G54" s="7">
        <v>33</v>
      </c>
      <c r="H54" s="75">
        <v>0</v>
      </c>
      <c r="I54" s="75" t="e">
        <v>#N/A</v>
      </c>
      <c r="J54" s="75" t="e" cm="1">
        <f t="array" ref="J54">_xlfn.LET(_xlpm.m, G54,
     _xlpm.rfr, I54,
     _xlpm.sm_up, INDEX(R.IRR_SM_UP, _xlpm.m),
     _xlpm.bm_up, INDEX(R.IRR_BM_UP, _xlpm.m),
     _xlpm.rfr * (1 + _xlpm.sm_up) + _xlpm.bm_up)</f>
        <v>#N/A</v>
      </c>
      <c r="K54" s="75" t="e">
        <f t="shared" si="1"/>
        <v>#N/A</v>
      </c>
      <c r="L54" s="77">
        <v>4.8419999999999998E-2</v>
      </c>
      <c r="M54" s="75" t="e">
        <f t="shared" si="2"/>
        <v>#N/A</v>
      </c>
      <c r="N54" s="75" t="e">
        <f t="shared" ref="N54:N85" si="3">M54+LN(1+V.TOTAL_VA)</f>
        <v>#N/A</v>
      </c>
      <c r="O54" s="77">
        <v>5.1319999999999998E-2</v>
      </c>
    </row>
    <row r="55" spans="7:15" x14ac:dyDescent="0.35">
      <c r="G55" s="2">
        <v>34</v>
      </c>
      <c r="H55" s="75">
        <v>0</v>
      </c>
      <c r="I55" s="75" t="e">
        <v>#N/A</v>
      </c>
      <c r="J55" s="75" t="e" cm="1">
        <f t="array" ref="J55">_xlfn.LET(_xlpm.m, G55,
     _xlpm.rfr, I55,
     _xlpm.sm_up, INDEX(R.IRR_SM_UP, _xlpm.m),
     _xlpm.bm_up, INDEX(R.IRR_BM_UP, _xlpm.m),
     _xlpm.rfr * (1 + _xlpm.sm_up) + _xlpm.bm_up)</f>
        <v>#N/A</v>
      </c>
      <c r="K55" s="75" t="e">
        <f t="shared" si="1"/>
        <v>#N/A</v>
      </c>
      <c r="L55" s="77">
        <v>4.8079999999999998E-2</v>
      </c>
      <c r="M55" s="75" t="e">
        <f t="shared" ref="M55:M86" si="4">G55*K55-G54*K54</f>
        <v>#N/A</v>
      </c>
      <c r="N55" s="75" t="e">
        <f t="shared" si="3"/>
        <v>#N/A</v>
      </c>
      <c r="O55" s="77">
        <v>5.092E-2</v>
      </c>
    </row>
    <row r="56" spans="7:15" x14ac:dyDescent="0.35">
      <c r="G56" s="2">
        <v>35</v>
      </c>
      <c r="H56" s="75">
        <v>0</v>
      </c>
      <c r="I56" s="75" t="e">
        <v>#N/A</v>
      </c>
      <c r="J56" s="75" t="e" cm="1">
        <f t="array" ref="J56">_xlfn.LET(_xlpm.m, G56,
     _xlpm.rfr, I56,
     _xlpm.sm_up, INDEX(R.IRR_SM_UP, _xlpm.m),
     _xlpm.bm_up, INDEX(R.IRR_BM_UP, _xlpm.m),
     _xlpm.rfr * (1 + _xlpm.sm_up) + _xlpm.bm_up)</f>
        <v>#N/A</v>
      </c>
      <c r="K56" s="75" t="e">
        <f t="shared" si="1"/>
        <v>#N/A</v>
      </c>
      <c r="L56" s="77">
        <v>4.7750000000000001E-2</v>
      </c>
      <c r="M56" s="75" t="e">
        <f t="shared" si="4"/>
        <v>#N/A</v>
      </c>
      <c r="N56" s="75" t="e">
        <f t="shared" si="3"/>
        <v>#N/A</v>
      </c>
      <c r="O56" s="77">
        <v>5.0540000000000002E-2</v>
      </c>
    </row>
    <row r="57" spans="7:15" x14ac:dyDescent="0.35">
      <c r="G57" s="7">
        <v>36</v>
      </c>
      <c r="H57" s="75">
        <v>0</v>
      </c>
      <c r="I57" s="75" t="e">
        <v>#N/A</v>
      </c>
      <c r="J57" s="75" t="e" cm="1">
        <f t="array" ref="J57">_xlfn.LET(_xlpm.m, G57,
     _xlpm.rfr, I57,
     _xlpm.sm_up, INDEX(R.IRR_SM_UP, _xlpm.m),
     _xlpm.bm_up, INDEX(R.IRR_BM_UP, _xlpm.m),
     _xlpm.rfr * (1 + _xlpm.sm_up) + _xlpm.bm_up)</f>
        <v>#N/A</v>
      </c>
      <c r="K57" s="75" t="e">
        <f t="shared" si="1"/>
        <v>#N/A</v>
      </c>
      <c r="L57" s="77">
        <v>4.7440000000000003E-2</v>
      </c>
      <c r="M57" s="75" t="e">
        <f t="shared" si="4"/>
        <v>#N/A</v>
      </c>
      <c r="N57" s="75" t="e">
        <f t="shared" si="3"/>
        <v>#N/A</v>
      </c>
      <c r="O57" s="77">
        <v>5.0160000000000003E-2</v>
      </c>
    </row>
    <row r="58" spans="7:15" x14ac:dyDescent="0.35">
      <c r="G58" s="7">
        <v>37</v>
      </c>
      <c r="H58" s="75">
        <v>0</v>
      </c>
      <c r="I58" s="75" t="e">
        <v>#N/A</v>
      </c>
      <c r="J58" s="75" t="e" cm="1">
        <f t="array" ref="J58">_xlfn.LET(_xlpm.m, G58,
     _xlpm.rfr, I58,
     _xlpm.sm_up, INDEX(R.IRR_SM_UP, _xlpm.m),
     _xlpm.bm_up, INDEX(R.IRR_BM_UP, _xlpm.m),
     _xlpm.rfr * (1 + _xlpm.sm_up) + _xlpm.bm_up)</f>
        <v>#N/A</v>
      </c>
      <c r="K58" s="75" t="e">
        <f t="shared" si="1"/>
        <v>#N/A</v>
      </c>
      <c r="L58" s="77">
        <v>4.7140000000000001E-2</v>
      </c>
      <c r="M58" s="75" t="e">
        <f t="shared" si="4"/>
        <v>#N/A</v>
      </c>
      <c r="N58" s="75" t="e">
        <f t="shared" si="3"/>
        <v>#N/A</v>
      </c>
      <c r="O58" s="77">
        <v>4.9799999999999997E-2</v>
      </c>
    </row>
    <row r="59" spans="7:15" x14ac:dyDescent="0.35">
      <c r="G59" s="7">
        <v>38</v>
      </c>
      <c r="H59" s="75">
        <v>0</v>
      </c>
      <c r="I59" s="75" t="e">
        <v>#N/A</v>
      </c>
      <c r="J59" s="75" t="e" cm="1">
        <f t="array" ref="J59">_xlfn.LET(_xlpm.m, G59,
     _xlpm.rfr, I59,
     _xlpm.sm_up, INDEX(R.IRR_SM_UP, _xlpm.m),
     _xlpm.bm_up, INDEX(R.IRR_BM_UP, _xlpm.m),
     _xlpm.rfr * (1 + _xlpm.sm_up) + _xlpm.bm_up)</f>
        <v>#N/A</v>
      </c>
      <c r="K59" s="75" t="e">
        <f t="shared" si="1"/>
        <v>#N/A</v>
      </c>
      <c r="L59" s="77">
        <v>4.6850000000000003E-2</v>
      </c>
      <c r="M59" s="75" t="e">
        <f t="shared" si="4"/>
        <v>#N/A</v>
      </c>
      <c r="N59" s="75" t="e">
        <f t="shared" si="3"/>
        <v>#N/A</v>
      </c>
      <c r="O59" s="77">
        <v>4.9450000000000001E-2</v>
      </c>
    </row>
    <row r="60" spans="7:15" x14ac:dyDescent="0.35">
      <c r="G60" s="2">
        <v>39</v>
      </c>
      <c r="H60" s="75">
        <v>0</v>
      </c>
      <c r="I60" s="75" t="e">
        <v>#N/A</v>
      </c>
      <c r="J60" s="75" t="e" cm="1">
        <f t="array" ref="J60">_xlfn.LET(_xlpm.m, G60,
     _xlpm.rfr, I60,
     _xlpm.sm_up, INDEX(R.IRR_SM_UP, _xlpm.m),
     _xlpm.bm_up, INDEX(R.IRR_BM_UP, _xlpm.m),
     _xlpm.rfr * (1 + _xlpm.sm_up) + _xlpm.bm_up)</f>
        <v>#N/A</v>
      </c>
      <c r="K60" s="75" t="e">
        <f t="shared" si="1"/>
        <v>#N/A</v>
      </c>
      <c r="L60" s="77">
        <v>4.657E-2</v>
      </c>
      <c r="M60" s="75" t="e">
        <f t="shared" si="4"/>
        <v>#N/A</v>
      </c>
      <c r="N60" s="75" t="e">
        <f t="shared" si="3"/>
        <v>#N/A</v>
      </c>
      <c r="O60" s="77">
        <v>4.9119999999999997E-2</v>
      </c>
    </row>
    <row r="61" spans="7:15" x14ac:dyDescent="0.35">
      <c r="G61" s="2">
        <v>40</v>
      </c>
      <c r="H61" s="75">
        <v>0</v>
      </c>
      <c r="I61" s="75" t="e">
        <v>#N/A</v>
      </c>
      <c r="J61" s="75" t="e" cm="1">
        <f t="array" ref="J61">_xlfn.LET(_xlpm.m, G61,
     _xlpm.rfr, I61,
     _xlpm.sm_up, INDEX(R.IRR_SM_UP, _xlpm.m),
     _xlpm.bm_up, INDEX(R.IRR_BM_UP, _xlpm.m),
     _xlpm.rfr * (1 + _xlpm.sm_up) + _xlpm.bm_up)</f>
        <v>#N/A</v>
      </c>
      <c r="K61" s="75" t="e">
        <f t="shared" si="1"/>
        <v>#N/A</v>
      </c>
      <c r="L61" s="77">
        <v>4.6300000000000001E-2</v>
      </c>
      <c r="M61" s="75" t="e">
        <f t="shared" si="4"/>
        <v>#N/A</v>
      </c>
      <c r="N61" s="75" t="e">
        <f t="shared" si="3"/>
        <v>#N/A</v>
      </c>
      <c r="O61" s="77">
        <v>4.879E-2</v>
      </c>
    </row>
    <row r="62" spans="7:15" x14ac:dyDescent="0.35">
      <c r="G62" s="7">
        <v>41</v>
      </c>
      <c r="H62" s="75">
        <v>0</v>
      </c>
      <c r="I62" s="75" t="e">
        <v>#N/A</v>
      </c>
      <c r="J62" s="75" t="e" cm="1">
        <f t="array" ref="J62">_xlfn.LET(_xlpm.m, G62,
     _xlpm.rfr, I62,
     _xlpm.sm_up, INDEX(R.IRR_SM_UP, _xlpm.m),
     _xlpm.bm_up, INDEX(R.IRR_BM_UP, _xlpm.m),
     _xlpm.rfr * (1 + _xlpm.sm_up) + _xlpm.bm_up)</f>
        <v>#N/A</v>
      </c>
      <c r="K62" s="75" t="e">
        <f t="shared" si="1"/>
        <v>#N/A</v>
      </c>
      <c r="L62" s="77">
        <v>4.6039999999999998E-2</v>
      </c>
      <c r="M62" s="75" t="e">
        <f t="shared" si="4"/>
        <v>#N/A</v>
      </c>
      <c r="N62" s="75" t="e">
        <f t="shared" si="3"/>
        <v>#N/A</v>
      </c>
      <c r="O62" s="77">
        <v>4.8480000000000002E-2</v>
      </c>
    </row>
    <row r="63" spans="7:15" x14ac:dyDescent="0.35">
      <c r="G63" s="7">
        <v>42</v>
      </c>
      <c r="H63" s="75">
        <v>0</v>
      </c>
      <c r="I63" s="75" t="e">
        <v>#N/A</v>
      </c>
      <c r="J63" s="75" t="e" cm="1">
        <f t="array" ref="J63">_xlfn.LET(_xlpm.m, G63,
     _xlpm.rfr, I63,
     _xlpm.sm_up, INDEX(R.IRR_SM_UP, _xlpm.m),
     _xlpm.bm_up, INDEX(R.IRR_BM_UP, _xlpm.m),
     _xlpm.rfr * (1 + _xlpm.sm_up) + _xlpm.bm_up)</f>
        <v>#N/A</v>
      </c>
      <c r="K63" s="75" t="e">
        <f t="shared" si="1"/>
        <v>#N/A</v>
      </c>
      <c r="L63" s="77">
        <v>4.5780000000000001E-2</v>
      </c>
      <c r="M63" s="75" t="e">
        <f t="shared" si="4"/>
        <v>#N/A</v>
      </c>
      <c r="N63" s="75" t="e">
        <f t="shared" si="3"/>
        <v>#N/A</v>
      </c>
      <c r="O63" s="77">
        <v>4.8180000000000001E-2</v>
      </c>
    </row>
    <row r="64" spans="7:15" x14ac:dyDescent="0.35">
      <c r="G64" s="7">
        <v>43</v>
      </c>
      <c r="H64" s="75">
        <v>0</v>
      </c>
      <c r="I64" s="75" t="e">
        <v>#N/A</v>
      </c>
      <c r="J64" s="75" t="e" cm="1">
        <f t="array" ref="J64">_xlfn.LET(_xlpm.m, G64,
     _xlpm.rfr, I64,
     _xlpm.sm_up, INDEX(R.IRR_SM_UP, _xlpm.m),
     _xlpm.bm_up, INDEX(R.IRR_BM_UP, _xlpm.m),
     _xlpm.rfr * (1 + _xlpm.sm_up) + _xlpm.bm_up)</f>
        <v>#N/A</v>
      </c>
      <c r="K64" s="75" t="e">
        <f t="shared" si="1"/>
        <v>#N/A</v>
      </c>
      <c r="L64" s="77">
        <v>4.5539999999999997E-2</v>
      </c>
      <c r="M64" s="75" t="e">
        <f t="shared" si="4"/>
        <v>#N/A</v>
      </c>
      <c r="N64" s="75" t="e">
        <f t="shared" si="3"/>
        <v>#N/A</v>
      </c>
      <c r="O64" s="77">
        <v>4.7890000000000002E-2</v>
      </c>
    </row>
    <row r="65" spans="7:15" x14ac:dyDescent="0.35">
      <c r="G65" s="2">
        <v>44</v>
      </c>
      <c r="H65" s="75">
        <v>0</v>
      </c>
      <c r="I65" s="75" t="e">
        <v>#N/A</v>
      </c>
      <c r="J65" s="75" t="e" cm="1">
        <f t="array" ref="J65">_xlfn.LET(_xlpm.m, G65,
     _xlpm.rfr, I65,
     _xlpm.sm_up, INDEX(R.IRR_SM_UP, _xlpm.m),
     _xlpm.bm_up, INDEX(R.IRR_BM_UP, _xlpm.m),
     _xlpm.rfr * (1 + _xlpm.sm_up) + _xlpm.bm_up)</f>
        <v>#N/A</v>
      </c>
      <c r="K65" s="75" t="e">
        <f t="shared" si="1"/>
        <v>#N/A</v>
      </c>
      <c r="L65" s="77">
        <v>4.5310000000000003E-2</v>
      </c>
      <c r="M65" s="75" t="e">
        <f t="shared" si="4"/>
        <v>#N/A</v>
      </c>
      <c r="N65" s="75" t="e">
        <f t="shared" si="3"/>
        <v>#N/A</v>
      </c>
      <c r="O65" s="77">
        <v>4.761E-2</v>
      </c>
    </row>
    <row r="66" spans="7:15" x14ac:dyDescent="0.35">
      <c r="G66" s="2">
        <v>45</v>
      </c>
      <c r="H66" s="75">
        <v>0</v>
      </c>
      <c r="I66" s="75" t="e">
        <v>#N/A</v>
      </c>
      <c r="J66" s="75" t="e" cm="1">
        <f t="array" ref="J66">_xlfn.LET(_xlpm.m, G66,
     _xlpm.rfr, I66,
     _xlpm.sm_up, INDEX(R.IRR_SM_UP, _xlpm.m),
     _xlpm.bm_up, INDEX(R.IRR_BM_UP, _xlpm.m),
     _xlpm.rfr * (1 + _xlpm.sm_up) + _xlpm.bm_up)</f>
        <v>#N/A</v>
      </c>
      <c r="K66" s="75" t="e">
        <f t="shared" si="1"/>
        <v>#N/A</v>
      </c>
      <c r="L66" s="77">
        <v>4.5089999999999998E-2</v>
      </c>
      <c r="M66" s="75" t="e">
        <f t="shared" si="4"/>
        <v>#N/A</v>
      </c>
      <c r="N66" s="75" t="e">
        <f t="shared" si="3"/>
        <v>#N/A</v>
      </c>
      <c r="O66" s="77">
        <v>4.7329999999999997E-2</v>
      </c>
    </row>
    <row r="67" spans="7:15" x14ac:dyDescent="0.35">
      <c r="G67" s="7">
        <v>46</v>
      </c>
      <c r="H67" s="75">
        <v>0</v>
      </c>
      <c r="I67" s="75" t="e">
        <v>#N/A</v>
      </c>
      <c r="J67" s="75" t="e" cm="1">
        <f t="array" ref="J67">_xlfn.LET(_xlpm.m, G67,
     _xlpm.rfr, I67,
     _xlpm.sm_up, INDEX(R.IRR_SM_UP, _xlpm.m),
     _xlpm.bm_up, INDEX(R.IRR_BM_UP, _xlpm.m),
     _xlpm.rfr * (1 + _xlpm.sm_up) + _xlpm.bm_up)</f>
        <v>#N/A</v>
      </c>
      <c r="K67" s="75" t="e">
        <f t="shared" si="1"/>
        <v>#N/A</v>
      </c>
      <c r="L67" s="77">
        <v>4.487E-2</v>
      </c>
      <c r="M67" s="75" t="e">
        <f t="shared" si="4"/>
        <v>#N/A</v>
      </c>
      <c r="N67" s="75" t="e">
        <f t="shared" si="3"/>
        <v>#N/A</v>
      </c>
      <c r="O67" s="77">
        <v>4.7070000000000001E-2</v>
      </c>
    </row>
    <row r="68" spans="7:15" x14ac:dyDescent="0.35">
      <c r="G68" s="7">
        <v>47</v>
      </c>
      <c r="H68" s="75">
        <v>0</v>
      </c>
      <c r="I68" s="75" t="e">
        <v>#N/A</v>
      </c>
      <c r="J68" s="75" t="e" cm="1">
        <f t="array" ref="J68">_xlfn.LET(_xlpm.m, G68,
     _xlpm.rfr, I68,
     _xlpm.sm_up, INDEX(R.IRR_SM_UP, _xlpm.m),
     _xlpm.bm_up, INDEX(R.IRR_BM_UP, _xlpm.m),
     _xlpm.rfr * (1 + _xlpm.sm_up) + _xlpm.bm_up)</f>
        <v>#N/A</v>
      </c>
      <c r="K68" s="75" t="e">
        <f t="shared" si="1"/>
        <v>#N/A</v>
      </c>
      <c r="L68" s="77">
        <v>4.4659999999999998E-2</v>
      </c>
      <c r="M68" s="75" t="e">
        <f t="shared" si="4"/>
        <v>#N/A</v>
      </c>
      <c r="N68" s="75" t="e">
        <f t="shared" si="3"/>
        <v>#N/A</v>
      </c>
      <c r="O68" s="77">
        <v>4.6820000000000001E-2</v>
      </c>
    </row>
    <row r="69" spans="7:15" x14ac:dyDescent="0.35">
      <c r="G69" s="7">
        <v>48</v>
      </c>
      <c r="H69" s="75">
        <v>0</v>
      </c>
      <c r="I69" s="75" t="e">
        <v>#N/A</v>
      </c>
      <c r="J69" s="75" t="e" cm="1">
        <f t="array" ref="J69">_xlfn.LET(_xlpm.m, G69,
     _xlpm.rfr, I69,
     _xlpm.sm_up, INDEX(R.IRR_SM_UP, _xlpm.m),
     _xlpm.bm_up, INDEX(R.IRR_BM_UP, _xlpm.m),
     _xlpm.rfr * (1 + _xlpm.sm_up) + _xlpm.bm_up)</f>
        <v>#N/A</v>
      </c>
      <c r="K69" s="75" t="e">
        <f t="shared" si="1"/>
        <v>#N/A</v>
      </c>
      <c r="L69" s="77">
        <v>4.446E-2</v>
      </c>
      <c r="M69" s="75" t="e">
        <f t="shared" si="4"/>
        <v>#N/A</v>
      </c>
      <c r="N69" s="75" t="e">
        <f t="shared" si="3"/>
        <v>#N/A</v>
      </c>
      <c r="O69" s="77">
        <v>4.6580000000000003E-2</v>
      </c>
    </row>
    <row r="70" spans="7:15" x14ac:dyDescent="0.35">
      <c r="G70" s="2">
        <v>49</v>
      </c>
      <c r="H70" s="75">
        <v>0</v>
      </c>
      <c r="I70" s="75" t="e">
        <v>#N/A</v>
      </c>
      <c r="J70" s="75" t="e" cm="1">
        <f t="array" ref="J70">_xlfn.LET(_xlpm.m, G70,
     _xlpm.rfr, I70,
     _xlpm.sm_up, INDEX(R.IRR_SM_UP, _xlpm.m),
     _xlpm.bm_up, INDEX(R.IRR_BM_UP, _xlpm.m),
     _xlpm.rfr * (1 + _xlpm.sm_up) + _xlpm.bm_up)</f>
        <v>#N/A</v>
      </c>
      <c r="K70" s="75" t="e">
        <f t="shared" si="1"/>
        <v>#N/A</v>
      </c>
      <c r="L70" s="77">
        <v>4.4260000000000001E-2</v>
      </c>
      <c r="M70" s="75" t="e">
        <f t="shared" si="4"/>
        <v>#N/A</v>
      </c>
      <c r="N70" s="75" t="e">
        <f t="shared" si="3"/>
        <v>#N/A</v>
      </c>
      <c r="O70" s="77">
        <v>4.6339999999999999E-2</v>
      </c>
    </row>
    <row r="71" spans="7:15" x14ac:dyDescent="0.35">
      <c r="G71" s="2">
        <v>50</v>
      </c>
      <c r="H71" s="75">
        <v>0</v>
      </c>
      <c r="I71" s="75" t="e">
        <v>#N/A</v>
      </c>
      <c r="J71" s="75" t="e" cm="1">
        <f t="array" ref="J71">_xlfn.LET(_xlpm.m, G71,
     _xlpm.rfr, I71,
     _xlpm.sm_up, INDEX(R.IRR_SM_UP, _xlpm.m),
     _xlpm.bm_up, INDEX(R.IRR_BM_UP, _xlpm.m),
     _xlpm.rfr * (1 + _xlpm.sm_up) + _xlpm.bm_up)</f>
        <v>#N/A</v>
      </c>
      <c r="K71" s="75" t="e">
        <f t="shared" si="1"/>
        <v>#N/A</v>
      </c>
      <c r="L71" s="77">
        <v>4.4080000000000001E-2</v>
      </c>
      <c r="M71" s="75" t="e">
        <f t="shared" si="4"/>
        <v>#N/A</v>
      </c>
      <c r="N71" s="75" t="e">
        <f t="shared" si="3"/>
        <v>#N/A</v>
      </c>
      <c r="O71" s="77">
        <v>4.6120000000000001E-2</v>
      </c>
    </row>
    <row r="72" spans="7:15" x14ac:dyDescent="0.35">
      <c r="G72" s="7">
        <v>51</v>
      </c>
      <c r="H72" s="75">
        <v>0</v>
      </c>
      <c r="I72" s="75" t="e">
        <v>#N/A</v>
      </c>
      <c r="J72" s="75" t="e" cm="1">
        <f t="array" ref="J72">_xlfn.LET(_xlpm.m, G72,
     _xlpm.rfr, I72,
     _xlpm.sm_up, INDEX(R.IRR_SM_UP, _xlpm.m),
     _xlpm.bm_up, INDEX(R.IRR_BM_UP, _xlpm.m),
     _xlpm.rfr * (1 + _xlpm.sm_up) + _xlpm.bm_up)</f>
        <v>#N/A</v>
      </c>
      <c r="K72" s="75" t="e">
        <f t="shared" si="1"/>
        <v>#N/A</v>
      </c>
      <c r="L72" s="77">
        <v>4.3900000000000002E-2</v>
      </c>
      <c r="M72" s="75" t="e">
        <f t="shared" si="4"/>
        <v>#N/A</v>
      </c>
      <c r="N72" s="75" t="e">
        <f t="shared" si="3"/>
        <v>#N/A</v>
      </c>
      <c r="O72" s="77">
        <v>4.5900000000000003E-2</v>
      </c>
    </row>
    <row r="73" spans="7:15" x14ac:dyDescent="0.35">
      <c r="G73" s="7">
        <v>52</v>
      </c>
      <c r="H73" s="75">
        <v>0</v>
      </c>
      <c r="I73" s="75" t="e">
        <v>#N/A</v>
      </c>
      <c r="J73" s="75" t="e" cm="1">
        <f t="array" ref="J73">_xlfn.LET(_xlpm.m, G73,
     _xlpm.rfr, I73,
     _xlpm.sm_up, INDEX(R.IRR_SM_UP, _xlpm.m),
     _xlpm.bm_up, INDEX(R.IRR_BM_UP, _xlpm.m),
     _xlpm.rfr * (1 + _xlpm.sm_up) + _xlpm.bm_up)</f>
        <v>#N/A</v>
      </c>
      <c r="K73" s="75" t="e">
        <f t="shared" si="1"/>
        <v>#N/A</v>
      </c>
      <c r="L73" s="77">
        <v>4.3720000000000002E-2</v>
      </c>
      <c r="M73" s="75" t="e">
        <f t="shared" si="4"/>
        <v>#N/A</v>
      </c>
      <c r="N73" s="75" t="e">
        <f t="shared" si="3"/>
        <v>#N/A</v>
      </c>
      <c r="O73" s="77">
        <v>4.5690000000000001E-2</v>
      </c>
    </row>
    <row r="74" spans="7:15" x14ac:dyDescent="0.35">
      <c r="G74" s="7">
        <v>53</v>
      </c>
      <c r="H74" s="75">
        <v>0</v>
      </c>
      <c r="I74" s="75" t="e">
        <v>#N/A</v>
      </c>
      <c r="J74" s="75" t="e" cm="1">
        <f t="array" ref="J74">_xlfn.LET(_xlpm.m, G74,
     _xlpm.rfr, I74,
     _xlpm.sm_up, INDEX(R.IRR_SM_UP, _xlpm.m),
     _xlpm.bm_up, INDEX(R.IRR_BM_UP, _xlpm.m),
     _xlpm.rfr * (1 + _xlpm.sm_up) + _xlpm.bm_up)</f>
        <v>#N/A</v>
      </c>
      <c r="K74" s="75" t="e">
        <f t="shared" si="1"/>
        <v>#N/A</v>
      </c>
      <c r="L74" s="77">
        <v>4.3549999999999998E-2</v>
      </c>
      <c r="M74" s="75" t="e">
        <f t="shared" si="4"/>
        <v>#N/A</v>
      </c>
      <c r="N74" s="75" t="e">
        <f t="shared" si="3"/>
        <v>#N/A</v>
      </c>
      <c r="O74" s="77">
        <v>4.548E-2</v>
      </c>
    </row>
    <row r="75" spans="7:15" x14ac:dyDescent="0.35">
      <c r="G75" s="2">
        <v>54</v>
      </c>
      <c r="H75" s="75">
        <v>0</v>
      </c>
      <c r="I75" s="75" t="e">
        <v>#N/A</v>
      </c>
      <c r="J75" s="75" t="e" cm="1">
        <f t="array" ref="J75">_xlfn.LET(_xlpm.m, G75,
     _xlpm.rfr, I75,
     _xlpm.sm_up, INDEX(R.IRR_SM_UP, _xlpm.m),
     _xlpm.bm_up, INDEX(R.IRR_BM_UP, _xlpm.m),
     _xlpm.rfr * (1 + _xlpm.sm_up) + _xlpm.bm_up)</f>
        <v>#N/A</v>
      </c>
      <c r="K75" s="75" t="e">
        <f t="shared" si="1"/>
        <v>#N/A</v>
      </c>
      <c r="L75" s="77">
        <v>4.3389999999999998E-2</v>
      </c>
      <c r="M75" s="75" t="e">
        <f t="shared" si="4"/>
        <v>#N/A</v>
      </c>
      <c r="N75" s="75" t="e">
        <f t="shared" si="3"/>
        <v>#N/A</v>
      </c>
      <c r="O75" s="77">
        <v>4.5280000000000001E-2</v>
      </c>
    </row>
    <row r="76" spans="7:15" x14ac:dyDescent="0.35">
      <c r="G76" s="2">
        <v>55</v>
      </c>
      <c r="H76" s="75">
        <v>0</v>
      </c>
      <c r="I76" s="75" t="e">
        <v>#N/A</v>
      </c>
      <c r="J76" s="75" t="e" cm="1">
        <f t="array" ref="J76">_xlfn.LET(_xlpm.m, G76,
     _xlpm.rfr, I76,
     _xlpm.sm_up, INDEX(R.IRR_SM_UP, _xlpm.m),
     _xlpm.bm_up, INDEX(R.IRR_BM_UP, _xlpm.m),
     _xlpm.rfr * (1 + _xlpm.sm_up) + _xlpm.bm_up)</f>
        <v>#N/A</v>
      </c>
      <c r="K76" s="75" t="e">
        <f t="shared" si="1"/>
        <v>#N/A</v>
      </c>
      <c r="L76" s="77">
        <v>4.3229999999999998E-2</v>
      </c>
      <c r="M76" s="75" t="e">
        <f t="shared" si="4"/>
        <v>#N/A</v>
      </c>
      <c r="N76" s="75" t="e">
        <f t="shared" si="3"/>
        <v>#N/A</v>
      </c>
      <c r="O76" s="77">
        <v>4.5089999999999998E-2</v>
      </c>
    </row>
    <row r="77" spans="7:15" x14ac:dyDescent="0.35">
      <c r="G77" s="7">
        <v>56</v>
      </c>
      <c r="H77" s="75">
        <v>0</v>
      </c>
      <c r="I77" s="75" t="e">
        <v>#N/A</v>
      </c>
      <c r="J77" s="75" t="e" cm="1">
        <f t="array" ref="J77">_xlfn.LET(_xlpm.m, G77,
     _xlpm.rfr, I77,
     _xlpm.sm_up, INDEX(R.IRR_SM_UP, _xlpm.m),
     _xlpm.bm_up, INDEX(R.IRR_BM_UP, _xlpm.m),
     _xlpm.rfr * (1 + _xlpm.sm_up) + _xlpm.bm_up)</f>
        <v>#N/A</v>
      </c>
      <c r="K77" s="75" t="e">
        <f t="shared" si="1"/>
        <v>#N/A</v>
      </c>
      <c r="L77" s="77">
        <v>4.308E-2</v>
      </c>
      <c r="M77" s="75" t="e">
        <f t="shared" si="4"/>
        <v>#N/A</v>
      </c>
      <c r="N77" s="75" t="e">
        <f t="shared" si="3"/>
        <v>#N/A</v>
      </c>
      <c r="O77" s="77">
        <v>4.4909999999999999E-2</v>
      </c>
    </row>
    <row r="78" spans="7:15" x14ac:dyDescent="0.35">
      <c r="G78" s="7">
        <v>57</v>
      </c>
      <c r="H78" s="75">
        <v>0</v>
      </c>
      <c r="I78" s="75" t="e">
        <v>#N/A</v>
      </c>
      <c r="J78" s="75" t="e" cm="1">
        <f t="array" ref="J78">_xlfn.LET(_xlpm.m, G78,
     _xlpm.rfr, I78,
     _xlpm.sm_up, INDEX(R.IRR_SM_UP, _xlpm.m),
     _xlpm.bm_up, INDEX(R.IRR_BM_UP, _xlpm.m),
     _xlpm.rfr * (1 + _xlpm.sm_up) + _xlpm.bm_up)</f>
        <v>#N/A</v>
      </c>
      <c r="K78" s="75" t="e">
        <f t="shared" si="1"/>
        <v>#N/A</v>
      </c>
      <c r="L78" s="77">
        <v>4.2930000000000003E-2</v>
      </c>
      <c r="M78" s="75" t="e">
        <f t="shared" si="4"/>
        <v>#N/A</v>
      </c>
      <c r="N78" s="75" t="e">
        <f t="shared" si="3"/>
        <v>#N/A</v>
      </c>
      <c r="O78" s="77">
        <v>4.4729999999999999E-2</v>
      </c>
    </row>
    <row r="79" spans="7:15" x14ac:dyDescent="0.35">
      <c r="G79" s="7">
        <v>58</v>
      </c>
      <c r="H79" s="75">
        <v>0</v>
      </c>
      <c r="I79" s="75" t="e">
        <v>#N/A</v>
      </c>
      <c r="J79" s="75" t="e" cm="1">
        <f t="array" ref="J79">_xlfn.LET(_xlpm.m, G79,
     _xlpm.rfr, I79,
     _xlpm.sm_up, INDEX(R.IRR_SM_UP, _xlpm.m),
     _xlpm.bm_up, INDEX(R.IRR_BM_UP, _xlpm.m),
     _xlpm.rfr * (1 + _xlpm.sm_up) + _xlpm.bm_up)</f>
        <v>#N/A</v>
      </c>
      <c r="K79" s="75" t="e">
        <f t="shared" si="1"/>
        <v>#N/A</v>
      </c>
      <c r="L79" s="77">
        <v>4.2790000000000002E-2</v>
      </c>
      <c r="M79" s="75" t="e">
        <f t="shared" si="4"/>
        <v>#N/A</v>
      </c>
      <c r="N79" s="75" t="e">
        <f t="shared" si="3"/>
        <v>#N/A</v>
      </c>
      <c r="O79" s="77">
        <v>4.4560000000000002E-2</v>
      </c>
    </row>
    <row r="80" spans="7:15" x14ac:dyDescent="0.35">
      <c r="G80" s="2">
        <v>59</v>
      </c>
      <c r="H80" s="75">
        <v>0</v>
      </c>
      <c r="I80" s="75" t="e">
        <v>#N/A</v>
      </c>
      <c r="J80" s="75" t="e" cm="1">
        <f t="array" ref="J80">_xlfn.LET(_xlpm.m, G80,
     _xlpm.rfr, I80,
     _xlpm.sm_up, INDEX(R.IRR_SM_UP, _xlpm.m),
     _xlpm.bm_up, INDEX(R.IRR_BM_UP, _xlpm.m),
     _xlpm.rfr * (1 + _xlpm.sm_up) + _xlpm.bm_up)</f>
        <v>#N/A</v>
      </c>
      <c r="K80" s="75" t="e">
        <f t="shared" si="1"/>
        <v>#N/A</v>
      </c>
      <c r="L80" s="77">
        <v>4.265E-2</v>
      </c>
      <c r="M80" s="75" t="e">
        <f t="shared" si="4"/>
        <v>#N/A</v>
      </c>
      <c r="N80" s="75" t="e">
        <f t="shared" si="3"/>
        <v>#N/A</v>
      </c>
      <c r="O80" s="77">
        <v>4.4389999999999999E-2</v>
      </c>
    </row>
    <row r="81" spans="7:15" x14ac:dyDescent="0.35">
      <c r="G81" s="2">
        <v>60</v>
      </c>
      <c r="H81" s="75">
        <v>0</v>
      </c>
      <c r="I81" s="75" t="e">
        <v>#N/A</v>
      </c>
      <c r="J81" s="75" t="e" cm="1">
        <f t="array" ref="J81">_xlfn.LET(_xlpm.m, G81,
     _xlpm.rfr, I81,
     _xlpm.sm_up, INDEX(R.IRR_SM_UP, _xlpm.m),
     _xlpm.bm_up, INDEX(R.IRR_BM_UP, _xlpm.m),
     _xlpm.rfr * (1 + _xlpm.sm_up) + _xlpm.bm_up)</f>
        <v>#N/A</v>
      </c>
      <c r="K81" s="75" t="e">
        <f t="shared" si="1"/>
        <v>#N/A</v>
      </c>
      <c r="L81" s="77">
        <v>4.2520000000000002E-2</v>
      </c>
      <c r="M81" s="75" t="e">
        <f t="shared" si="4"/>
        <v>#N/A</v>
      </c>
      <c r="N81" s="75" t="e">
        <f t="shared" si="3"/>
        <v>#N/A</v>
      </c>
      <c r="O81" s="77">
        <v>4.4229999999999998E-2</v>
      </c>
    </row>
    <row r="82" spans="7:15" x14ac:dyDescent="0.35">
      <c r="G82" s="7">
        <v>61</v>
      </c>
      <c r="H82" s="75">
        <v>0</v>
      </c>
      <c r="I82" s="75" t="e">
        <v>#N/A</v>
      </c>
      <c r="J82" s="75" t="e" cm="1">
        <f t="array" ref="J82">_xlfn.LET(_xlpm.m, G82,
     _xlpm.rfr, I82,
     _xlpm.sm_up, INDEX(R.IRR_SM_UP, _xlpm.m),
     _xlpm.bm_up, INDEX(R.IRR_BM_UP, _xlpm.m),
     _xlpm.rfr * (1 + _xlpm.sm_up) + _xlpm.bm_up)</f>
        <v>#N/A</v>
      </c>
      <c r="K82" s="75" t="e">
        <f t="shared" si="1"/>
        <v>#N/A</v>
      </c>
      <c r="L82" s="77">
        <v>4.2389999999999997E-2</v>
      </c>
      <c r="M82" s="75" t="e">
        <f t="shared" si="4"/>
        <v>#N/A</v>
      </c>
      <c r="N82" s="75" t="e">
        <f t="shared" si="3"/>
        <v>#N/A</v>
      </c>
      <c r="O82" s="77">
        <v>4.4069999999999998E-2</v>
      </c>
    </row>
    <row r="83" spans="7:15" x14ac:dyDescent="0.35">
      <c r="G83" s="7">
        <v>62</v>
      </c>
      <c r="H83" s="75">
        <v>0</v>
      </c>
      <c r="I83" s="75" t="e">
        <v>#N/A</v>
      </c>
      <c r="J83" s="75" t="e" cm="1">
        <f t="array" ref="J83">_xlfn.LET(_xlpm.m, G83,
     _xlpm.rfr, I83,
     _xlpm.sm_up, INDEX(R.IRR_SM_UP, _xlpm.m),
     _xlpm.bm_up, INDEX(R.IRR_BM_UP, _xlpm.m),
     _xlpm.rfr * (1 + _xlpm.sm_up) + _xlpm.bm_up)</f>
        <v>#N/A</v>
      </c>
      <c r="K83" s="75" t="e">
        <f t="shared" si="1"/>
        <v>#N/A</v>
      </c>
      <c r="L83" s="77">
        <v>4.2259999999999999E-2</v>
      </c>
      <c r="M83" s="75" t="e">
        <f t="shared" si="4"/>
        <v>#N/A</v>
      </c>
      <c r="N83" s="75" t="e">
        <f t="shared" si="3"/>
        <v>#N/A</v>
      </c>
      <c r="O83" s="77">
        <v>4.3920000000000001E-2</v>
      </c>
    </row>
    <row r="84" spans="7:15" x14ac:dyDescent="0.35">
      <c r="G84" s="7">
        <v>63</v>
      </c>
      <c r="H84" s="75">
        <v>0</v>
      </c>
      <c r="I84" s="75" t="e">
        <v>#N/A</v>
      </c>
      <c r="J84" s="75" t="e" cm="1">
        <f t="array" ref="J84">_xlfn.LET(_xlpm.m, G84,
     _xlpm.rfr, I84,
     _xlpm.sm_up, INDEX(R.IRR_SM_UP, _xlpm.m),
     _xlpm.bm_up, INDEX(R.IRR_BM_UP, _xlpm.m),
     _xlpm.rfr * (1 + _xlpm.sm_up) + _xlpm.bm_up)</f>
        <v>#N/A</v>
      </c>
      <c r="K84" s="75" t="e">
        <f t="shared" si="1"/>
        <v>#N/A</v>
      </c>
      <c r="L84" s="77">
        <v>4.2139999999999997E-2</v>
      </c>
      <c r="M84" s="75" t="e">
        <f t="shared" si="4"/>
        <v>#N/A</v>
      </c>
      <c r="N84" s="75" t="e">
        <f t="shared" si="3"/>
        <v>#N/A</v>
      </c>
      <c r="O84" s="77">
        <v>4.3770000000000003E-2</v>
      </c>
    </row>
    <row r="85" spans="7:15" x14ac:dyDescent="0.35">
      <c r="G85" s="2">
        <v>64</v>
      </c>
      <c r="H85" s="75">
        <v>0</v>
      </c>
      <c r="I85" s="75" t="e">
        <v>#N/A</v>
      </c>
      <c r="J85" s="75" t="e" cm="1">
        <f t="array" ref="J85">_xlfn.LET(_xlpm.m, G85,
     _xlpm.rfr, I85,
     _xlpm.sm_up, INDEX(R.IRR_SM_UP, _xlpm.m),
     _xlpm.bm_up, INDEX(R.IRR_BM_UP, _xlpm.m),
     _xlpm.rfr * (1 + _xlpm.sm_up) + _xlpm.bm_up)</f>
        <v>#N/A</v>
      </c>
      <c r="K85" s="75" t="e">
        <f t="shared" si="1"/>
        <v>#N/A</v>
      </c>
      <c r="L85" s="77">
        <v>4.2020000000000002E-2</v>
      </c>
      <c r="M85" s="75" t="e">
        <f t="shared" si="4"/>
        <v>#N/A</v>
      </c>
      <c r="N85" s="75" t="e">
        <f t="shared" si="3"/>
        <v>#N/A</v>
      </c>
      <c r="O85" s="77">
        <v>4.3630000000000002E-2</v>
      </c>
    </row>
    <row r="86" spans="7:15" x14ac:dyDescent="0.35">
      <c r="G86" s="2">
        <v>65</v>
      </c>
      <c r="H86" s="75">
        <v>0</v>
      </c>
      <c r="I86" s="75" t="e">
        <v>#N/A</v>
      </c>
      <c r="J86" s="75" t="e" cm="1">
        <f t="array" ref="J86">_xlfn.LET(_xlpm.m, G86,
     _xlpm.rfr, I86,
     _xlpm.sm_up, INDEX(R.IRR_SM_UP, _xlpm.m),
     _xlpm.bm_up, INDEX(R.IRR_BM_UP, _xlpm.m),
     _xlpm.rfr * (1 + _xlpm.sm_up) + _xlpm.bm_up)</f>
        <v>#N/A</v>
      </c>
      <c r="K86" s="75" t="e">
        <f t="shared" si="1"/>
        <v>#N/A</v>
      </c>
      <c r="L86" s="77">
        <v>4.1910000000000003E-2</v>
      </c>
      <c r="M86" s="75" t="e">
        <f t="shared" si="4"/>
        <v>#N/A</v>
      </c>
      <c r="N86" s="75" t="e">
        <f t="shared" ref="N86:N117" si="5">M86+LN(1+V.TOTAL_VA)</f>
        <v>#N/A</v>
      </c>
      <c r="O86" s="77">
        <v>4.3490000000000001E-2</v>
      </c>
    </row>
    <row r="87" spans="7:15" x14ac:dyDescent="0.35">
      <c r="G87" s="7">
        <v>66</v>
      </c>
      <c r="H87" s="75">
        <v>0</v>
      </c>
      <c r="I87" s="75" t="e">
        <v>#N/A</v>
      </c>
      <c r="J87" s="75" t="e" cm="1">
        <f t="array" ref="J87">_xlfn.LET(_xlpm.m, G87,
     _xlpm.rfr, I87,
     _xlpm.sm_up, INDEX(R.IRR_SM_UP, _xlpm.m),
     _xlpm.bm_up, INDEX(R.IRR_BM_UP, _xlpm.m),
     _xlpm.rfr * (1 + _xlpm.sm_up) + _xlpm.bm_up)</f>
        <v>#N/A</v>
      </c>
      <c r="K87" s="75" t="e">
        <f t="shared" ref="K87:K150" si="6">LN(1+J87)</f>
        <v>#N/A</v>
      </c>
      <c r="L87" s="77">
        <v>4.1790000000000001E-2</v>
      </c>
      <c r="M87" s="75" t="e">
        <f t="shared" ref="M87:M118" si="7">G87*K87-G86*K86</f>
        <v>#N/A</v>
      </c>
      <c r="N87" s="75" t="e">
        <f t="shared" si="5"/>
        <v>#N/A</v>
      </c>
      <c r="O87" s="77">
        <v>4.335E-2</v>
      </c>
    </row>
    <row r="88" spans="7:15" x14ac:dyDescent="0.35">
      <c r="G88" s="7">
        <v>67</v>
      </c>
      <c r="H88" s="75">
        <v>0</v>
      </c>
      <c r="I88" s="75" t="e">
        <v>#N/A</v>
      </c>
      <c r="J88" s="75" t="e" cm="1">
        <f t="array" ref="J88">_xlfn.LET(_xlpm.m, G88,
     _xlpm.rfr, I88,
     _xlpm.sm_up, INDEX(R.IRR_SM_UP, _xlpm.m),
     _xlpm.bm_up, INDEX(R.IRR_BM_UP, _xlpm.m),
     _xlpm.rfr * (1 + _xlpm.sm_up) + _xlpm.bm_up)</f>
        <v>#N/A</v>
      </c>
      <c r="K88" s="75" t="e">
        <f t="shared" si="6"/>
        <v>#N/A</v>
      </c>
      <c r="L88" s="77">
        <v>4.1689999999999998E-2</v>
      </c>
      <c r="M88" s="75" t="e">
        <f t="shared" si="7"/>
        <v>#N/A</v>
      </c>
      <c r="N88" s="75" t="e">
        <f t="shared" si="5"/>
        <v>#N/A</v>
      </c>
      <c r="O88" s="77">
        <v>4.3220000000000001E-2</v>
      </c>
    </row>
    <row r="89" spans="7:15" x14ac:dyDescent="0.35">
      <c r="G89" s="7">
        <v>68</v>
      </c>
      <c r="H89" s="75">
        <v>0</v>
      </c>
      <c r="I89" s="75" t="e">
        <v>#N/A</v>
      </c>
      <c r="J89" s="75" t="e" cm="1">
        <f t="array" ref="J89">_xlfn.LET(_xlpm.m, G89,
     _xlpm.rfr, I89,
     _xlpm.sm_up, INDEX(R.IRR_SM_UP, _xlpm.m),
     _xlpm.bm_up, INDEX(R.IRR_BM_UP, _xlpm.m),
     _xlpm.rfr * (1 + _xlpm.sm_up) + _xlpm.bm_up)</f>
        <v>#N/A</v>
      </c>
      <c r="K89" s="75" t="e">
        <f t="shared" si="6"/>
        <v>#N/A</v>
      </c>
      <c r="L89" s="77">
        <v>4.1579999999999999E-2</v>
      </c>
      <c r="M89" s="75" t="e">
        <f t="shared" si="7"/>
        <v>#N/A</v>
      </c>
      <c r="N89" s="75" t="e">
        <f t="shared" si="5"/>
        <v>#N/A</v>
      </c>
      <c r="O89" s="77">
        <v>4.3090000000000003E-2</v>
      </c>
    </row>
    <row r="90" spans="7:15" x14ac:dyDescent="0.35">
      <c r="G90" s="2">
        <v>69</v>
      </c>
      <c r="H90" s="75">
        <v>0</v>
      </c>
      <c r="I90" s="75" t="e">
        <v>#N/A</v>
      </c>
      <c r="J90" s="75" t="e" cm="1">
        <f t="array" ref="J90">_xlfn.LET(_xlpm.m, G90,
     _xlpm.rfr, I90,
     _xlpm.sm_up, INDEX(R.IRR_SM_UP, _xlpm.m),
     _xlpm.bm_up, INDEX(R.IRR_BM_UP, _xlpm.m),
     _xlpm.rfr * (1 + _xlpm.sm_up) + _xlpm.bm_up)</f>
        <v>#N/A</v>
      </c>
      <c r="K90" s="75" t="e">
        <f t="shared" si="6"/>
        <v>#N/A</v>
      </c>
      <c r="L90" s="77">
        <v>4.1480000000000003E-2</v>
      </c>
      <c r="M90" s="75" t="e">
        <f t="shared" si="7"/>
        <v>#N/A</v>
      </c>
      <c r="N90" s="75" t="e">
        <f t="shared" si="5"/>
        <v>#N/A</v>
      </c>
      <c r="O90" s="77">
        <v>4.2970000000000001E-2</v>
      </c>
    </row>
    <row r="91" spans="7:15" x14ac:dyDescent="0.35">
      <c r="G91" s="2">
        <v>70</v>
      </c>
      <c r="H91" s="75">
        <v>0</v>
      </c>
      <c r="I91" s="75" t="e">
        <v>#N/A</v>
      </c>
      <c r="J91" s="75" t="e" cm="1">
        <f t="array" ref="J91">_xlfn.LET(_xlpm.m, G91,
     _xlpm.rfr, I91,
     _xlpm.sm_up, INDEX(R.IRR_SM_UP, _xlpm.m),
     _xlpm.bm_up, INDEX(R.IRR_BM_UP, _xlpm.m),
     _xlpm.rfr * (1 + _xlpm.sm_up) + _xlpm.bm_up)</f>
        <v>#N/A</v>
      </c>
      <c r="K91" s="75" t="e">
        <f t="shared" si="6"/>
        <v>#N/A</v>
      </c>
      <c r="L91" s="77">
        <v>4.138E-2</v>
      </c>
      <c r="M91" s="75" t="e">
        <f t="shared" si="7"/>
        <v>#N/A</v>
      </c>
      <c r="N91" s="75" t="e">
        <f t="shared" si="5"/>
        <v>#N/A</v>
      </c>
      <c r="O91" s="77">
        <v>4.2849999999999999E-2</v>
      </c>
    </row>
    <row r="92" spans="7:15" x14ac:dyDescent="0.35">
      <c r="G92" s="7">
        <v>71</v>
      </c>
      <c r="H92" s="75">
        <v>0</v>
      </c>
      <c r="I92" s="75" t="e">
        <v>#N/A</v>
      </c>
      <c r="J92" s="75" t="e" cm="1">
        <f t="array" ref="J92">_xlfn.LET(_xlpm.m, G92,
     _xlpm.rfr, I92,
     _xlpm.sm_up, INDEX(R.IRR_SM_UP, _xlpm.m),
     _xlpm.bm_up, INDEX(R.IRR_BM_UP, _xlpm.m),
     _xlpm.rfr * (1 + _xlpm.sm_up) + _xlpm.bm_up)</f>
        <v>#N/A</v>
      </c>
      <c r="K92" s="75" t="e">
        <f t="shared" si="6"/>
        <v>#N/A</v>
      </c>
      <c r="L92" s="77">
        <v>4.1279999999999997E-2</v>
      </c>
      <c r="M92" s="75" t="e">
        <f t="shared" si="7"/>
        <v>#N/A</v>
      </c>
      <c r="N92" s="75" t="e">
        <f t="shared" si="5"/>
        <v>#N/A</v>
      </c>
      <c r="O92" s="77">
        <v>4.2729999999999997E-2</v>
      </c>
    </row>
    <row r="93" spans="7:15" x14ac:dyDescent="0.35">
      <c r="G93" s="7">
        <v>72</v>
      </c>
      <c r="H93" s="75">
        <v>0</v>
      </c>
      <c r="I93" s="75" t="e">
        <v>#N/A</v>
      </c>
      <c r="J93" s="75" t="e" cm="1">
        <f t="array" ref="J93">_xlfn.LET(_xlpm.m, G93,
     _xlpm.rfr, I93,
     _xlpm.sm_up, INDEX(R.IRR_SM_UP, _xlpm.m),
     _xlpm.bm_up, INDEX(R.IRR_BM_UP, _xlpm.m),
     _xlpm.rfr * (1 + _xlpm.sm_up) + _xlpm.bm_up)</f>
        <v>#N/A</v>
      </c>
      <c r="K93" s="75" t="e">
        <f t="shared" si="6"/>
        <v>#N/A</v>
      </c>
      <c r="L93" s="77">
        <v>4.1189999999999997E-2</v>
      </c>
      <c r="M93" s="75" t="e">
        <f t="shared" si="7"/>
        <v>#N/A</v>
      </c>
      <c r="N93" s="75" t="e">
        <f t="shared" si="5"/>
        <v>#N/A</v>
      </c>
      <c r="O93" s="77">
        <v>4.2619999999999998E-2</v>
      </c>
    </row>
    <row r="94" spans="7:15" x14ac:dyDescent="0.35">
      <c r="G94" s="7">
        <v>73</v>
      </c>
      <c r="H94" s="75">
        <v>0</v>
      </c>
      <c r="I94" s="75" t="e">
        <v>#N/A</v>
      </c>
      <c r="J94" s="75" t="e" cm="1">
        <f t="array" ref="J94">_xlfn.LET(_xlpm.m, G94,
     _xlpm.rfr, I94,
     _xlpm.sm_up, INDEX(R.IRR_SM_UP, _xlpm.m),
     _xlpm.bm_up, INDEX(R.IRR_BM_UP, _xlpm.m),
     _xlpm.rfr * (1 + _xlpm.sm_up) + _xlpm.bm_up)</f>
        <v>#N/A</v>
      </c>
      <c r="K94" s="75" t="e">
        <f t="shared" si="6"/>
        <v>#N/A</v>
      </c>
      <c r="L94" s="77">
        <v>4.1099999999999998E-2</v>
      </c>
      <c r="M94" s="75" t="e">
        <f t="shared" si="7"/>
        <v>#N/A</v>
      </c>
      <c r="N94" s="75" t="e">
        <f t="shared" si="5"/>
        <v>#N/A</v>
      </c>
      <c r="O94" s="77">
        <v>4.2509999999999999E-2</v>
      </c>
    </row>
    <row r="95" spans="7:15" x14ac:dyDescent="0.35">
      <c r="G95" s="2">
        <v>74</v>
      </c>
      <c r="H95" s="75">
        <v>0</v>
      </c>
      <c r="I95" s="75" t="e">
        <v>#N/A</v>
      </c>
      <c r="J95" s="75" t="e" cm="1">
        <f t="array" ref="J95">_xlfn.LET(_xlpm.m, G95,
     _xlpm.rfr, I95,
     _xlpm.sm_up, INDEX(R.IRR_SM_UP, _xlpm.m),
     _xlpm.bm_up, INDEX(R.IRR_BM_UP, _xlpm.m),
     _xlpm.rfr * (1 + _xlpm.sm_up) + _xlpm.bm_up)</f>
        <v>#N/A</v>
      </c>
      <c r="K95" s="75" t="e">
        <f t="shared" si="6"/>
        <v>#N/A</v>
      </c>
      <c r="L95" s="77">
        <v>4.1009999999999998E-2</v>
      </c>
      <c r="M95" s="75" t="e">
        <f t="shared" si="7"/>
        <v>#N/A</v>
      </c>
      <c r="N95" s="75" t="e">
        <f t="shared" si="5"/>
        <v>#N/A</v>
      </c>
      <c r="O95" s="77">
        <v>4.24E-2</v>
      </c>
    </row>
    <row r="96" spans="7:15" x14ac:dyDescent="0.35">
      <c r="G96" s="2">
        <v>75</v>
      </c>
      <c r="H96" s="75">
        <v>0</v>
      </c>
      <c r="I96" s="75" t="e">
        <v>#N/A</v>
      </c>
      <c r="J96" s="75" t="e" cm="1">
        <f t="array" ref="J96">_xlfn.LET(_xlpm.m, G96,
     _xlpm.rfr, I96,
     _xlpm.sm_up, INDEX(R.IRR_SM_UP, _xlpm.m),
     _xlpm.bm_up, INDEX(R.IRR_BM_UP, _xlpm.m),
     _xlpm.rfr * (1 + _xlpm.sm_up) + _xlpm.bm_up)</f>
        <v>#N/A</v>
      </c>
      <c r="K96" s="75" t="e">
        <f t="shared" si="6"/>
        <v>#N/A</v>
      </c>
      <c r="L96" s="77">
        <v>4.0919999999999998E-2</v>
      </c>
      <c r="M96" s="75" t="e">
        <f t="shared" si="7"/>
        <v>#N/A</v>
      </c>
      <c r="N96" s="75" t="e">
        <f t="shared" si="5"/>
        <v>#N/A</v>
      </c>
      <c r="O96" s="77">
        <v>4.2290000000000001E-2</v>
      </c>
    </row>
    <row r="97" spans="7:15" x14ac:dyDescent="0.35">
      <c r="G97" s="7">
        <v>76</v>
      </c>
      <c r="H97" s="75">
        <v>0</v>
      </c>
      <c r="I97" s="75" t="e">
        <v>#N/A</v>
      </c>
      <c r="J97" s="75" t="e" cm="1">
        <f t="array" ref="J97">_xlfn.LET(_xlpm.m, G97,
     _xlpm.rfr, I97,
     _xlpm.sm_up, INDEX(R.IRR_SM_UP, _xlpm.m),
     _xlpm.bm_up, INDEX(R.IRR_BM_UP, _xlpm.m),
     _xlpm.rfr * (1 + _xlpm.sm_up) + _xlpm.bm_up)</f>
        <v>#N/A</v>
      </c>
      <c r="K97" s="75" t="e">
        <f t="shared" si="6"/>
        <v>#N/A</v>
      </c>
      <c r="L97" s="77">
        <v>4.0840000000000001E-2</v>
      </c>
      <c r="M97" s="75" t="e">
        <f t="shared" si="7"/>
        <v>#N/A</v>
      </c>
      <c r="N97" s="75" t="e">
        <f t="shared" si="5"/>
        <v>#N/A</v>
      </c>
      <c r="O97" s="77">
        <v>4.2189999999999998E-2</v>
      </c>
    </row>
    <row r="98" spans="7:15" x14ac:dyDescent="0.35">
      <c r="G98" s="7">
        <v>77</v>
      </c>
      <c r="H98" s="75">
        <v>0</v>
      </c>
      <c r="I98" s="75" t="e">
        <v>#N/A</v>
      </c>
      <c r="J98" s="75" t="e" cm="1">
        <f t="array" ref="J98">_xlfn.LET(_xlpm.m, G98,
     _xlpm.rfr, I98,
     _xlpm.sm_up, INDEX(R.IRR_SM_UP, _xlpm.m),
     _xlpm.bm_up, INDEX(R.IRR_BM_UP, _xlpm.m),
     _xlpm.rfr * (1 + _xlpm.sm_up) + _xlpm.bm_up)</f>
        <v>#N/A</v>
      </c>
      <c r="K98" s="75" t="e">
        <f t="shared" si="6"/>
        <v>#N/A</v>
      </c>
      <c r="L98" s="77">
        <v>4.0750000000000001E-2</v>
      </c>
      <c r="M98" s="75" t="e">
        <f t="shared" si="7"/>
        <v>#N/A</v>
      </c>
      <c r="N98" s="75" t="e">
        <f t="shared" si="5"/>
        <v>#N/A</v>
      </c>
      <c r="O98" s="77">
        <v>4.2090000000000002E-2</v>
      </c>
    </row>
    <row r="99" spans="7:15" x14ac:dyDescent="0.35">
      <c r="G99" s="7">
        <v>78</v>
      </c>
      <c r="H99" s="75">
        <v>0</v>
      </c>
      <c r="I99" s="75" t="e">
        <v>#N/A</v>
      </c>
      <c r="J99" s="75" t="e" cm="1">
        <f t="array" ref="J99">_xlfn.LET(_xlpm.m, G99,
     _xlpm.rfr, I99,
     _xlpm.sm_up, INDEX(R.IRR_SM_UP, _xlpm.m),
     _xlpm.bm_up, INDEX(R.IRR_BM_UP, _xlpm.m),
     _xlpm.rfr * (1 + _xlpm.sm_up) + _xlpm.bm_up)</f>
        <v>#N/A</v>
      </c>
      <c r="K99" s="75" t="e">
        <f t="shared" si="6"/>
        <v>#N/A</v>
      </c>
      <c r="L99" s="77">
        <v>4.0669999999999998E-2</v>
      </c>
      <c r="M99" s="75" t="e">
        <f t="shared" si="7"/>
        <v>#N/A</v>
      </c>
      <c r="N99" s="75" t="e">
        <f t="shared" si="5"/>
        <v>#N/A</v>
      </c>
      <c r="O99" s="77">
        <v>4.199E-2</v>
      </c>
    </row>
    <row r="100" spans="7:15" x14ac:dyDescent="0.35">
      <c r="G100" s="2">
        <v>79</v>
      </c>
      <c r="H100" s="75">
        <v>0</v>
      </c>
      <c r="I100" s="75" t="e">
        <v>#N/A</v>
      </c>
      <c r="J100" s="75" t="e" cm="1">
        <f t="array" ref="J100">_xlfn.LET(_xlpm.m, G100,
     _xlpm.rfr, I100,
     _xlpm.sm_up, INDEX(R.IRR_SM_UP, _xlpm.m),
     _xlpm.bm_up, INDEX(R.IRR_BM_UP, _xlpm.m),
     _xlpm.rfr * (1 + _xlpm.sm_up) + _xlpm.bm_up)</f>
        <v>#N/A</v>
      </c>
      <c r="K100" s="75" t="e">
        <f t="shared" si="6"/>
        <v>#N/A</v>
      </c>
      <c r="L100" s="77">
        <v>4.0599999999999997E-2</v>
      </c>
      <c r="M100" s="75" t="e">
        <f t="shared" si="7"/>
        <v>#N/A</v>
      </c>
      <c r="N100" s="75" t="e">
        <f t="shared" si="5"/>
        <v>#N/A</v>
      </c>
      <c r="O100" s="77">
        <v>4.19E-2</v>
      </c>
    </row>
    <row r="101" spans="7:15" x14ac:dyDescent="0.35">
      <c r="G101" s="2">
        <v>80</v>
      </c>
      <c r="H101" s="75">
        <v>0</v>
      </c>
      <c r="I101" s="75" t="e">
        <v>#N/A</v>
      </c>
      <c r="J101" s="75" t="e" cm="1">
        <f t="array" ref="J101">_xlfn.LET(_xlpm.m, G101,
     _xlpm.rfr, I101,
     _xlpm.sm_up, INDEX(R.IRR_SM_UP, _xlpm.m),
     _xlpm.bm_up, INDEX(R.IRR_BM_UP, _xlpm.m),
     _xlpm.rfr * (1 + _xlpm.sm_up) + _xlpm.bm_up)</f>
        <v>#N/A</v>
      </c>
      <c r="K101" s="75" t="e">
        <f t="shared" si="6"/>
        <v>#N/A</v>
      </c>
      <c r="L101" s="77">
        <v>4.052E-2</v>
      </c>
      <c r="M101" s="75" t="e">
        <f t="shared" si="7"/>
        <v>#N/A</v>
      </c>
      <c r="N101" s="75" t="e">
        <f t="shared" si="5"/>
        <v>#N/A</v>
      </c>
      <c r="O101" s="77">
        <v>4.1799999999999997E-2</v>
      </c>
    </row>
    <row r="102" spans="7:15" x14ac:dyDescent="0.35">
      <c r="G102" s="7">
        <v>81</v>
      </c>
      <c r="H102" s="75">
        <v>0</v>
      </c>
      <c r="I102" s="75" t="e">
        <v>#N/A</v>
      </c>
      <c r="J102" s="75" t="e" cm="1">
        <f t="array" ref="J102">_xlfn.LET(_xlpm.m, G102,
     _xlpm.rfr, I102,
     _xlpm.sm_up, INDEX(R.IRR_SM_UP, _xlpm.m),
     _xlpm.bm_up, INDEX(R.IRR_BM_UP, _xlpm.m),
     _xlpm.rfr * (1 + _xlpm.sm_up) + _xlpm.bm_up)</f>
        <v>#N/A</v>
      </c>
      <c r="K102" s="75" t="e">
        <f t="shared" si="6"/>
        <v>#N/A</v>
      </c>
      <c r="L102" s="77">
        <v>4.045E-2</v>
      </c>
      <c r="M102" s="75" t="e">
        <f t="shared" si="7"/>
        <v>#N/A</v>
      </c>
      <c r="N102" s="75" t="e">
        <f t="shared" si="5"/>
        <v>#N/A</v>
      </c>
      <c r="O102" s="77">
        <v>4.1709999999999997E-2</v>
      </c>
    </row>
    <row r="103" spans="7:15" x14ac:dyDescent="0.35">
      <c r="G103" s="7">
        <v>82</v>
      </c>
      <c r="H103" s="75">
        <v>0</v>
      </c>
      <c r="I103" s="75" t="e">
        <v>#N/A</v>
      </c>
      <c r="J103" s="75" t="e" cm="1">
        <f t="array" ref="J103">_xlfn.LET(_xlpm.m, G103,
     _xlpm.rfr, I103,
     _xlpm.sm_up, INDEX(R.IRR_SM_UP, _xlpm.m),
     _xlpm.bm_up, INDEX(R.IRR_BM_UP, _xlpm.m),
     _xlpm.rfr * (1 + _xlpm.sm_up) + _xlpm.bm_up)</f>
        <v>#N/A</v>
      </c>
      <c r="K103" s="75" t="e">
        <f t="shared" si="6"/>
        <v>#N/A</v>
      </c>
      <c r="L103" s="77">
        <v>4.0370000000000003E-2</v>
      </c>
      <c r="M103" s="75" t="e">
        <f t="shared" si="7"/>
        <v>#N/A</v>
      </c>
      <c r="N103" s="75" t="e">
        <f t="shared" si="5"/>
        <v>#N/A</v>
      </c>
      <c r="O103" s="77">
        <v>4.163E-2</v>
      </c>
    </row>
    <row r="104" spans="7:15" x14ac:dyDescent="0.35">
      <c r="G104" s="7">
        <v>83</v>
      </c>
      <c r="H104" s="75">
        <v>0</v>
      </c>
      <c r="I104" s="75" t="e">
        <v>#N/A</v>
      </c>
      <c r="J104" s="75" t="e" cm="1">
        <f t="array" ref="J104">_xlfn.LET(_xlpm.m, G104,
     _xlpm.rfr, I104,
     _xlpm.sm_up, INDEX(R.IRR_SM_UP, _xlpm.m),
     _xlpm.bm_up, INDEX(R.IRR_BM_UP, _xlpm.m),
     _xlpm.rfr * (1 + _xlpm.sm_up) + _xlpm.bm_up)</f>
        <v>#N/A</v>
      </c>
      <c r="K104" s="75" t="e">
        <f t="shared" si="6"/>
        <v>#N/A</v>
      </c>
      <c r="L104" s="77">
        <v>4.0300000000000002E-2</v>
      </c>
      <c r="M104" s="75" t="e">
        <f t="shared" si="7"/>
        <v>#N/A</v>
      </c>
      <c r="N104" s="75" t="e">
        <f t="shared" si="5"/>
        <v>#N/A</v>
      </c>
      <c r="O104" s="77">
        <v>4.1540000000000001E-2</v>
      </c>
    </row>
    <row r="105" spans="7:15" x14ac:dyDescent="0.35">
      <c r="G105" s="2">
        <v>84</v>
      </c>
      <c r="H105" s="75">
        <v>0</v>
      </c>
      <c r="I105" s="75" t="e">
        <v>#N/A</v>
      </c>
      <c r="J105" s="75" t="e" cm="1">
        <f t="array" ref="J105">_xlfn.LET(_xlpm.m, G105,
     _xlpm.rfr, I105,
     _xlpm.sm_up, INDEX(R.IRR_SM_UP, _xlpm.m),
     _xlpm.bm_up, INDEX(R.IRR_BM_UP, _xlpm.m),
     _xlpm.rfr * (1 + _xlpm.sm_up) + _xlpm.bm_up)</f>
        <v>#N/A</v>
      </c>
      <c r="K105" s="75" t="e">
        <f t="shared" si="6"/>
        <v>#N/A</v>
      </c>
      <c r="L105" s="77">
        <v>4.0230000000000002E-2</v>
      </c>
      <c r="M105" s="75" t="e">
        <f t="shared" si="7"/>
        <v>#N/A</v>
      </c>
      <c r="N105" s="75" t="e">
        <f t="shared" si="5"/>
        <v>#N/A</v>
      </c>
      <c r="O105" s="77">
        <v>4.1459999999999997E-2</v>
      </c>
    </row>
    <row r="106" spans="7:15" x14ac:dyDescent="0.35">
      <c r="G106" s="2">
        <v>85</v>
      </c>
      <c r="H106" s="75">
        <v>0</v>
      </c>
      <c r="I106" s="75" t="e">
        <v>#N/A</v>
      </c>
      <c r="J106" s="75" t="e" cm="1">
        <f t="array" ref="J106">_xlfn.LET(_xlpm.m, G106,
     _xlpm.rfr, I106,
     _xlpm.sm_up, INDEX(R.IRR_SM_UP, _xlpm.m),
     _xlpm.bm_up, INDEX(R.IRR_BM_UP, _xlpm.m),
     _xlpm.rfr * (1 + _xlpm.sm_up) + _xlpm.bm_up)</f>
        <v>#N/A</v>
      </c>
      <c r="K106" s="75" t="e">
        <f t="shared" si="6"/>
        <v>#N/A</v>
      </c>
      <c r="L106" s="77">
        <v>4.0169999999999997E-2</v>
      </c>
      <c r="M106" s="75" t="e">
        <f t="shared" si="7"/>
        <v>#N/A</v>
      </c>
      <c r="N106" s="75" t="e">
        <f t="shared" si="5"/>
        <v>#N/A</v>
      </c>
      <c r="O106" s="77">
        <v>4.1369999999999997E-2</v>
      </c>
    </row>
    <row r="107" spans="7:15" x14ac:dyDescent="0.35">
      <c r="G107" s="7">
        <v>86</v>
      </c>
      <c r="H107" s="75">
        <v>0</v>
      </c>
      <c r="I107" s="75" t="e">
        <v>#N/A</v>
      </c>
      <c r="J107" s="75" t="e" cm="1">
        <f t="array" ref="J107">_xlfn.LET(_xlpm.m, G107,
     _xlpm.rfr, I107,
     _xlpm.sm_up, INDEX(R.IRR_SM_UP, _xlpm.m),
     _xlpm.bm_up, INDEX(R.IRR_BM_UP, _xlpm.m),
     _xlpm.rfr * (1 + _xlpm.sm_up) + _xlpm.bm_up)</f>
        <v>#N/A</v>
      </c>
      <c r="K107" s="75" t="e">
        <f t="shared" si="6"/>
        <v>#N/A</v>
      </c>
      <c r="L107" s="77">
        <v>4.0099999999999997E-2</v>
      </c>
      <c r="M107" s="75" t="e">
        <f t="shared" si="7"/>
        <v>#N/A</v>
      </c>
      <c r="N107" s="75" t="e">
        <f t="shared" si="5"/>
        <v>#N/A</v>
      </c>
      <c r="O107" s="77">
        <v>4.129E-2</v>
      </c>
    </row>
    <row r="108" spans="7:15" x14ac:dyDescent="0.35">
      <c r="G108" s="7">
        <v>87</v>
      </c>
      <c r="H108" s="75">
        <v>0</v>
      </c>
      <c r="I108" s="75" t="e">
        <v>#N/A</v>
      </c>
      <c r="J108" s="75" t="e" cm="1">
        <f t="array" ref="J108">_xlfn.LET(_xlpm.m, G108,
     _xlpm.rfr, I108,
     _xlpm.sm_up, INDEX(R.IRR_SM_UP, _xlpm.m),
     _xlpm.bm_up, INDEX(R.IRR_BM_UP, _xlpm.m),
     _xlpm.rfr * (1 + _xlpm.sm_up) + _xlpm.bm_up)</f>
        <v>#N/A</v>
      </c>
      <c r="K108" s="75" t="e">
        <f t="shared" si="6"/>
        <v>#N/A</v>
      </c>
      <c r="L108" s="77">
        <v>4.0039999999999999E-2</v>
      </c>
      <c r="M108" s="75" t="e">
        <f t="shared" si="7"/>
        <v>#N/A</v>
      </c>
      <c r="N108" s="75" t="e">
        <f t="shared" si="5"/>
        <v>#N/A</v>
      </c>
      <c r="O108" s="77">
        <v>4.122E-2</v>
      </c>
    </row>
    <row r="109" spans="7:15" x14ac:dyDescent="0.35">
      <c r="G109" s="7">
        <v>88</v>
      </c>
      <c r="H109" s="75">
        <v>0</v>
      </c>
      <c r="I109" s="75" t="e">
        <v>#N/A</v>
      </c>
      <c r="J109" s="75" t="e" cm="1">
        <f t="array" ref="J109">_xlfn.LET(_xlpm.m, G109,
     _xlpm.rfr, I109,
     _xlpm.sm_up, INDEX(R.IRR_SM_UP, _xlpm.m),
     _xlpm.bm_up, INDEX(R.IRR_BM_UP, _xlpm.m),
     _xlpm.rfr * (1 + _xlpm.sm_up) + _xlpm.bm_up)</f>
        <v>#N/A</v>
      </c>
      <c r="K109" s="75" t="e">
        <f t="shared" si="6"/>
        <v>#N/A</v>
      </c>
      <c r="L109" s="77">
        <v>3.9969999999999999E-2</v>
      </c>
      <c r="M109" s="75" t="e">
        <f t="shared" si="7"/>
        <v>#N/A</v>
      </c>
      <c r="N109" s="75" t="e">
        <f t="shared" si="5"/>
        <v>#N/A</v>
      </c>
      <c r="O109" s="77">
        <v>4.1140000000000003E-2</v>
      </c>
    </row>
    <row r="110" spans="7:15" x14ac:dyDescent="0.35">
      <c r="G110" s="2">
        <v>89</v>
      </c>
      <c r="H110" s="75">
        <v>0</v>
      </c>
      <c r="I110" s="75" t="e">
        <v>#N/A</v>
      </c>
      <c r="J110" s="75" t="e" cm="1">
        <f t="array" ref="J110">_xlfn.LET(_xlpm.m, G110,
     _xlpm.rfr, I110,
     _xlpm.sm_up, INDEX(R.IRR_SM_UP, _xlpm.m),
     _xlpm.bm_up, INDEX(R.IRR_BM_UP, _xlpm.m),
     _xlpm.rfr * (1 + _xlpm.sm_up) + _xlpm.bm_up)</f>
        <v>#N/A</v>
      </c>
      <c r="K110" s="75" t="e">
        <f t="shared" si="6"/>
        <v>#N/A</v>
      </c>
      <c r="L110" s="77">
        <v>3.9910000000000001E-2</v>
      </c>
      <c r="M110" s="75" t="e">
        <f t="shared" si="7"/>
        <v>#N/A</v>
      </c>
      <c r="N110" s="75" t="e">
        <f t="shared" si="5"/>
        <v>#N/A</v>
      </c>
      <c r="O110" s="77">
        <v>4.1070000000000002E-2</v>
      </c>
    </row>
    <row r="111" spans="7:15" x14ac:dyDescent="0.35">
      <c r="G111" s="2">
        <v>90</v>
      </c>
      <c r="H111" s="75">
        <v>0</v>
      </c>
      <c r="I111" s="75" t="e">
        <v>#N/A</v>
      </c>
      <c r="J111" s="75" t="e" cm="1">
        <f t="array" ref="J111">_xlfn.LET(_xlpm.m, G111,
     _xlpm.rfr, I111,
     _xlpm.sm_up, INDEX(R.IRR_SM_UP, _xlpm.m),
     _xlpm.bm_up, INDEX(R.IRR_BM_UP, _xlpm.m),
     _xlpm.rfr * (1 + _xlpm.sm_up) + _xlpm.bm_up)</f>
        <v>#N/A</v>
      </c>
      <c r="K111" s="75" t="e">
        <f t="shared" si="6"/>
        <v>#N/A</v>
      </c>
      <c r="L111" s="77">
        <v>3.9849999999999997E-2</v>
      </c>
      <c r="M111" s="75" t="e">
        <f t="shared" si="7"/>
        <v>#N/A</v>
      </c>
      <c r="N111" s="75" t="e">
        <f t="shared" si="5"/>
        <v>#N/A</v>
      </c>
      <c r="O111" s="77">
        <v>4.0989999999999999E-2</v>
      </c>
    </row>
    <row r="112" spans="7:15" x14ac:dyDescent="0.35">
      <c r="G112" s="7">
        <v>91</v>
      </c>
      <c r="H112" s="75">
        <v>0</v>
      </c>
      <c r="I112" s="75" t="e">
        <v>#N/A</v>
      </c>
      <c r="J112" s="75" t="e" cm="1">
        <f t="array" ref="J112">_xlfn.LET(_xlpm.m, G112,
     _xlpm.rfr, I112,
     _xlpm.sm_up, INDEX(R.IRR_SM_UP, _xlpm.m),
     _xlpm.bm_up, INDEX(R.IRR_BM_UP, _xlpm.m),
     _xlpm.rfr * (1 + _xlpm.sm_up) + _xlpm.bm_up)</f>
        <v>#N/A</v>
      </c>
      <c r="K112" s="75" t="e">
        <f t="shared" si="6"/>
        <v>#N/A</v>
      </c>
      <c r="L112" s="77">
        <v>3.9789999999999999E-2</v>
      </c>
      <c r="M112" s="75" t="e">
        <f t="shared" si="7"/>
        <v>#N/A</v>
      </c>
      <c r="N112" s="75" t="e">
        <f t="shared" si="5"/>
        <v>#N/A</v>
      </c>
      <c r="O112" s="77">
        <v>4.0919999999999998E-2</v>
      </c>
    </row>
    <row r="113" spans="7:15" x14ac:dyDescent="0.35">
      <c r="G113" s="7">
        <v>92</v>
      </c>
      <c r="H113" s="75">
        <v>0</v>
      </c>
      <c r="I113" s="75" t="e">
        <v>#N/A</v>
      </c>
      <c r="J113" s="75" t="e" cm="1">
        <f t="array" ref="J113">_xlfn.LET(_xlpm.m, G113,
     _xlpm.rfr, I113,
     _xlpm.sm_up, INDEX(R.IRR_SM_UP, _xlpm.m),
     _xlpm.bm_up, INDEX(R.IRR_BM_UP, _xlpm.m),
     _xlpm.rfr * (1 + _xlpm.sm_up) + _xlpm.bm_up)</f>
        <v>#N/A</v>
      </c>
      <c r="K113" s="75" t="e">
        <f t="shared" si="6"/>
        <v>#N/A</v>
      </c>
      <c r="L113" s="77">
        <v>3.9730000000000001E-2</v>
      </c>
      <c r="M113" s="75" t="e">
        <f t="shared" si="7"/>
        <v>#N/A</v>
      </c>
      <c r="N113" s="75" t="e">
        <f t="shared" si="5"/>
        <v>#N/A</v>
      </c>
      <c r="O113" s="77">
        <v>4.0849999999999997E-2</v>
      </c>
    </row>
    <row r="114" spans="7:15" x14ac:dyDescent="0.35">
      <c r="G114" s="7">
        <v>93</v>
      </c>
      <c r="H114" s="75">
        <v>0</v>
      </c>
      <c r="I114" s="75" t="e">
        <v>#N/A</v>
      </c>
      <c r="J114" s="75" t="e" cm="1">
        <f t="array" ref="J114">_xlfn.LET(_xlpm.m, G114,
     _xlpm.rfr, I114,
     _xlpm.sm_up, INDEX(R.IRR_SM_UP, _xlpm.m),
     _xlpm.bm_up, INDEX(R.IRR_BM_UP, _xlpm.m),
     _xlpm.rfr * (1 + _xlpm.sm_up) + _xlpm.bm_up)</f>
        <v>#N/A</v>
      </c>
      <c r="K114" s="75" t="e">
        <f t="shared" si="6"/>
        <v>#N/A</v>
      </c>
      <c r="L114" s="77">
        <v>3.968E-2</v>
      </c>
      <c r="M114" s="75" t="e">
        <f t="shared" si="7"/>
        <v>#N/A</v>
      </c>
      <c r="N114" s="75" t="e">
        <f t="shared" si="5"/>
        <v>#N/A</v>
      </c>
      <c r="O114" s="77">
        <v>4.0779999999999997E-2</v>
      </c>
    </row>
    <row r="115" spans="7:15" x14ac:dyDescent="0.35">
      <c r="G115" s="2">
        <v>94</v>
      </c>
      <c r="H115" s="75">
        <v>0</v>
      </c>
      <c r="I115" s="75" t="e">
        <v>#N/A</v>
      </c>
      <c r="J115" s="75" t="e" cm="1">
        <f t="array" ref="J115">_xlfn.LET(_xlpm.m, G115,
     _xlpm.rfr, I115,
     _xlpm.sm_up, INDEX(R.IRR_SM_UP, _xlpm.m),
     _xlpm.bm_up, INDEX(R.IRR_BM_UP, _xlpm.m),
     _xlpm.rfr * (1 + _xlpm.sm_up) + _xlpm.bm_up)</f>
        <v>#N/A</v>
      </c>
      <c r="K115" s="75" t="e">
        <f t="shared" si="6"/>
        <v>#N/A</v>
      </c>
      <c r="L115" s="77">
        <v>3.9620000000000002E-2</v>
      </c>
      <c r="M115" s="75" t="e">
        <f t="shared" si="7"/>
        <v>#N/A</v>
      </c>
      <c r="N115" s="75" t="e">
        <f t="shared" si="5"/>
        <v>#N/A</v>
      </c>
      <c r="O115" s="77">
        <v>4.0719999999999999E-2</v>
      </c>
    </row>
    <row r="116" spans="7:15" x14ac:dyDescent="0.35">
      <c r="G116" s="2">
        <v>95</v>
      </c>
      <c r="H116" s="75">
        <v>0</v>
      </c>
      <c r="I116" s="75" t="e">
        <v>#N/A</v>
      </c>
      <c r="J116" s="75" t="e" cm="1">
        <f t="array" ref="J116">_xlfn.LET(_xlpm.m, G116,
     _xlpm.rfr, I116,
     _xlpm.sm_up, INDEX(R.IRR_SM_UP, _xlpm.m),
     _xlpm.bm_up, INDEX(R.IRR_BM_UP, _xlpm.m),
     _xlpm.rfr * (1 + _xlpm.sm_up) + _xlpm.bm_up)</f>
        <v>#N/A</v>
      </c>
      <c r="K116" s="75" t="e">
        <f t="shared" si="6"/>
        <v>#N/A</v>
      </c>
      <c r="L116" s="77">
        <v>3.9570000000000001E-2</v>
      </c>
      <c r="M116" s="75" t="e">
        <f t="shared" si="7"/>
        <v>#N/A</v>
      </c>
      <c r="N116" s="75" t="e">
        <f t="shared" si="5"/>
        <v>#N/A</v>
      </c>
      <c r="O116" s="77">
        <v>4.0649999999999999E-2</v>
      </c>
    </row>
    <row r="117" spans="7:15" x14ac:dyDescent="0.35">
      <c r="G117" s="7">
        <v>96</v>
      </c>
      <c r="H117" s="75">
        <v>0</v>
      </c>
      <c r="I117" s="75" t="e">
        <v>#N/A</v>
      </c>
      <c r="J117" s="75" t="e" cm="1">
        <f t="array" ref="J117">_xlfn.LET(_xlpm.m, G117,
     _xlpm.rfr, I117,
     _xlpm.sm_up, INDEX(R.IRR_SM_UP, _xlpm.m),
     _xlpm.bm_up, INDEX(R.IRR_BM_UP, _xlpm.m),
     _xlpm.rfr * (1 + _xlpm.sm_up) + _xlpm.bm_up)</f>
        <v>#N/A</v>
      </c>
      <c r="K117" s="75" t="e">
        <f t="shared" si="6"/>
        <v>#N/A</v>
      </c>
      <c r="L117" s="77">
        <v>3.952E-2</v>
      </c>
      <c r="M117" s="75" t="e">
        <f t="shared" si="7"/>
        <v>#N/A</v>
      </c>
      <c r="N117" s="75" t="e">
        <f t="shared" si="5"/>
        <v>#N/A</v>
      </c>
      <c r="O117" s="77">
        <v>4.0590000000000001E-2</v>
      </c>
    </row>
    <row r="118" spans="7:15" x14ac:dyDescent="0.35">
      <c r="G118" s="7">
        <v>97</v>
      </c>
      <c r="H118" s="75">
        <v>0</v>
      </c>
      <c r="I118" s="75" t="e">
        <v>#N/A</v>
      </c>
      <c r="J118" s="75" t="e" cm="1">
        <f t="array" ref="J118">_xlfn.LET(_xlpm.m, G118,
     _xlpm.rfr, I118,
     _xlpm.sm_up, INDEX(R.IRR_SM_UP, _xlpm.m),
     _xlpm.bm_up, INDEX(R.IRR_BM_UP, _xlpm.m),
     _xlpm.rfr * (1 + _xlpm.sm_up) + _xlpm.bm_up)</f>
        <v>#N/A</v>
      </c>
      <c r="K118" s="75" t="e">
        <f t="shared" si="6"/>
        <v>#N/A</v>
      </c>
      <c r="L118" s="77">
        <v>3.9460000000000002E-2</v>
      </c>
      <c r="M118" s="75" t="e">
        <f t="shared" si="7"/>
        <v>#N/A</v>
      </c>
      <c r="N118" s="75" t="e">
        <f t="shared" ref="N118:N149" si="8">M118+LN(1+V.TOTAL_VA)</f>
        <v>#N/A</v>
      </c>
      <c r="O118" s="77">
        <v>4.052E-2</v>
      </c>
    </row>
    <row r="119" spans="7:15" x14ac:dyDescent="0.35">
      <c r="G119" s="7">
        <v>98</v>
      </c>
      <c r="H119" s="75">
        <v>0</v>
      </c>
      <c r="I119" s="75" t="e">
        <v>#N/A</v>
      </c>
      <c r="J119" s="75" t="e" cm="1">
        <f t="array" ref="J119">_xlfn.LET(_xlpm.m, G119,
     _xlpm.rfr, I119,
     _xlpm.sm_up, INDEX(R.IRR_SM_UP, _xlpm.m),
     _xlpm.bm_up, INDEX(R.IRR_BM_UP, _xlpm.m),
     _xlpm.rfr * (1 + _xlpm.sm_up) + _xlpm.bm_up)</f>
        <v>#N/A</v>
      </c>
      <c r="K119" s="75" t="e">
        <f t="shared" si="6"/>
        <v>#N/A</v>
      </c>
      <c r="L119" s="77">
        <v>3.9410000000000001E-2</v>
      </c>
      <c r="M119" s="75" t="e">
        <f t="shared" ref="M119:M150" si="9">G119*K119-G118*K118</f>
        <v>#N/A</v>
      </c>
      <c r="N119" s="75" t="e">
        <f t="shared" si="8"/>
        <v>#N/A</v>
      </c>
      <c r="O119" s="77">
        <v>4.0460000000000003E-2</v>
      </c>
    </row>
    <row r="120" spans="7:15" x14ac:dyDescent="0.35">
      <c r="G120" s="2">
        <v>99</v>
      </c>
      <c r="H120" s="75">
        <v>0</v>
      </c>
      <c r="I120" s="75" t="e">
        <v>#N/A</v>
      </c>
      <c r="J120" s="75" t="e" cm="1">
        <f t="array" ref="J120">_xlfn.LET(_xlpm.m, G120,
     _xlpm.rfr, I120,
     _xlpm.sm_up, INDEX(R.IRR_SM_UP, _xlpm.m),
     _xlpm.bm_up, INDEX(R.IRR_BM_UP, _xlpm.m),
     _xlpm.rfr * (1 + _xlpm.sm_up) + _xlpm.bm_up)</f>
        <v>#N/A</v>
      </c>
      <c r="K120" s="75" t="e">
        <f t="shared" si="6"/>
        <v>#N/A</v>
      </c>
      <c r="L120" s="77">
        <v>3.9359999999999999E-2</v>
      </c>
      <c r="M120" s="75" t="e">
        <f t="shared" si="9"/>
        <v>#N/A</v>
      </c>
      <c r="N120" s="75" t="e">
        <f t="shared" si="8"/>
        <v>#N/A</v>
      </c>
      <c r="O120" s="77">
        <v>4.0399999999999998E-2</v>
      </c>
    </row>
    <row r="121" spans="7:15" x14ac:dyDescent="0.35">
      <c r="G121" s="2">
        <v>100</v>
      </c>
      <c r="H121" s="75">
        <v>0</v>
      </c>
      <c r="I121" s="75" t="e">
        <v>#N/A</v>
      </c>
      <c r="J121" s="75" t="e" cm="1">
        <f t="array" ref="J121">_xlfn.LET(_xlpm.m, G121,
     _xlpm.rfr, I121,
     _xlpm.sm_up, INDEX(R.IRR_SM_UP, _xlpm.m),
     _xlpm.bm_up, INDEX(R.IRR_BM_UP, _xlpm.m),
     _xlpm.rfr * (1 + _xlpm.sm_up) + _xlpm.bm_up)</f>
        <v>#N/A</v>
      </c>
      <c r="K121" s="75" t="e">
        <f t="shared" si="6"/>
        <v>#N/A</v>
      </c>
      <c r="L121" s="77">
        <v>3.9309999999999998E-2</v>
      </c>
      <c r="M121" s="75" t="e">
        <f t="shared" si="9"/>
        <v>#N/A</v>
      </c>
      <c r="N121" s="75" t="e">
        <f t="shared" si="8"/>
        <v>#N/A</v>
      </c>
      <c r="O121" s="77">
        <v>4.0340000000000001E-2</v>
      </c>
    </row>
    <row r="122" spans="7:15" x14ac:dyDescent="0.35">
      <c r="G122" s="7">
        <v>101</v>
      </c>
      <c r="H122" s="75">
        <v>0</v>
      </c>
      <c r="I122" s="75" t="e">
        <v>#N/A</v>
      </c>
      <c r="J122" s="75" t="e" cm="1">
        <f t="array" ref="J122">_xlfn.LET(_xlpm.m, G122,
     _xlpm.rfr, I122,
     _xlpm.sm_up, INDEX(R.IRR_SM_UP, _xlpm.m),
     _xlpm.bm_up, INDEX(R.IRR_BM_UP, _xlpm.m),
     _xlpm.rfr * (1 + _xlpm.sm_up) + _xlpm.bm_up)</f>
        <v>#N/A</v>
      </c>
      <c r="K122" s="75" t="e">
        <f t="shared" si="6"/>
        <v>#N/A</v>
      </c>
      <c r="L122" s="77">
        <v>3.9269999999999999E-2</v>
      </c>
      <c r="M122" s="75" t="e">
        <f t="shared" si="9"/>
        <v>#N/A</v>
      </c>
      <c r="N122" s="75" t="e">
        <f t="shared" si="8"/>
        <v>#N/A</v>
      </c>
      <c r="O122" s="77">
        <v>4.0280000000000003E-2</v>
      </c>
    </row>
    <row r="123" spans="7:15" x14ac:dyDescent="0.35">
      <c r="G123" s="7">
        <v>102</v>
      </c>
      <c r="H123" s="75">
        <v>0</v>
      </c>
      <c r="I123" s="75" t="e">
        <v>#N/A</v>
      </c>
      <c r="J123" s="75" t="e" cm="1">
        <f t="array" ref="J123">_xlfn.LET(_xlpm.m, G123,
     _xlpm.rfr, I123,
     _xlpm.sm_up, INDEX(R.IRR_SM_UP, _xlpm.m),
     _xlpm.bm_up, INDEX(R.IRR_BM_UP, _xlpm.m),
     _xlpm.rfr * (1 + _xlpm.sm_up) + _xlpm.bm_up)</f>
        <v>#N/A</v>
      </c>
      <c r="K123" s="75" t="e">
        <f t="shared" si="6"/>
        <v>#N/A</v>
      </c>
      <c r="L123" s="77">
        <v>3.9219999999999998E-2</v>
      </c>
      <c r="M123" s="75" t="e">
        <f t="shared" si="9"/>
        <v>#N/A</v>
      </c>
      <c r="N123" s="75" t="e">
        <f t="shared" si="8"/>
        <v>#N/A</v>
      </c>
      <c r="O123" s="77">
        <v>4.0230000000000002E-2</v>
      </c>
    </row>
    <row r="124" spans="7:15" x14ac:dyDescent="0.35">
      <c r="G124" s="7">
        <v>103</v>
      </c>
      <c r="H124" s="75">
        <v>0</v>
      </c>
      <c r="I124" s="75" t="e">
        <v>#N/A</v>
      </c>
      <c r="J124" s="75" t="e" cm="1">
        <f t="array" ref="J124">_xlfn.LET(_xlpm.m, G124,
     _xlpm.rfr, I124,
     _xlpm.sm_up, INDEX(R.IRR_SM_UP, _xlpm.m),
     _xlpm.bm_up, INDEX(R.IRR_BM_UP, _xlpm.m),
     _xlpm.rfr * (1 + _xlpm.sm_up) + _xlpm.bm_up)</f>
        <v>#N/A</v>
      </c>
      <c r="K124" s="75" t="e">
        <f t="shared" si="6"/>
        <v>#N/A</v>
      </c>
      <c r="L124" s="77">
        <v>3.9170000000000003E-2</v>
      </c>
      <c r="M124" s="75" t="e">
        <f t="shared" si="9"/>
        <v>#N/A</v>
      </c>
      <c r="N124" s="75" t="e">
        <f t="shared" si="8"/>
        <v>#N/A</v>
      </c>
      <c r="O124" s="77">
        <v>4.0169999999999997E-2</v>
      </c>
    </row>
    <row r="125" spans="7:15" x14ac:dyDescent="0.35">
      <c r="G125" s="2">
        <v>104</v>
      </c>
      <c r="H125" s="75">
        <v>0</v>
      </c>
      <c r="I125" s="75" t="e">
        <v>#N/A</v>
      </c>
      <c r="J125" s="75" t="e" cm="1">
        <f t="array" ref="J125">_xlfn.LET(_xlpm.m, G125,
     _xlpm.rfr, I125,
     _xlpm.sm_up, INDEX(R.IRR_SM_UP, _xlpm.m),
     _xlpm.bm_up, INDEX(R.IRR_BM_UP, _xlpm.m),
     _xlpm.rfr * (1 + _xlpm.sm_up) + _xlpm.bm_up)</f>
        <v>#N/A</v>
      </c>
      <c r="K125" s="75" t="e">
        <f t="shared" si="6"/>
        <v>#N/A</v>
      </c>
      <c r="L125" s="77">
        <v>3.9129999999999998E-2</v>
      </c>
      <c r="M125" s="75" t="e">
        <f t="shared" si="9"/>
        <v>#N/A</v>
      </c>
      <c r="N125" s="75" t="e">
        <f t="shared" si="8"/>
        <v>#N/A</v>
      </c>
      <c r="O125" s="77">
        <v>4.0120000000000003E-2</v>
      </c>
    </row>
    <row r="126" spans="7:15" x14ac:dyDescent="0.35">
      <c r="G126" s="2">
        <v>105</v>
      </c>
      <c r="H126" s="75">
        <v>0</v>
      </c>
      <c r="I126" s="75" t="e">
        <v>#N/A</v>
      </c>
      <c r="J126" s="75" t="e" cm="1">
        <f t="array" ref="J126">_xlfn.LET(_xlpm.m, G126,
     _xlpm.rfr, I126,
     _xlpm.sm_up, INDEX(R.IRR_SM_UP, _xlpm.m),
     _xlpm.bm_up, INDEX(R.IRR_BM_UP, _xlpm.m),
     _xlpm.rfr * (1 + _xlpm.sm_up) + _xlpm.bm_up)</f>
        <v>#N/A</v>
      </c>
      <c r="K126" s="75" t="e">
        <f t="shared" si="6"/>
        <v>#N/A</v>
      </c>
      <c r="L126" s="77">
        <v>3.909E-2</v>
      </c>
      <c r="M126" s="75" t="e">
        <f t="shared" si="9"/>
        <v>#N/A</v>
      </c>
      <c r="N126" s="75" t="e">
        <f t="shared" si="8"/>
        <v>#N/A</v>
      </c>
      <c r="O126" s="77">
        <v>4.0059999999999998E-2</v>
      </c>
    </row>
    <row r="127" spans="7:15" x14ac:dyDescent="0.35">
      <c r="G127" s="7">
        <v>106</v>
      </c>
      <c r="H127" s="75">
        <v>0</v>
      </c>
      <c r="I127" s="75" t="e">
        <v>#N/A</v>
      </c>
      <c r="J127" s="75" t="e" cm="1">
        <f t="array" ref="J127">_xlfn.LET(_xlpm.m, G127,
     _xlpm.rfr, I127,
     _xlpm.sm_up, INDEX(R.IRR_SM_UP, _xlpm.m),
     _xlpm.bm_up, INDEX(R.IRR_BM_UP, _xlpm.m),
     _xlpm.rfr * (1 + _xlpm.sm_up) + _xlpm.bm_up)</f>
        <v>#N/A</v>
      </c>
      <c r="K127" s="75" t="e">
        <f t="shared" si="6"/>
        <v>#N/A</v>
      </c>
      <c r="L127" s="77">
        <v>3.9039999999999998E-2</v>
      </c>
      <c r="M127" s="75" t="e">
        <f t="shared" si="9"/>
        <v>#N/A</v>
      </c>
      <c r="N127" s="75" t="e">
        <f t="shared" si="8"/>
        <v>#N/A</v>
      </c>
      <c r="O127" s="77">
        <v>4.0009999999999997E-2</v>
      </c>
    </row>
    <row r="128" spans="7:15" x14ac:dyDescent="0.35">
      <c r="G128" s="7">
        <v>107</v>
      </c>
      <c r="H128" s="75">
        <v>0</v>
      </c>
      <c r="I128" s="75" t="e">
        <v>#N/A</v>
      </c>
      <c r="J128" s="75" t="e" cm="1">
        <f t="array" ref="J128">_xlfn.LET(_xlpm.m, G128,
     _xlpm.rfr, I128,
     _xlpm.sm_up, INDEX(R.IRR_SM_UP, _xlpm.m),
     _xlpm.bm_up, INDEX(R.IRR_BM_UP, _xlpm.m),
     _xlpm.rfr * (1 + _xlpm.sm_up) + _xlpm.bm_up)</f>
        <v>#N/A</v>
      </c>
      <c r="K128" s="75" t="e">
        <f t="shared" si="6"/>
        <v>#N/A</v>
      </c>
      <c r="L128" s="77">
        <v>3.9E-2</v>
      </c>
      <c r="M128" s="75" t="e">
        <f t="shared" si="9"/>
        <v>#N/A</v>
      </c>
      <c r="N128" s="75" t="e">
        <f t="shared" si="8"/>
        <v>#N/A</v>
      </c>
      <c r="O128" s="77">
        <v>3.9960000000000002E-2</v>
      </c>
    </row>
    <row r="129" spans="7:15" x14ac:dyDescent="0.35">
      <c r="G129" s="7">
        <v>108</v>
      </c>
      <c r="H129" s="75">
        <v>0</v>
      </c>
      <c r="I129" s="75" t="e">
        <v>#N/A</v>
      </c>
      <c r="J129" s="75" t="e" cm="1">
        <f t="array" ref="J129">_xlfn.LET(_xlpm.m, G129,
     _xlpm.rfr, I129,
     _xlpm.sm_up, INDEX(R.IRR_SM_UP, _xlpm.m),
     _xlpm.bm_up, INDEX(R.IRR_BM_UP, _xlpm.m),
     _xlpm.rfr * (1 + _xlpm.sm_up) + _xlpm.bm_up)</f>
        <v>#N/A</v>
      </c>
      <c r="K129" s="75" t="e">
        <f t="shared" si="6"/>
        <v>#N/A</v>
      </c>
      <c r="L129" s="77">
        <v>3.8960000000000002E-2</v>
      </c>
      <c r="M129" s="75" t="e">
        <f t="shared" si="9"/>
        <v>#N/A</v>
      </c>
      <c r="N129" s="75" t="e">
        <f t="shared" si="8"/>
        <v>#N/A</v>
      </c>
      <c r="O129" s="77">
        <v>3.9910000000000001E-2</v>
      </c>
    </row>
    <row r="130" spans="7:15" x14ac:dyDescent="0.35">
      <c r="G130" s="2">
        <v>109</v>
      </c>
      <c r="H130" s="75">
        <v>0</v>
      </c>
      <c r="I130" s="75" t="e">
        <v>#N/A</v>
      </c>
      <c r="J130" s="75" t="e" cm="1">
        <f t="array" ref="J130">_xlfn.LET(_xlpm.m, G130,
     _xlpm.rfr, I130,
     _xlpm.sm_up, INDEX(R.IRR_SM_UP, _xlpm.m),
     _xlpm.bm_up, INDEX(R.IRR_BM_UP, _xlpm.m),
     _xlpm.rfr * (1 + _xlpm.sm_up) + _xlpm.bm_up)</f>
        <v>#N/A</v>
      </c>
      <c r="K130" s="75" t="e">
        <f t="shared" si="6"/>
        <v>#N/A</v>
      </c>
      <c r="L130" s="77">
        <v>3.8920000000000003E-2</v>
      </c>
      <c r="M130" s="75" t="e">
        <f t="shared" si="9"/>
        <v>#N/A</v>
      </c>
      <c r="N130" s="75" t="e">
        <f t="shared" si="8"/>
        <v>#N/A</v>
      </c>
      <c r="O130" s="77">
        <v>3.986E-2</v>
      </c>
    </row>
    <row r="131" spans="7:15" x14ac:dyDescent="0.35">
      <c r="G131" s="2">
        <v>110</v>
      </c>
      <c r="H131" s="75">
        <v>0</v>
      </c>
      <c r="I131" s="75" t="e">
        <v>#N/A</v>
      </c>
      <c r="J131" s="75" t="e" cm="1">
        <f t="array" ref="J131">_xlfn.LET(_xlpm.m, G131,
     _xlpm.rfr, I131,
     _xlpm.sm_up, INDEX(R.IRR_SM_UP, _xlpm.m),
     _xlpm.bm_up, INDEX(R.IRR_BM_UP, _xlpm.m),
     _xlpm.rfr * (1 + _xlpm.sm_up) + _xlpm.bm_up)</f>
        <v>#N/A</v>
      </c>
      <c r="K131" s="75" t="e">
        <f t="shared" si="6"/>
        <v>#N/A</v>
      </c>
      <c r="L131" s="77">
        <v>3.8879999999999998E-2</v>
      </c>
      <c r="M131" s="75" t="e">
        <f t="shared" si="9"/>
        <v>#N/A</v>
      </c>
      <c r="N131" s="75" t="e">
        <f t="shared" si="8"/>
        <v>#N/A</v>
      </c>
      <c r="O131" s="77">
        <v>3.9809999999999998E-2</v>
      </c>
    </row>
    <row r="132" spans="7:15" x14ac:dyDescent="0.35">
      <c r="G132" s="7">
        <v>111</v>
      </c>
      <c r="H132" s="75">
        <v>0</v>
      </c>
      <c r="I132" s="75" t="e">
        <v>#N/A</v>
      </c>
      <c r="J132" s="75" t="e" cm="1">
        <f t="array" ref="J132">_xlfn.LET(_xlpm.m, G132,
     _xlpm.rfr, I132,
     _xlpm.sm_up, INDEX(R.IRR_SM_UP, _xlpm.m),
     _xlpm.bm_up, INDEX(R.IRR_BM_UP, _xlpm.m),
     _xlpm.rfr * (1 + _xlpm.sm_up) + _xlpm.bm_up)</f>
        <v>#N/A</v>
      </c>
      <c r="K132" s="75" t="e">
        <f t="shared" si="6"/>
        <v>#N/A</v>
      </c>
      <c r="L132" s="77">
        <v>3.884E-2</v>
      </c>
      <c r="M132" s="75" t="e">
        <f t="shared" si="9"/>
        <v>#N/A</v>
      </c>
      <c r="N132" s="75" t="e">
        <f t="shared" si="8"/>
        <v>#N/A</v>
      </c>
      <c r="O132" s="77">
        <v>3.9759999999999997E-2</v>
      </c>
    </row>
    <row r="133" spans="7:15" x14ac:dyDescent="0.35">
      <c r="G133" s="7">
        <v>112</v>
      </c>
      <c r="H133" s="75">
        <v>0</v>
      </c>
      <c r="I133" s="75" t="e">
        <v>#N/A</v>
      </c>
      <c r="J133" s="75" t="e" cm="1">
        <f t="array" ref="J133">_xlfn.LET(_xlpm.m, G133,
     _xlpm.rfr, I133,
     _xlpm.sm_up, INDEX(R.IRR_SM_UP, _xlpm.m),
     _xlpm.bm_up, INDEX(R.IRR_BM_UP, _xlpm.m),
     _xlpm.rfr * (1 + _xlpm.sm_up) + _xlpm.bm_up)</f>
        <v>#N/A</v>
      </c>
      <c r="K133" s="75" t="e">
        <f t="shared" si="6"/>
        <v>#N/A</v>
      </c>
      <c r="L133" s="77">
        <v>3.8800000000000001E-2</v>
      </c>
      <c r="M133" s="75" t="e">
        <f t="shared" si="9"/>
        <v>#N/A</v>
      </c>
      <c r="N133" s="75" t="e">
        <f t="shared" si="8"/>
        <v>#N/A</v>
      </c>
      <c r="O133" s="77">
        <v>3.9710000000000002E-2</v>
      </c>
    </row>
    <row r="134" spans="7:15" x14ac:dyDescent="0.35">
      <c r="G134" s="7">
        <v>113</v>
      </c>
      <c r="H134" s="75">
        <v>0</v>
      </c>
      <c r="I134" s="75" t="e">
        <v>#N/A</v>
      </c>
      <c r="J134" s="75" t="e" cm="1">
        <f t="array" ref="J134">_xlfn.LET(_xlpm.m, G134,
     _xlpm.rfr, I134,
     _xlpm.sm_up, INDEX(R.IRR_SM_UP, _xlpm.m),
     _xlpm.bm_up, INDEX(R.IRR_BM_UP, _xlpm.m),
     _xlpm.rfr * (1 + _xlpm.sm_up) + _xlpm.bm_up)</f>
        <v>#N/A</v>
      </c>
      <c r="K134" s="75" t="e">
        <f t="shared" si="6"/>
        <v>#N/A</v>
      </c>
      <c r="L134" s="77">
        <v>3.8760000000000003E-2</v>
      </c>
      <c r="M134" s="75" t="e">
        <f t="shared" si="9"/>
        <v>#N/A</v>
      </c>
      <c r="N134" s="75" t="e">
        <f t="shared" si="8"/>
        <v>#N/A</v>
      </c>
      <c r="O134" s="77">
        <v>3.9669999999999997E-2</v>
      </c>
    </row>
    <row r="135" spans="7:15" x14ac:dyDescent="0.35">
      <c r="G135" s="2">
        <v>114</v>
      </c>
      <c r="H135" s="75">
        <v>0</v>
      </c>
      <c r="I135" s="75" t="e">
        <v>#N/A</v>
      </c>
      <c r="J135" s="75" t="e" cm="1">
        <f t="array" ref="J135">_xlfn.LET(_xlpm.m, G135,
     _xlpm.rfr, I135,
     _xlpm.sm_up, INDEX(R.IRR_SM_UP, _xlpm.m),
     _xlpm.bm_up, INDEX(R.IRR_BM_UP, _xlpm.m),
     _xlpm.rfr * (1 + _xlpm.sm_up) + _xlpm.bm_up)</f>
        <v>#N/A</v>
      </c>
      <c r="K135" s="75" t="e">
        <f t="shared" si="6"/>
        <v>#N/A</v>
      </c>
      <c r="L135" s="77">
        <v>3.8719999999999997E-2</v>
      </c>
      <c r="M135" s="75" t="e">
        <f t="shared" si="9"/>
        <v>#N/A</v>
      </c>
      <c r="N135" s="75" t="e">
        <f t="shared" si="8"/>
        <v>#N/A</v>
      </c>
      <c r="O135" s="77">
        <v>3.9620000000000002E-2</v>
      </c>
    </row>
    <row r="136" spans="7:15" x14ac:dyDescent="0.35">
      <c r="G136" s="2">
        <v>115</v>
      </c>
      <c r="H136" s="75">
        <v>0</v>
      </c>
      <c r="I136" s="75" t="e">
        <v>#N/A</v>
      </c>
      <c r="J136" s="75" t="e" cm="1">
        <f t="array" ref="J136">_xlfn.LET(_xlpm.m, G136,
     _xlpm.rfr, I136,
     _xlpm.sm_up, INDEX(R.IRR_SM_UP, _xlpm.m),
     _xlpm.bm_up, INDEX(R.IRR_BM_UP, _xlpm.m),
     _xlpm.rfr * (1 + _xlpm.sm_up) + _xlpm.bm_up)</f>
        <v>#N/A</v>
      </c>
      <c r="K136" s="75" t="e">
        <f t="shared" si="6"/>
        <v>#N/A</v>
      </c>
      <c r="L136" s="77">
        <v>3.8690000000000002E-2</v>
      </c>
      <c r="M136" s="75" t="e">
        <f t="shared" si="9"/>
        <v>#N/A</v>
      </c>
      <c r="N136" s="75" t="e">
        <f t="shared" si="8"/>
        <v>#N/A</v>
      </c>
      <c r="O136" s="77">
        <v>3.9579999999999997E-2</v>
      </c>
    </row>
    <row r="137" spans="7:15" x14ac:dyDescent="0.35">
      <c r="G137" s="7">
        <v>116</v>
      </c>
      <c r="H137" s="75">
        <v>0</v>
      </c>
      <c r="I137" s="75" t="e">
        <v>#N/A</v>
      </c>
      <c r="J137" s="75" t="e" cm="1">
        <f t="array" ref="J137">_xlfn.LET(_xlpm.m, G137,
     _xlpm.rfr, I137,
     _xlpm.sm_up, INDEX(R.IRR_SM_UP, _xlpm.m),
     _xlpm.bm_up, INDEX(R.IRR_BM_UP, _xlpm.m),
     _xlpm.rfr * (1 + _xlpm.sm_up) + _xlpm.bm_up)</f>
        <v>#N/A</v>
      </c>
      <c r="K137" s="75" t="e">
        <f t="shared" si="6"/>
        <v>#N/A</v>
      </c>
      <c r="L137" s="77">
        <v>3.8649999999999997E-2</v>
      </c>
      <c r="M137" s="75" t="e">
        <f t="shared" si="9"/>
        <v>#N/A</v>
      </c>
      <c r="N137" s="75" t="e">
        <f t="shared" si="8"/>
        <v>#N/A</v>
      </c>
      <c r="O137" s="77">
        <v>3.9530000000000003E-2</v>
      </c>
    </row>
    <row r="138" spans="7:15" x14ac:dyDescent="0.35">
      <c r="G138" s="7">
        <v>117</v>
      </c>
      <c r="H138" s="75">
        <v>0</v>
      </c>
      <c r="I138" s="75" t="e">
        <v>#N/A</v>
      </c>
      <c r="J138" s="75" t="e" cm="1">
        <f t="array" ref="J138">_xlfn.LET(_xlpm.m, G138,
     _xlpm.rfr, I138,
     _xlpm.sm_up, INDEX(R.IRR_SM_UP, _xlpm.m),
     _xlpm.bm_up, INDEX(R.IRR_BM_UP, _xlpm.m),
     _xlpm.rfr * (1 + _xlpm.sm_up) + _xlpm.bm_up)</f>
        <v>#N/A</v>
      </c>
      <c r="K138" s="75" t="e">
        <f t="shared" si="6"/>
        <v>#N/A</v>
      </c>
      <c r="L138" s="77">
        <v>3.8609999999999998E-2</v>
      </c>
      <c r="M138" s="75" t="e">
        <f t="shared" si="9"/>
        <v>#N/A</v>
      </c>
      <c r="N138" s="75" t="e">
        <f t="shared" si="8"/>
        <v>#N/A</v>
      </c>
      <c r="O138" s="77">
        <v>3.9489999999999997E-2</v>
      </c>
    </row>
    <row r="139" spans="7:15" x14ac:dyDescent="0.35">
      <c r="G139" s="7">
        <v>118</v>
      </c>
      <c r="H139" s="75">
        <v>0</v>
      </c>
      <c r="I139" s="75" t="e">
        <v>#N/A</v>
      </c>
      <c r="J139" s="75" t="e" cm="1">
        <f t="array" ref="J139">_xlfn.LET(_xlpm.m, G139,
     _xlpm.rfr, I139,
     _xlpm.sm_up, INDEX(R.IRR_SM_UP, _xlpm.m),
     _xlpm.bm_up, INDEX(R.IRR_BM_UP, _xlpm.m),
     _xlpm.rfr * (1 + _xlpm.sm_up) + _xlpm.bm_up)</f>
        <v>#N/A</v>
      </c>
      <c r="K139" s="75" t="e">
        <f t="shared" si="6"/>
        <v>#N/A</v>
      </c>
      <c r="L139" s="77">
        <v>3.8580000000000003E-2</v>
      </c>
      <c r="M139" s="75" t="e">
        <f t="shared" si="9"/>
        <v>#N/A</v>
      </c>
      <c r="N139" s="75" t="e">
        <f t="shared" si="8"/>
        <v>#N/A</v>
      </c>
      <c r="O139" s="77">
        <v>3.9449999999999999E-2</v>
      </c>
    </row>
    <row r="140" spans="7:15" x14ac:dyDescent="0.35">
      <c r="G140" s="2">
        <v>119</v>
      </c>
      <c r="H140" s="75">
        <v>0</v>
      </c>
      <c r="I140" s="75" t="e">
        <v>#N/A</v>
      </c>
      <c r="J140" s="75" t="e" cm="1">
        <f t="array" ref="J140">_xlfn.LET(_xlpm.m, G140,
     _xlpm.rfr, I140,
     _xlpm.sm_up, INDEX(R.IRR_SM_UP, _xlpm.m),
     _xlpm.bm_up, INDEX(R.IRR_BM_UP, _xlpm.m),
     _xlpm.rfr * (1 + _xlpm.sm_up) + _xlpm.bm_up)</f>
        <v>#N/A</v>
      </c>
      <c r="K140" s="75" t="e">
        <f t="shared" si="6"/>
        <v>#N/A</v>
      </c>
      <c r="L140" s="77">
        <v>3.8539999999999998E-2</v>
      </c>
      <c r="M140" s="75" t="e">
        <f t="shared" si="9"/>
        <v>#N/A</v>
      </c>
      <c r="N140" s="75" t="e">
        <f t="shared" si="8"/>
        <v>#N/A</v>
      </c>
      <c r="O140" s="77">
        <v>3.9410000000000001E-2</v>
      </c>
    </row>
    <row r="141" spans="7:15" x14ac:dyDescent="0.35">
      <c r="G141" s="2">
        <v>120</v>
      </c>
      <c r="H141" s="75">
        <v>0</v>
      </c>
      <c r="I141" s="75" t="e">
        <v>#N/A</v>
      </c>
      <c r="J141" s="75" t="e" cm="1">
        <f t="array" ref="J141">_xlfn.LET(_xlpm.m, G141,
     _xlpm.rfr, I141,
     _xlpm.sm_up, INDEX(R.IRR_SM_UP, _xlpm.m),
     _xlpm.bm_up, INDEX(R.IRR_BM_UP, _xlpm.m),
     _xlpm.rfr * (1 + _xlpm.sm_up) + _xlpm.bm_up)</f>
        <v>#N/A</v>
      </c>
      <c r="K141" s="75" t="e">
        <f t="shared" si="6"/>
        <v>#N/A</v>
      </c>
      <c r="L141" s="77">
        <v>3.8510000000000003E-2</v>
      </c>
      <c r="M141" s="75" t="e">
        <f t="shared" si="9"/>
        <v>#N/A</v>
      </c>
      <c r="N141" s="75" t="e">
        <f t="shared" si="8"/>
        <v>#N/A</v>
      </c>
      <c r="O141" s="77">
        <v>3.9370000000000002E-2</v>
      </c>
    </row>
    <row r="142" spans="7:15" x14ac:dyDescent="0.35">
      <c r="G142" s="7">
        <v>121</v>
      </c>
      <c r="H142" s="75">
        <v>0</v>
      </c>
      <c r="I142" s="75" t="e">
        <v>#N/A</v>
      </c>
      <c r="J142" s="75" t="e" cm="1">
        <f t="array" ref="J142">_xlfn.LET(_xlpm.m, G142,
     _xlpm.rfr, I142,
     _xlpm.sm_up, INDEX(R.IRR_SM_UP, _xlpm.m),
     _xlpm.bm_up, INDEX(R.IRR_BM_UP, _xlpm.m),
     _xlpm.rfr * (1 + _xlpm.sm_up) + _xlpm.bm_up)</f>
        <v>#N/A</v>
      </c>
      <c r="K142" s="75" t="e">
        <f t="shared" si="6"/>
        <v>#N/A</v>
      </c>
      <c r="L142" s="77">
        <v>3.848E-2</v>
      </c>
      <c r="M142" s="75" t="e">
        <f t="shared" si="9"/>
        <v>#N/A</v>
      </c>
      <c r="N142" s="75" t="e">
        <f t="shared" si="8"/>
        <v>#N/A</v>
      </c>
      <c r="O142" s="77">
        <v>3.9329999999999997E-2</v>
      </c>
    </row>
    <row r="143" spans="7:15" x14ac:dyDescent="0.35">
      <c r="G143" s="7">
        <v>122</v>
      </c>
      <c r="H143" s="75">
        <v>0</v>
      </c>
      <c r="I143" s="75" t="e">
        <v>#N/A</v>
      </c>
      <c r="J143" s="75" t="e" cm="1">
        <f t="array" ref="J143">_xlfn.LET(_xlpm.m, G143,
     _xlpm.rfr, I143,
     _xlpm.sm_up, INDEX(R.IRR_SM_UP, _xlpm.m),
     _xlpm.bm_up, INDEX(R.IRR_BM_UP, _xlpm.m),
     _xlpm.rfr * (1 + _xlpm.sm_up) + _xlpm.bm_up)</f>
        <v>#N/A</v>
      </c>
      <c r="K143" s="75" t="e">
        <f t="shared" si="6"/>
        <v>#N/A</v>
      </c>
      <c r="L143" s="77">
        <v>3.8440000000000002E-2</v>
      </c>
      <c r="M143" s="75" t="e">
        <f t="shared" si="9"/>
        <v>#N/A</v>
      </c>
      <c r="N143" s="75" t="e">
        <f t="shared" si="8"/>
        <v>#N/A</v>
      </c>
      <c r="O143" s="77">
        <v>3.9289999999999999E-2</v>
      </c>
    </row>
    <row r="144" spans="7:15" x14ac:dyDescent="0.35">
      <c r="G144" s="7">
        <v>123</v>
      </c>
      <c r="H144" s="75">
        <v>0</v>
      </c>
      <c r="I144" s="75" t="e">
        <v>#N/A</v>
      </c>
      <c r="J144" s="75" t="e" cm="1">
        <f t="array" ref="J144">_xlfn.LET(_xlpm.m, G144,
     _xlpm.rfr, I144,
     _xlpm.sm_up, INDEX(R.IRR_SM_UP, _xlpm.m),
     _xlpm.bm_up, INDEX(R.IRR_BM_UP, _xlpm.m),
     _xlpm.rfr * (1 + _xlpm.sm_up) + _xlpm.bm_up)</f>
        <v>#N/A</v>
      </c>
      <c r="K144" s="75" t="e">
        <f t="shared" si="6"/>
        <v>#N/A</v>
      </c>
      <c r="L144" s="77">
        <v>3.841E-2</v>
      </c>
      <c r="M144" s="75" t="e">
        <f t="shared" si="9"/>
        <v>#N/A</v>
      </c>
      <c r="N144" s="75" t="e">
        <f t="shared" si="8"/>
        <v>#N/A</v>
      </c>
      <c r="O144" s="77">
        <v>3.925E-2</v>
      </c>
    </row>
    <row r="145" spans="7:15" x14ac:dyDescent="0.35">
      <c r="G145" s="2">
        <v>124</v>
      </c>
      <c r="H145" s="75">
        <v>0</v>
      </c>
      <c r="I145" s="75" t="e">
        <v>#N/A</v>
      </c>
      <c r="J145" s="75" t="e" cm="1">
        <f t="array" ref="J145">_xlfn.LET(_xlpm.m, G145,
     _xlpm.rfr, I145,
     _xlpm.sm_up, INDEX(R.IRR_SM_UP, _xlpm.m),
     _xlpm.bm_up, INDEX(R.IRR_BM_UP, _xlpm.m),
     _xlpm.rfr * (1 + _xlpm.sm_up) + _xlpm.bm_up)</f>
        <v>#N/A</v>
      </c>
      <c r="K145" s="75" t="e">
        <f t="shared" si="6"/>
        <v>#N/A</v>
      </c>
      <c r="L145" s="77">
        <v>3.8379999999999997E-2</v>
      </c>
      <c r="M145" s="75" t="e">
        <f t="shared" si="9"/>
        <v>#N/A</v>
      </c>
      <c r="N145" s="75" t="e">
        <f t="shared" si="8"/>
        <v>#N/A</v>
      </c>
      <c r="O145" s="77">
        <v>3.9210000000000002E-2</v>
      </c>
    </row>
    <row r="146" spans="7:15" x14ac:dyDescent="0.35">
      <c r="G146" s="2">
        <v>125</v>
      </c>
      <c r="H146" s="75">
        <v>0</v>
      </c>
      <c r="I146" s="75" t="e">
        <v>#N/A</v>
      </c>
      <c r="J146" s="75" t="e" cm="1">
        <f t="array" ref="J146">_xlfn.LET(_xlpm.m, G146,
     _xlpm.rfr, I146,
     _xlpm.sm_up, INDEX(R.IRR_SM_UP, _xlpm.m),
     _xlpm.bm_up, INDEX(R.IRR_BM_UP, _xlpm.m),
     _xlpm.rfr * (1 + _xlpm.sm_up) + _xlpm.bm_up)</f>
        <v>#N/A</v>
      </c>
      <c r="K146" s="75" t="e">
        <f t="shared" si="6"/>
        <v>#N/A</v>
      </c>
      <c r="L146" s="77">
        <v>3.8350000000000002E-2</v>
      </c>
      <c r="M146" s="75" t="e">
        <f t="shared" si="9"/>
        <v>#N/A</v>
      </c>
      <c r="N146" s="75" t="e">
        <f t="shared" si="8"/>
        <v>#N/A</v>
      </c>
      <c r="O146" s="77">
        <v>3.9170000000000003E-2</v>
      </c>
    </row>
    <row r="147" spans="7:15" x14ac:dyDescent="0.35">
      <c r="G147" s="7">
        <v>126</v>
      </c>
      <c r="H147" s="75">
        <v>0</v>
      </c>
      <c r="I147" s="75" t="e">
        <v>#N/A</v>
      </c>
      <c r="J147" s="75" t="e" cm="1">
        <f t="array" ref="J147">_xlfn.LET(_xlpm.m, G147,
     _xlpm.rfr, I147,
     _xlpm.sm_up, INDEX(R.IRR_SM_UP, _xlpm.m),
     _xlpm.bm_up, INDEX(R.IRR_BM_UP, _xlpm.m),
     _xlpm.rfr * (1 + _xlpm.sm_up) + _xlpm.bm_up)</f>
        <v>#N/A</v>
      </c>
      <c r="K147" s="75" t="e">
        <f t="shared" si="6"/>
        <v>#N/A</v>
      </c>
      <c r="L147" s="77">
        <v>3.832E-2</v>
      </c>
      <c r="M147" s="75" t="e">
        <f t="shared" si="9"/>
        <v>#N/A</v>
      </c>
      <c r="N147" s="75" t="e">
        <f t="shared" si="8"/>
        <v>#N/A</v>
      </c>
      <c r="O147" s="77">
        <v>3.9129999999999998E-2</v>
      </c>
    </row>
    <row r="148" spans="7:15" x14ac:dyDescent="0.35">
      <c r="G148" s="7">
        <v>127</v>
      </c>
      <c r="H148" s="75">
        <v>0</v>
      </c>
      <c r="I148" s="75" t="e">
        <v>#N/A</v>
      </c>
      <c r="J148" s="75" t="e" cm="1">
        <f t="array" ref="J148">_xlfn.LET(_xlpm.m, G148,
     _xlpm.rfr, I148,
     _xlpm.sm_up, INDEX(R.IRR_SM_UP, _xlpm.m),
     _xlpm.bm_up, INDEX(R.IRR_BM_UP, _xlpm.m),
     _xlpm.rfr * (1 + _xlpm.sm_up) + _xlpm.bm_up)</f>
        <v>#N/A</v>
      </c>
      <c r="K148" s="75" t="e">
        <f t="shared" si="6"/>
        <v>#N/A</v>
      </c>
      <c r="L148" s="77">
        <v>3.8289999999999998E-2</v>
      </c>
      <c r="M148" s="75" t="e">
        <f t="shared" si="9"/>
        <v>#N/A</v>
      </c>
      <c r="N148" s="75" t="e">
        <f t="shared" si="8"/>
        <v>#N/A</v>
      </c>
      <c r="O148" s="77">
        <v>3.9100000000000003E-2</v>
      </c>
    </row>
    <row r="149" spans="7:15" x14ac:dyDescent="0.35">
      <c r="G149" s="7">
        <v>128</v>
      </c>
      <c r="H149" s="75">
        <v>0</v>
      </c>
      <c r="I149" s="75" t="e">
        <v>#N/A</v>
      </c>
      <c r="J149" s="75" t="e" cm="1">
        <f t="array" ref="J149">_xlfn.LET(_xlpm.m, G149,
     _xlpm.rfr, I149,
     _xlpm.sm_up, INDEX(R.IRR_SM_UP, _xlpm.m),
     _xlpm.bm_up, INDEX(R.IRR_BM_UP, _xlpm.m),
     _xlpm.rfr * (1 + _xlpm.sm_up) + _xlpm.bm_up)</f>
        <v>#N/A</v>
      </c>
      <c r="K149" s="75" t="e">
        <f t="shared" si="6"/>
        <v>#N/A</v>
      </c>
      <c r="L149" s="77">
        <v>3.8260000000000002E-2</v>
      </c>
      <c r="M149" s="75" t="e">
        <f t="shared" si="9"/>
        <v>#N/A</v>
      </c>
      <c r="N149" s="75" t="e">
        <f t="shared" si="8"/>
        <v>#N/A</v>
      </c>
      <c r="O149" s="77">
        <v>3.9059999999999997E-2</v>
      </c>
    </row>
    <row r="150" spans="7:15" x14ac:dyDescent="0.35">
      <c r="G150" s="2">
        <v>129</v>
      </c>
      <c r="H150" s="75">
        <v>0</v>
      </c>
      <c r="I150" s="75" t="e">
        <v>#N/A</v>
      </c>
      <c r="J150" s="75" t="e" cm="1">
        <f t="array" ref="J150">_xlfn.LET(_xlpm.m, G150,
     _xlpm.rfr, I150,
     _xlpm.sm_up, INDEX(R.IRR_SM_UP, _xlpm.m),
     _xlpm.bm_up, INDEX(R.IRR_BM_UP, _xlpm.m),
     _xlpm.rfr * (1 + _xlpm.sm_up) + _xlpm.bm_up)</f>
        <v>#N/A</v>
      </c>
      <c r="K150" s="75" t="e">
        <f t="shared" si="6"/>
        <v>#N/A</v>
      </c>
      <c r="L150" s="77">
        <v>3.823E-2</v>
      </c>
      <c r="M150" s="75" t="e">
        <f t="shared" si="9"/>
        <v>#N/A</v>
      </c>
      <c r="N150" s="75" t="e">
        <f t="shared" ref="N150:N171" si="10">M150+LN(1+V.TOTAL_VA)</f>
        <v>#N/A</v>
      </c>
      <c r="O150" s="77">
        <v>3.9030000000000002E-2</v>
      </c>
    </row>
    <row r="151" spans="7:15" x14ac:dyDescent="0.35">
      <c r="G151" s="2">
        <v>130</v>
      </c>
      <c r="H151" s="75">
        <v>0</v>
      </c>
      <c r="I151" s="75" t="e">
        <v>#N/A</v>
      </c>
      <c r="J151" s="75" t="e" cm="1">
        <f t="array" ref="J151">_xlfn.LET(_xlpm.m, G151,
     _xlpm.rfr, I151,
     _xlpm.sm_up, INDEX(R.IRR_SM_UP, _xlpm.m),
     _xlpm.bm_up, INDEX(R.IRR_BM_UP, _xlpm.m),
     _xlpm.rfr * (1 + _xlpm.sm_up) + _xlpm.bm_up)</f>
        <v>#N/A</v>
      </c>
      <c r="K151" s="75" t="e">
        <f t="shared" ref="K151:K171" si="11">LN(1+J151)</f>
        <v>#N/A</v>
      </c>
      <c r="L151" s="77">
        <v>3.8199999999999998E-2</v>
      </c>
      <c r="M151" s="75" t="e">
        <f t="shared" ref="M151:M171" si="12">G151*K151-G150*K150</f>
        <v>#N/A</v>
      </c>
      <c r="N151" s="75" t="e">
        <f t="shared" si="10"/>
        <v>#N/A</v>
      </c>
      <c r="O151" s="77">
        <v>3.8989999999999997E-2</v>
      </c>
    </row>
    <row r="152" spans="7:15" x14ac:dyDescent="0.35">
      <c r="G152" s="7">
        <v>131</v>
      </c>
      <c r="H152" s="75">
        <v>0</v>
      </c>
      <c r="I152" s="75" t="e">
        <v>#N/A</v>
      </c>
      <c r="J152" s="75" t="e" cm="1">
        <f t="array" ref="J152">_xlfn.LET(_xlpm.m, G152,
     _xlpm.rfr, I152,
     _xlpm.sm_up, INDEX(R.IRR_SM_UP, _xlpm.m),
     _xlpm.bm_up, INDEX(R.IRR_BM_UP, _xlpm.m),
     _xlpm.rfr * (1 + _xlpm.sm_up) + _xlpm.bm_up)</f>
        <v>#N/A</v>
      </c>
      <c r="K152" s="75" t="e">
        <f t="shared" si="11"/>
        <v>#N/A</v>
      </c>
      <c r="L152" s="77">
        <v>3.8170000000000003E-2</v>
      </c>
      <c r="M152" s="75" t="e">
        <f t="shared" si="12"/>
        <v>#N/A</v>
      </c>
      <c r="N152" s="75" t="e">
        <f t="shared" si="10"/>
        <v>#N/A</v>
      </c>
      <c r="O152" s="77">
        <v>3.8960000000000002E-2</v>
      </c>
    </row>
    <row r="153" spans="7:15" x14ac:dyDescent="0.35">
      <c r="G153" s="7">
        <v>132</v>
      </c>
      <c r="H153" s="75">
        <v>0</v>
      </c>
      <c r="I153" s="75" t="e">
        <v>#N/A</v>
      </c>
      <c r="J153" s="75" t="e" cm="1">
        <f t="array" ref="J153">_xlfn.LET(_xlpm.m, G153,
     _xlpm.rfr, I153,
     _xlpm.sm_up, INDEX(R.IRR_SM_UP, _xlpm.m),
     _xlpm.bm_up, INDEX(R.IRR_BM_UP, _xlpm.m),
     _xlpm.rfr * (1 + _xlpm.sm_up) + _xlpm.bm_up)</f>
        <v>#N/A</v>
      </c>
      <c r="K153" s="75" t="e">
        <f t="shared" si="11"/>
        <v>#N/A</v>
      </c>
      <c r="L153" s="77">
        <v>3.8150000000000003E-2</v>
      </c>
      <c r="M153" s="75" t="e">
        <f t="shared" si="12"/>
        <v>#N/A</v>
      </c>
      <c r="N153" s="75" t="e">
        <f t="shared" si="10"/>
        <v>#N/A</v>
      </c>
      <c r="O153" s="77">
        <v>3.8920000000000003E-2</v>
      </c>
    </row>
    <row r="154" spans="7:15" x14ac:dyDescent="0.35">
      <c r="G154" s="7">
        <v>133</v>
      </c>
      <c r="H154" s="75">
        <v>0</v>
      </c>
      <c r="I154" s="75" t="e">
        <v>#N/A</v>
      </c>
      <c r="J154" s="75" t="e" cm="1">
        <f t="array" ref="J154">_xlfn.LET(_xlpm.m, G154,
     _xlpm.rfr, I154,
     _xlpm.sm_up, INDEX(R.IRR_SM_UP, _xlpm.m),
     _xlpm.bm_up, INDEX(R.IRR_BM_UP, _xlpm.m),
     _xlpm.rfr * (1 + _xlpm.sm_up) + _xlpm.bm_up)</f>
        <v>#N/A</v>
      </c>
      <c r="K154" s="75" t="e">
        <f t="shared" si="11"/>
        <v>#N/A</v>
      </c>
      <c r="L154" s="77">
        <v>3.8120000000000001E-2</v>
      </c>
      <c r="M154" s="75" t="e">
        <f t="shared" si="12"/>
        <v>#N/A</v>
      </c>
      <c r="N154" s="75" t="e">
        <f t="shared" si="10"/>
        <v>#N/A</v>
      </c>
      <c r="O154" s="77">
        <v>3.8890000000000001E-2</v>
      </c>
    </row>
    <row r="155" spans="7:15" x14ac:dyDescent="0.35">
      <c r="G155" s="2">
        <v>134</v>
      </c>
      <c r="H155" s="75">
        <v>0</v>
      </c>
      <c r="I155" s="75" t="e">
        <v>#N/A</v>
      </c>
      <c r="J155" s="75" t="e" cm="1">
        <f t="array" ref="J155">_xlfn.LET(_xlpm.m, G155,
     _xlpm.rfr, I155,
     _xlpm.sm_up, INDEX(R.IRR_SM_UP, _xlpm.m),
     _xlpm.bm_up, INDEX(R.IRR_BM_UP, _xlpm.m),
     _xlpm.rfr * (1 + _xlpm.sm_up) + _xlpm.bm_up)</f>
        <v>#N/A</v>
      </c>
      <c r="K155" s="75" t="e">
        <f t="shared" si="11"/>
        <v>#N/A</v>
      </c>
      <c r="L155" s="77">
        <v>3.8089999999999999E-2</v>
      </c>
      <c r="M155" s="75" t="e">
        <f t="shared" si="12"/>
        <v>#N/A</v>
      </c>
      <c r="N155" s="75" t="e">
        <f t="shared" si="10"/>
        <v>#N/A</v>
      </c>
      <c r="O155" s="77">
        <v>3.8859999999999999E-2</v>
      </c>
    </row>
    <row r="156" spans="7:15" x14ac:dyDescent="0.35">
      <c r="G156" s="2">
        <v>135</v>
      </c>
      <c r="H156" s="75">
        <v>0</v>
      </c>
      <c r="I156" s="75" t="e">
        <v>#N/A</v>
      </c>
      <c r="J156" s="75" t="e" cm="1">
        <f t="array" ref="J156">_xlfn.LET(_xlpm.m, G156,
     _xlpm.rfr, I156,
     _xlpm.sm_up, INDEX(R.IRR_SM_UP, _xlpm.m),
     _xlpm.bm_up, INDEX(R.IRR_BM_UP, _xlpm.m),
     _xlpm.rfr * (1 + _xlpm.sm_up) + _xlpm.bm_up)</f>
        <v>#N/A</v>
      </c>
      <c r="K156" s="75" t="e">
        <f t="shared" si="11"/>
        <v>#N/A</v>
      </c>
      <c r="L156" s="77">
        <v>3.8059999999999997E-2</v>
      </c>
      <c r="M156" s="75" t="e">
        <f t="shared" si="12"/>
        <v>#N/A</v>
      </c>
      <c r="N156" s="75" t="e">
        <f t="shared" si="10"/>
        <v>#N/A</v>
      </c>
      <c r="O156" s="77">
        <v>3.882E-2</v>
      </c>
    </row>
    <row r="157" spans="7:15" x14ac:dyDescent="0.35">
      <c r="G157" s="7">
        <v>136</v>
      </c>
      <c r="H157" s="75">
        <v>0</v>
      </c>
      <c r="I157" s="75" t="e">
        <v>#N/A</v>
      </c>
      <c r="J157" s="75" t="e" cm="1">
        <f t="array" ref="J157">_xlfn.LET(_xlpm.m, G157,
     _xlpm.rfr, I157,
     _xlpm.sm_up, INDEX(R.IRR_SM_UP, _xlpm.m),
     _xlpm.bm_up, INDEX(R.IRR_BM_UP, _xlpm.m),
     _xlpm.rfr * (1 + _xlpm.sm_up) + _xlpm.bm_up)</f>
        <v>#N/A</v>
      </c>
      <c r="K157" s="75" t="e">
        <f t="shared" si="11"/>
        <v>#N/A</v>
      </c>
      <c r="L157" s="77">
        <v>3.8039999999999997E-2</v>
      </c>
      <c r="M157" s="75" t="e">
        <f t="shared" si="12"/>
        <v>#N/A</v>
      </c>
      <c r="N157" s="75" t="e">
        <f t="shared" si="10"/>
        <v>#N/A</v>
      </c>
      <c r="O157" s="77">
        <v>3.8789999999999998E-2</v>
      </c>
    </row>
    <row r="158" spans="7:15" x14ac:dyDescent="0.35">
      <c r="G158" s="7">
        <v>137</v>
      </c>
      <c r="H158" s="75">
        <v>0</v>
      </c>
      <c r="I158" s="75" t="e">
        <v>#N/A</v>
      </c>
      <c r="J158" s="75" t="e" cm="1">
        <f t="array" ref="J158">_xlfn.LET(_xlpm.m, G158,
     _xlpm.rfr, I158,
     _xlpm.sm_up, INDEX(R.IRR_SM_UP, _xlpm.m),
     _xlpm.bm_up, INDEX(R.IRR_BM_UP, _xlpm.m),
     _xlpm.rfr * (1 + _xlpm.sm_up) + _xlpm.bm_up)</f>
        <v>#N/A</v>
      </c>
      <c r="K158" s="75" t="e">
        <f t="shared" si="11"/>
        <v>#N/A</v>
      </c>
      <c r="L158" s="77">
        <v>3.8010000000000002E-2</v>
      </c>
      <c r="M158" s="75" t="e">
        <f t="shared" si="12"/>
        <v>#N/A</v>
      </c>
      <c r="N158" s="75" t="e">
        <f t="shared" si="10"/>
        <v>#N/A</v>
      </c>
      <c r="O158" s="77">
        <v>3.8760000000000003E-2</v>
      </c>
    </row>
    <row r="159" spans="7:15" x14ac:dyDescent="0.35">
      <c r="G159" s="7">
        <v>138</v>
      </c>
      <c r="H159" s="75">
        <v>0</v>
      </c>
      <c r="I159" s="75" t="e">
        <v>#N/A</v>
      </c>
      <c r="J159" s="75" t="e" cm="1">
        <f t="array" ref="J159">_xlfn.LET(_xlpm.m, G159,
     _xlpm.rfr, I159,
     _xlpm.sm_up, INDEX(R.IRR_SM_UP, _xlpm.m),
     _xlpm.bm_up, INDEX(R.IRR_BM_UP, _xlpm.m),
     _xlpm.rfr * (1 + _xlpm.sm_up) + _xlpm.bm_up)</f>
        <v>#N/A</v>
      </c>
      <c r="K159" s="75" t="e">
        <f t="shared" si="11"/>
        <v>#N/A</v>
      </c>
      <c r="L159" s="77">
        <v>3.7990000000000003E-2</v>
      </c>
      <c r="M159" s="75" t="e">
        <f t="shared" si="12"/>
        <v>#N/A</v>
      </c>
      <c r="N159" s="75" t="e">
        <f t="shared" si="10"/>
        <v>#N/A</v>
      </c>
      <c r="O159" s="77">
        <v>3.8730000000000001E-2</v>
      </c>
    </row>
    <row r="160" spans="7:15" x14ac:dyDescent="0.35">
      <c r="G160" s="2">
        <v>139</v>
      </c>
      <c r="H160" s="75">
        <v>0</v>
      </c>
      <c r="I160" s="75" t="e">
        <v>#N/A</v>
      </c>
      <c r="J160" s="75" t="e" cm="1">
        <f t="array" ref="J160">_xlfn.LET(_xlpm.m, G160,
     _xlpm.rfr, I160,
     _xlpm.sm_up, INDEX(R.IRR_SM_UP, _xlpm.m),
     _xlpm.bm_up, INDEX(R.IRR_BM_UP, _xlpm.m),
     _xlpm.rfr * (1 + _xlpm.sm_up) + _xlpm.bm_up)</f>
        <v>#N/A</v>
      </c>
      <c r="K160" s="75" t="e">
        <f t="shared" si="11"/>
        <v>#N/A</v>
      </c>
      <c r="L160" s="77">
        <v>3.7960000000000001E-2</v>
      </c>
      <c r="M160" s="75" t="e">
        <f t="shared" si="12"/>
        <v>#N/A</v>
      </c>
      <c r="N160" s="75" t="e">
        <f t="shared" si="10"/>
        <v>#N/A</v>
      </c>
      <c r="O160" s="77">
        <v>3.8699999999999998E-2</v>
      </c>
    </row>
    <row r="161" spans="7:15" x14ac:dyDescent="0.35">
      <c r="G161" s="2">
        <v>140</v>
      </c>
      <c r="H161" s="75">
        <v>0</v>
      </c>
      <c r="I161" s="75" t="e">
        <v>#N/A</v>
      </c>
      <c r="J161" s="75" t="e" cm="1">
        <f t="array" ref="J161">_xlfn.LET(_xlpm.m, G161,
     _xlpm.rfr, I161,
     _xlpm.sm_up, INDEX(R.IRR_SM_UP, _xlpm.m),
     _xlpm.bm_up, INDEX(R.IRR_BM_UP, _xlpm.m),
     _xlpm.rfr * (1 + _xlpm.sm_up) + _xlpm.bm_up)</f>
        <v>#N/A</v>
      </c>
      <c r="K161" s="75" t="e">
        <f t="shared" si="11"/>
        <v>#N/A</v>
      </c>
      <c r="L161" s="77">
        <v>3.7940000000000002E-2</v>
      </c>
      <c r="M161" s="75" t="e">
        <f t="shared" si="12"/>
        <v>#N/A</v>
      </c>
      <c r="N161" s="75" t="e">
        <f t="shared" si="10"/>
        <v>#N/A</v>
      </c>
      <c r="O161" s="77">
        <v>3.8670000000000003E-2</v>
      </c>
    </row>
    <row r="162" spans="7:15" x14ac:dyDescent="0.35">
      <c r="G162" s="7">
        <v>141</v>
      </c>
      <c r="H162" s="75">
        <v>0</v>
      </c>
      <c r="I162" s="75" t="e">
        <v>#N/A</v>
      </c>
      <c r="J162" s="75" t="e" cm="1">
        <f t="array" ref="J162">_xlfn.LET(_xlpm.m, G162,
     _xlpm.rfr, I162,
     _xlpm.sm_up, INDEX(R.IRR_SM_UP, _xlpm.m),
     _xlpm.bm_up, INDEX(R.IRR_BM_UP, _xlpm.m),
     _xlpm.rfr * (1 + _xlpm.sm_up) + _xlpm.bm_up)</f>
        <v>#N/A</v>
      </c>
      <c r="K162" s="75" t="e">
        <f t="shared" si="11"/>
        <v>#N/A</v>
      </c>
      <c r="L162" s="77">
        <v>3.7909999999999999E-2</v>
      </c>
      <c r="M162" s="75" t="e">
        <f t="shared" si="12"/>
        <v>#N/A</v>
      </c>
      <c r="N162" s="75" t="e">
        <f t="shared" si="10"/>
        <v>#N/A</v>
      </c>
      <c r="O162" s="77">
        <v>3.8640000000000001E-2</v>
      </c>
    </row>
    <row r="163" spans="7:15" x14ac:dyDescent="0.35">
      <c r="G163" s="7">
        <v>142</v>
      </c>
      <c r="H163" s="75">
        <v>0</v>
      </c>
      <c r="I163" s="75" t="e">
        <v>#N/A</v>
      </c>
      <c r="J163" s="75" t="e" cm="1">
        <f t="array" ref="J163">_xlfn.LET(_xlpm.m, G163,
     _xlpm.rfr, I163,
     _xlpm.sm_up, INDEX(R.IRR_SM_UP, _xlpm.m),
     _xlpm.bm_up, INDEX(R.IRR_BM_UP, _xlpm.m),
     _xlpm.rfr * (1 + _xlpm.sm_up) + _xlpm.bm_up)</f>
        <v>#N/A</v>
      </c>
      <c r="K163" s="75" t="e">
        <f t="shared" si="11"/>
        <v>#N/A</v>
      </c>
      <c r="L163" s="77">
        <v>3.789E-2</v>
      </c>
      <c r="M163" s="75" t="e">
        <f t="shared" si="12"/>
        <v>#N/A</v>
      </c>
      <c r="N163" s="75" t="e">
        <f t="shared" si="10"/>
        <v>#N/A</v>
      </c>
      <c r="O163" s="77">
        <v>3.8609999999999998E-2</v>
      </c>
    </row>
    <row r="164" spans="7:15" x14ac:dyDescent="0.35">
      <c r="G164" s="7">
        <v>143</v>
      </c>
      <c r="H164" s="75">
        <v>0</v>
      </c>
      <c r="I164" s="75" t="e">
        <v>#N/A</v>
      </c>
      <c r="J164" s="75" t="e" cm="1">
        <f t="array" ref="J164">_xlfn.LET(_xlpm.m, G164,
     _xlpm.rfr, I164,
     _xlpm.sm_up, INDEX(R.IRR_SM_UP, _xlpm.m),
     _xlpm.bm_up, INDEX(R.IRR_BM_UP, _xlpm.m),
     _xlpm.rfr * (1 + _xlpm.sm_up) + _xlpm.bm_up)</f>
        <v>#N/A</v>
      </c>
      <c r="K164" s="75" t="e">
        <f t="shared" si="11"/>
        <v>#N/A</v>
      </c>
      <c r="L164" s="77">
        <v>3.7859999999999998E-2</v>
      </c>
      <c r="M164" s="75" t="e">
        <f t="shared" si="12"/>
        <v>#N/A</v>
      </c>
      <c r="N164" s="75" t="e">
        <f t="shared" si="10"/>
        <v>#N/A</v>
      </c>
      <c r="O164" s="77">
        <v>3.8580000000000003E-2</v>
      </c>
    </row>
    <row r="165" spans="7:15" x14ac:dyDescent="0.35">
      <c r="G165" s="2">
        <v>144</v>
      </c>
      <c r="H165" s="75">
        <v>0</v>
      </c>
      <c r="I165" s="75" t="e">
        <v>#N/A</v>
      </c>
      <c r="J165" s="75" t="e" cm="1">
        <f t="array" ref="J165">_xlfn.LET(_xlpm.m, G165,
     _xlpm.rfr, I165,
     _xlpm.sm_up, INDEX(R.IRR_SM_UP, _xlpm.m),
     _xlpm.bm_up, INDEX(R.IRR_BM_UP, _xlpm.m),
     _xlpm.rfr * (1 + _xlpm.sm_up) + _xlpm.bm_up)</f>
        <v>#N/A</v>
      </c>
      <c r="K165" s="75" t="e">
        <f t="shared" si="11"/>
        <v>#N/A</v>
      </c>
      <c r="L165" s="77">
        <v>3.7839999999999999E-2</v>
      </c>
      <c r="M165" s="75" t="e">
        <f t="shared" si="12"/>
        <v>#N/A</v>
      </c>
      <c r="N165" s="75" t="e">
        <f t="shared" si="10"/>
        <v>#N/A</v>
      </c>
      <c r="O165" s="77">
        <v>3.8550000000000001E-2</v>
      </c>
    </row>
    <row r="166" spans="7:15" x14ac:dyDescent="0.35">
      <c r="G166" s="2">
        <v>145</v>
      </c>
      <c r="H166" s="75">
        <v>0</v>
      </c>
      <c r="I166" s="75" t="e">
        <v>#N/A</v>
      </c>
      <c r="J166" s="75" t="e" cm="1">
        <f t="array" ref="J166">_xlfn.LET(_xlpm.m, G166,
     _xlpm.rfr, I166,
     _xlpm.sm_up, INDEX(R.IRR_SM_UP, _xlpm.m),
     _xlpm.bm_up, INDEX(R.IRR_BM_UP, _xlpm.m),
     _xlpm.rfr * (1 + _xlpm.sm_up) + _xlpm.bm_up)</f>
        <v>#N/A</v>
      </c>
      <c r="K166" s="75" t="e">
        <f t="shared" si="11"/>
        <v>#N/A</v>
      </c>
      <c r="L166" s="77">
        <v>3.7819999999999999E-2</v>
      </c>
      <c r="M166" s="75" t="e">
        <f t="shared" si="12"/>
        <v>#N/A</v>
      </c>
      <c r="N166" s="75" t="e">
        <f t="shared" si="10"/>
        <v>#N/A</v>
      </c>
      <c r="O166" s="77">
        <v>3.8530000000000002E-2</v>
      </c>
    </row>
    <row r="167" spans="7:15" x14ac:dyDescent="0.35">
      <c r="G167" s="7">
        <v>146</v>
      </c>
      <c r="H167" s="75">
        <v>0</v>
      </c>
      <c r="I167" s="75" t="e">
        <v>#N/A</v>
      </c>
      <c r="J167" s="75" t="e" cm="1">
        <f t="array" ref="J167">_xlfn.LET(_xlpm.m, G167,
     _xlpm.rfr, I167,
     _xlpm.sm_up, INDEX(R.IRR_SM_UP, _xlpm.m),
     _xlpm.bm_up, INDEX(R.IRR_BM_UP, _xlpm.m),
     _xlpm.rfr * (1 + _xlpm.sm_up) + _xlpm.bm_up)</f>
        <v>#N/A</v>
      </c>
      <c r="K167" s="75" t="e">
        <f t="shared" si="11"/>
        <v>#N/A</v>
      </c>
      <c r="L167" s="77">
        <v>3.78E-2</v>
      </c>
      <c r="M167" s="75" t="e">
        <f t="shared" si="12"/>
        <v>#N/A</v>
      </c>
      <c r="N167" s="75" t="e">
        <f t="shared" si="10"/>
        <v>#N/A</v>
      </c>
      <c r="O167" s="77">
        <v>3.85E-2</v>
      </c>
    </row>
    <row r="168" spans="7:15" x14ac:dyDescent="0.35">
      <c r="G168" s="7">
        <v>147</v>
      </c>
      <c r="H168" s="75">
        <v>0</v>
      </c>
      <c r="I168" s="75" t="e">
        <v>#N/A</v>
      </c>
      <c r="J168" s="75" t="e" cm="1">
        <f t="array" ref="J168">_xlfn.LET(_xlpm.m, G168,
     _xlpm.rfr, I168,
     _xlpm.sm_up, INDEX(R.IRR_SM_UP, _xlpm.m),
     _xlpm.bm_up, INDEX(R.IRR_BM_UP, _xlpm.m),
     _xlpm.rfr * (1 + _xlpm.sm_up) + _xlpm.bm_up)</f>
        <v>#N/A</v>
      </c>
      <c r="K168" s="75" t="e">
        <f t="shared" si="11"/>
        <v>#N/A</v>
      </c>
      <c r="L168" s="77">
        <v>3.7769999999999998E-2</v>
      </c>
      <c r="M168" s="75" t="e">
        <f t="shared" si="12"/>
        <v>#N/A</v>
      </c>
      <c r="N168" s="75" t="e">
        <f t="shared" si="10"/>
        <v>#N/A</v>
      </c>
      <c r="O168" s="77">
        <v>3.8469999999999997E-2</v>
      </c>
    </row>
    <row r="169" spans="7:15" x14ac:dyDescent="0.35">
      <c r="G169" s="7">
        <v>148</v>
      </c>
      <c r="H169" s="75">
        <v>0</v>
      </c>
      <c r="I169" s="75" t="e">
        <v>#N/A</v>
      </c>
      <c r="J169" s="75" t="e" cm="1">
        <f t="array" ref="J169">_xlfn.LET(_xlpm.m, G169,
     _xlpm.rfr, I169,
     _xlpm.sm_up, INDEX(R.IRR_SM_UP, _xlpm.m),
     _xlpm.bm_up, INDEX(R.IRR_BM_UP, _xlpm.m),
     _xlpm.rfr * (1 + _xlpm.sm_up) + _xlpm.bm_up)</f>
        <v>#N/A</v>
      </c>
      <c r="K169" s="75" t="e">
        <f t="shared" si="11"/>
        <v>#N/A</v>
      </c>
      <c r="L169" s="77">
        <v>3.7749999999999999E-2</v>
      </c>
      <c r="M169" s="75" t="e">
        <f t="shared" si="12"/>
        <v>#N/A</v>
      </c>
      <c r="N169" s="75" t="e">
        <f t="shared" si="10"/>
        <v>#N/A</v>
      </c>
      <c r="O169" s="77">
        <v>3.8440000000000002E-2</v>
      </c>
    </row>
    <row r="170" spans="7:15" x14ac:dyDescent="0.35">
      <c r="G170" s="2">
        <v>149</v>
      </c>
      <c r="H170" s="75">
        <v>0</v>
      </c>
      <c r="I170" s="75" t="e">
        <v>#N/A</v>
      </c>
      <c r="J170" s="75" t="e" cm="1">
        <f t="array" ref="J170">_xlfn.LET(_xlpm.m, G170,
     _xlpm.rfr, I170,
     _xlpm.sm_up, INDEX(R.IRR_SM_UP, _xlpm.m),
     _xlpm.bm_up, INDEX(R.IRR_BM_UP, _xlpm.m),
     _xlpm.rfr * (1 + _xlpm.sm_up) + _xlpm.bm_up)</f>
        <v>#N/A</v>
      </c>
      <c r="K170" s="75" t="e">
        <f t="shared" si="11"/>
        <v>#N/A</v>
      </c>
      <c r="L170" s="77">
        <v>3.773E-2</v>
      </c>
      <c r="M170" s="75" t="e">
        <f t="shared" si="12"/>
        <v>#N/A</v>
      </c>
      <c r="N170" s="75" t="e">
        <f t="shared" si="10"/>
        <v>#N/A</v>
      </c>
      <c r="O170" s="77">
        <v>3.8420000000000003E-2</v>
      </c>
    </row>
    <row r="171" spans="7:15" x14ac:dyDescent="0.35">
      <c r="G171" s="2">
        <v>150</v>
      </c>
      <c r="H171" s="75">
        <v>0</v>
      </c>
      <c r="I171" s="75" t="e">
        <v>#N/A</v>
      </c>
      <c r="J171" s="75" t="e" cm="1">
        <f t="array" ref="J171">_xlfn.LET(_xlpm.m, G171,
     _xlpm.rfr, I171,
     _xlpm.sm_up, INDEX(R.IRR_SM_UP, _xlpm.m),
     _xlpm.bm_up, INDEX(R.IRR_BM_UP, _xlpm.m),
     _xlpm.rfr * (1 + _xlpm.sm_up) + _xlpm.bm_up)</f>
        <v>#N/A</v>
      </c>
      <c r="K171" s="75" t="e">
        <f t="shared" si="11"/>
        <v>#N/A</v>
      </c>
      <c r="L171" s="78">
        <v>3.771E-2</v>
      </c>
      <c r="M171" s="75" t="e">
        <f t="shared" si="12"/>
        <v>#N/A</v>
      </c>
      <c r="N171" s="75" t="e">
        <f t="shared" si="10"/>
        <v>#N/A</v>
      </c>
      <c r="O171" s="77">
        <v>3.8390000000000001E-2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8.8667892939701173E-3</v>
      </c>
      <c r="M19" s="16" t="s">
        <v>125</v>
      </c>
      <c r="N19" s="74" cm="1">
        <f t="array" ref="N19">_xlfn.LET(_xlpm.FIRST_LLFR_WEIGHT, INDEX(R.LLFR_WEIGHTS, V.FSP),
     V.LLFR_IRR_DOWN + _xlpm.FIRST_LLFR_WEIGHT * LN(1+V.TOTAL_VA))</f>
        <v>1.2261022361985735E-2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3.261E-2</v>
      </c>
      <c r="I22" s="75" cm="1">
        <f t="array" ref="I22:I171">_xlfn.LET(_xlpm.LLP, MAX(_xlfn._xlws.FILTER(R.MATURITY,R.DLT=1)),
     BootstrapCurve(V.INSTRUMENT,_xlfn.ANCHORARRAY(H22),R.DLT,"A",V.CRA,V.COUPON_FREQ,_xlpm.LLP,"A", "Z"))</f>
        <v>3.2610000000000028E-2</v>
      </c>
      <c r="J22" s="75" cm="1">
        <f t="array" ref="J22">_xlfn.LET(_xlpm.m, G22,
     _xlpm.rfr, I22,
     _xlpm.sm_down, INDEX(R.IRR_SM_DOWN, _xlpm.m),
     _xlpm.bm_down, INDEX(R.IRR_BM_DOWN, _xlpm.m),
     _xlpm.rfr * (1 - _xlpm.sm_down) - _xlpm.bm_down)</f>
        <v>2.0962000000000133E-3</v>
      </c>
      <c r="K22" s="75">
        <f>LN(1+J22)</f>
        <v>2.0940060382334501E-3</v>
      </c>
      <c r="L22" s="76" cm="1">
        <f t="array" ref="L22:L171">_xlfn.BYROW(_xlfn.HSTACK(ROUND(Extrapolation(R.IRR_SHOCK_DOWN_CC, "Z", V.FSP, V.UFR_DOWN, V.LLFR_IRR_DOWN, V.ALPHA, "A"), 5), R.RM_FLOOR), _xlfn.LAMBDA(_xlpm.r, MAX(_xlpm.r )))</f>
        <v>2.0999999999999999E-3</v>
      </c>
      <c r="M22" s="75">
        <f>K22</f>
        <v>2.0940060382334501E-3</v>
      </c>
      <c r="N22" s="75">
        <f t="shared" ref="N22:N53" si="0">M22+LN(1+V.TOTAL_VA)</f>
        <v>5.4882391062490675E-3</v>
      </c>
      <c r="O22" s="76" cm="1">
        <f t="array" ref="O22:O171">_xlfn.BYROW(_xlfn.HSTACK(ROUND(Extrapolation(N22:N171, "F", V.FSP,V.UFR_DOWN,V.LLFR_STAR_IRR_DOWN,V.ALPHA,"A"), 5),R.RM_FLOOR), _xlfn.LAMBDA(_xlpm.r, MAX(_xlpm.r)))</f>
        <v>5.4999999999999997E-3</v>
      </c>
    </row>
    <row r="23" spans="6:18" x14ac:dyDescent="0.35">
      <c r="G23" s="7">
        <v>2</v>
      </c>
      <c r="H23" s="75">
        <v>3.4290000000000001E-2</v>
      </c>
      <c r="I23" s="75">
        <v>3.4289999999999932E-2</v>
      </c>
      <c r="J23" s="75" cm="1">
        <f t="array" ref="J23">_xlfn.LET(_xlpm.m, G23,
     _xlpm.rfr, I23,
     _xlpm.sm_down, INDEX(R.IRR_SM_DOWN, _xlpm.m),
     _xlpm.bm_down, INDEX(R.IRR_BM_DOWN, _xlpm.m),
     _xlpm.rfr * (1 - _xlpm.sm_down) - _xlpm.bm_down)</f>
        <v>6.9020999999999649E-3</v>
      </c>
      <c r="K23" s="75">
        <f t="shared" ref="K23:K86" si="1">LN(1+J23)</f>
        <v>6.8783895465531573E-3</v>
      </c>
      <c r="L23" s="77">
        <v>6.8999999999999999E-3</v>
      </c>
      <c r="M23" s="75">
        <f t="shared" ref="M23:M54" si="2">G23*K23-G22*K22</f>
        <v>1.1662773054872864E-2</v>
      </c>
      <c r="N23" s="75">
        <f t="shared" si="0"/>
        <v>1.5057006122888482E-2</v>
      </c>
      <c r="O23" s="77">
        <v>1.0330000000000001E-2</v>
      </c>
    </row>
    <row r="24" spans="6:18" x14ac:dyDescent="0.35">
      <c r="G24" s="7">
        <v>3</v>
      </c>
      <c r="H24" s="75">
        <v>3.4599999999999999E-2</v>
      </c>
      <c r="I24" s="75">
        <v>3.4599999999999964E-2</v>
      </c>
      <c r="J24" s="75" cm="1">
        <f t="array" ref="J24">_xlfn.LET(_xlpm.m, G24,
     _xlpm.rfr, I24,
     _xlpm.sm_down, INDEX(R.IRR_SM_DOWN, _xlpm.m),
     _xlpm.bm_down, INDEX(R.IRR_BM_DOWN, _xlpm.m),
     _xlpm.rfr * (1 - _xlpm.sm_down) - _xlpm.bm_down)</f>
        <v>1.107599999999998E-2</v>
      </c>
      <c r="K24" s="75">
        <f t="shared" si="1"/>
        <v>1.1015110308923473E-2</v>
      </c>
      <c r="L24" s="77">
        <v>1.108E-2</v>
      </c>
      <c r="M24" s="75">
        <f t="shared" si="2"/>
        <v>1.9288551833664107E-2</v>
      </c>
      <c r="N24" s="75">
        <f t="shared" si="0"/>
        <v>2.2682784901679725E-2</v>
      </c>
      <c r="O24" s="77">
        <v>1.451E-2</v>
      </c>
    </row>
    <row r="25" spans="6:18" x14ac:dyDescent="0.35">
      <c r="G25" s="2">
        <v>4</v>
      </c>
      <c r="H25" s="75">
        <v>3.4720000000000001E-2</v>
      </c>
      <c r="I25" s="75">
        <v>3.4720000000000084E-2</v>
      </c>
      <c r="J25" s="75" cm="1">
        <f t="array" ref="J25">_xlfn.LET(_xlpm.m, G25,
     _xlpm.rfr, I25,
     _xlpm.sm_down, INDEX(R.IRR_SM_DOWN, _xlpm.m),
     _xlpm.bm_down, INDEX(R.IRR_BM_DOWN, _xlpm.m),
     _xlpm.rfr * (1 - _xlpm.sm_down) - _xlpm.bm_down)</f>
        <v>1.3432000000000048E-2</v>
      </c>
      <c r="K25" s="75">
        <f t="shared" si="1"/>
        <v>1.3342590431076351E-2</v>
      </c>
      <c r="L25" s="77">
        <v>1.3429999999999999E-2</v>
      </c>
      <c r="M25" s="75">
        <f t="shared" si="2"/>
        <v>2.0325030797534983E-2</v>
      </c>
      <c r="N25" s="75">
        <f t="shared" si="0"/>
        <v>2.3719263865550601E-2</v>
      </c>
      <c r="O25" s="77">
        <v>1.6879999999999999E-2</v>
      </c>
    </row>
    <row r="26" spans="6:18" x14ac:dyDescent="0.35">
      <c r="G26" s="2">
        <v>5</v>
      </c>
      <c r="H26" s="75">
        <v>3.4779999999999998E-2</v>
      </c>
      <c r="I26" s="75">
        <v>3.4780000000000033E-2</v>
      </c>
      <c r="J26" s="75" cm="1">
        <f t="array" ref="J26">_xlfn.LET(_xlpm.m, G26,
     _xlpm.rfr, I26,
     _xlpm.sm_down, INDEX(R.IRR_SM_DOWN, _xlpm.m),
     _xlpm.bm_down, INDEX(R.IRR_BM_DOWN, _xlpm.m),
     _xlpm.rfr * (1 - _xlpm.sm_down) - _xlpm.bm_down)</f>
        <v>1.3768000000000018E-2</v>
      </c>
      <c r="K26" s="75">
        <f t="shared" si="1"/>
        <v>1.3674082146818973E-2</v>
      </c>
      <c r="L26" s="77">
        <v>1.3769999999999999E-2</v>
      </c>
      <c r="M26" s="75">
        <f t="shared" si="2"/>
        <v>1.5000049009789455E-2</v>
      </c>
      <c r="N26" s="75">
        <f t="shared" si="0"/>
        <v>1.8394282077805073E-2</v>
      </c>
      <c r="O26" s="77">
        <v>1.721E-2</v>
      </c>
    </row>
    <row r="27" spans="6:18" x14ac:dyDescent="0.35">
      <c r="G27" s="7">
        <v>6</v>
      </c>
      <c r="H27" s="75">
        <v>3.4869999999999998E-2</v>
      </c>
      <c r="I27" s="75">
        <v>3.4869999999999957E-2</v>
      </c>
      <c r="J27" s="75" cm="1">
        <f t="array" ref="J27">_xlfn.LET(_xlpm.m, G27,
     _xlpm.rfr, I27,
     _xlpm.sm_down, INDEX(R.IRR_SM_DOWN, _xlpm.m),
     _xlpm.bm_down, INDEX(R.IRR_BM_DOWN, _xlpm.m),
     _xlpm.rfr * (1 - _xlpm.sm_down) - _xlpm.bm_down)</f>
        <v>1.4919399999999972E-2</v>
      </c>
      <c r="K27" s="75">
        <f t="shared" si="1"/>
        <v>1.4809200473704499E-2</v>
      </c>
      <c r="L27" s="77">
        <v>1.4919999999999999E-2</v>
      </c>
      <c r="M27" s="75">
        <f t="shared" si="2"/>
        <v>2.048479210813213E-2</v>
      </c>
      <c r="N27" s="75">
        <f t="shared" si="0"/>
        <v>2.3879025176147747E-2</v>
      </c>
      <c r="O27" s="77">
        <v>1.8370000000000001E-2</v>
      </c>
    </row>
    <row r="28" spans="6:18" x14ac:dyDescent="0.35">
      <c r="G28" s="7">
        <v>7</v>
      </c>
      <c r="H28" s="75">
        <v>3.5020000000000003E-2</v>
      </c>
      <c r="I28" s="75">
        <v>3.5020000000000051E-2</v>
      </c>
      <c r="J28" s="75" cm="1">
        <f t="array" ref="J28">_xlfn.LET(_xlpm.m, G28,
     _xlpm.rfr, I28,
     _xlpm.sm_down, INDEX(R.IRR_SM_DOWN, _xlpm.m),
     _xlpm.bm_down, INDEX(R.IRR_BM_DOWN, _xlpm.m),
     _xlpm.rfr * (1 - _xlpm.sm_down) - _xlpm.bm_down)</f>
        <v>1.5762600000000033E-2</v>
      </c>
      <c r="K28" s="75">
        <f t="shared" si="1"/>
        <v>1.5639660435885102E-2</v>
      </c>
      <c r="L28" s="77">
        <v>1.576E-2</v>
      </c>
      <c r="M28" s="75">
        <f t="shared" si="2"/>
        <v>2.062242020896872E-2</v>
      </c>
      <c r="N28" s="75">
        <f t="shared" si="0"/>
        <v>2.4016653276984337E-2</v>
      </c>
      <c r="O28" s="77">
        <v>1.9220000000000001E-2</v>
      </c>
    </row>
    <row r="29" spans="6:18" x14ac:dyDescent="0.35">
      <c r="G29" s="7">
        <v>8</v>
      </c>
      <c r="H29" s="75">
        <v>3.5220000000000001E-2</v>
      </c>
      <c r="I29" s="75">
        <v>3.5220000000000029E-2</v>
      </c>
      <c r="J29" s="75" cm="1">
        <f t="array" ref="J29">_xlfn.LET(_xlpm.m, G29,
     _xlpm.rfr, I29,
     _xlpm.sm_down, INDEX(R.IRR_SM_DOWN, _xlpm.m),
     _xlpm.bm_down, INDEX(R.IRR_BM_DOWN, _xlpm.m),
     _xlpm.rfr * (1 - _xlpm.sm_down) - _xlpm.bm_down)</f>
        <v>1.5636400000000016E-2</v>
      </c>
      <c r="K29" s="75">
        <f t="shared" si="1"/>
        <v>1.5515411088354341E-2</v>
      </c>
      <c r="L29" s="77">
        <v>1.5640000000000001E-2</v>
      </c>
      <c r="M29" s="75">
        <f t="shared" si="2"/>
        <v>1.4645665655639017E-2</v>
      </c>
      <c r="N29" s="75">
        <f t="shared" si="0"/>
        <v>1.8039898723654635E-2</v>
      </c>
      <c r="O29" s="77">
        <v>1.9089999999999999E-2</v>
      </c>
    </row>
    <row r="30" spans="6:18" x14ac:dyDescent="0.35">
      <c r="G30" s="2">
        <v>9</v>
      </c>
      <c r="H30" s="75">
        <v>3.5430000000000003E-2</v>
      </c>
      <c r="I30" s="75">
        <v>3.5430000000000073E-2</v>
      </c>
      <c r="J30" s="75" cm="1">
        <f t="array" ref="J30">_xlfn.LET(_xlpm.m, G30,
     _xlpm.rfr, I30,
     _xlpm.sm_down, INDEX(R.IRR_SM_DOWN, _xlpm.m),
     _xlpm.bm_down, INDEX(R.IRR_BM_DOWN, _xlpm.m),
     _xlpm.rfr * (1 - _xlpm.sm_down) - _xlpm.bm_down)</f>
        <v>1.5512300000000041E-2</v>
      </c>
      <c r="K30" s="75">
        <f t="shared" si="1"/>
        <v>1.5393214224920095E-2</v>
      </c>
      <c r="L30" s="77">
        <v>1.5509999999999999E-2</v>
      </c>
      <c r="M30" s="75">
        <f t="shared" si="2"/>
        <v>1.4415639317446133E-2</v>
      </c>
      <c r="N30" s="75">
        <f t="shared" si="0"/>
        <v>1.780987238546175E-2</v>
      </c>
      <c r="O30" s="77">
        <v>1.8970000000000001E-2</v>
      </c>
    </row>
    <row r="31" spans="6:18" x14ac:dyDescent="0.35">
      <c r="G31" s="2">
        <v>10</v>
      </c>
      <c r="H31" s="75">
        <v>3.567E-2</v>
      </c>
      <c r="I31" s="75">
        <v>3.5670000000000091E-2</v>
      </c>
      <c r="J31" s="75" cm="1">
        <f t="array" ref="J31">_xlfn.LET(_xlpm.m, G31,
     _xlpm.rfr, I31,
     _xlpm.sm_down, INDEX(R.IRR_SM_DOWN, _xlpm.m),
     _xlpm.bm_down, INDEX(R.IRR_BM_DOWN, _xlpm.m),
     _xlpm.rfr * (1 - _xlpm.sm_down) - _xlpm.bm_down)</f>
        <v>1.5302000000000052E-2</v>
      </c>
      <c r="K31" s="75">
        <f t="shared" si="1"/>
        <v>1.5186105184224729E-2</v>
      </c>
      <c r="L31" s="77">
        <v>1.5299999999999999E-2</v>
      </c>
      <c r="M31" s="75">
        <f t="shared" si="2"/>
        <v>1.3322123817966436E-2</v>
      </c>
      <c r="N31" s="75">
        <f t="shared" si="0"/>
        <v>1.6716356885982053E-2</v>
      </c>
      <c r="O31" s="77">
        <v>1.8749999999999999E-2</v>
      </c>
    </row>
    <row r="32" spans="6:18" x14ac:dyDescent="0.35">
      <c r="G32" s="7">
        <v>11</v>
      </c>
      <c r="H32" s="75">
        <v>3.5869999999999999E-2</v>
      </c>
      <c r="I32" s="75">
        <v>3.5870000000000068E-2</v>
      </c>
      <c r="J32" s="75" cm="1">
        <f t="array" ref="J32">_xlfn.LET(_xlpm.m, G32,
     _xlpm.rfr, I32,
     _xlpm.sm_down, INDEX(R.IRR_SM_DOWN, _xlpm.m),
     _xlpm.bm_down, INDEX(R.IRR_BM_DOWN, _xlpm.m),
     _xlpm.rfr * (1 - _xlpm.sm_down) - _xlpm.bm_down)</f>
        <v>1.5163300000000044E-2</v>
      </c>
      <c r="K32" s="75">
        <f t="shared" si="1"/>
        <v>1.5049486252380987E-2</v>
      </c>
      <c r="L32" s="77">
        <v>1.516E-2</v>
      </c>
      <c r="M32" s="75">
        <f t="shared" si="2"/>
        <v>1.3683296933943545E-2</v>
      </c>
      <c r="N32" s="75">
        <f t="shared" si="0"/>
        <v>1.7077530001959162E-2</v>
      </c>
      <c r="O32" s="77">
        <v>1.8610000000000002E-2</v>
      </c>
    </row>
    <row r="33" spans="7:15" x14ac:dyDescent="0.35">
      <c r="G33" s="7">
        <v>12</v>
      </c>
      <c r="H33" s="75">
        <v>3.6060000000000002E-2</v>
      </c>
      <c r="I33" s="75">
        <v>3.6059999999999981E-2</v>
      </c>
      <c r="J33" s="75" cm="1">
        <f t="array" ref="J33">_xlfn.LET(_xlpm.m, G33,
     _xlpm.rfr, I33,
     _xlpm.sm_down, INDEX(R.IRR_SM_DOWN, _xlpm.m),
     _xlpm.bm_down, INDEX(R.IRR_BM_DOWN, _xlpm.m),
     _xlpm.rfr * (1 - _xlpm.sm_down) - _xlpm.bm_down)</f>
        <v>1.491479999999999E-2</v>
      </c>
      <c r="K33" s="75">
        <f t="shared" si="1"/>
        <v>1.4804668083817651E-2</v>
      </c>
      <c r="L33" s="77">
        <v>1.491E-2</v>
      </c>
      <c r="M33" s="75">
        <f t="shared" si="2"/>
        <v>1.2111668229620953E-2</v>
      </c>
      <c r="N33" s="75">
        <f t="shared" si="0"/>
        <v>1.5505901297636571E-2</v>
      </c>
      <c r="O33" s="77">
        <v>1.8370000000000001E-2</v>
      </c>
    </row>
    <row r="34" spans="7:15" x14ac:dyDescent="0.35">
      <c r="G34" s="7">
        <v>13</v>
      </c>
      <c r="H34" s="75">
        <v>3.6200000000000003E-2</v>
      </c>
      <c r="I34" s="75">
        <v>3.620000000000001E-2</v>
      </c>
      <c r="J34" s="75" cm="1">
        <f t="array" ref="J34">_xlfn.LET(_xlpm.m, G34,
     _xlpm.rfr, I34,
     _xlpm.sm_down, INDEX(R.IRR_SM_DOWN, _xlpm.m),
     _xlpm.bm_down, INDEX(R.IRR_BM_DOWN, _xlpm.m),
     _xlpm.rfr * (1 - _xlpm.sm_down) - _xlpm.bm_down)</f>
        <v>1.4734000000000008E-2</v>
      </c>
      <c r="K34" s="75">
        <f t="shared" si="1"/>
        <v>1.462650918216127E-2</v>
      </c>
      <c r="L34" s="77">
        <v>1.473E-2</v>
      </c>
      <c r="M34" s="75">
        <f t="shared" si="2"/>
        <v>1.2488602362284718E-2</v>
      </c>
      <c r="N34" s="75">
        <f t="shared" si="0"/>
        <v>1.5882835430300335E-2</v>
      </c>
      <c r="O34" s="77">
        <v>1.8180000000000002E-2</v>
      </c>
    </row>
    <row r="35" spans="7:15" x14ac:dyDescent="0.35">
      <c r="G35" s="2">
        <v>14</v>
      </c>
      <c r="H35" s="75">
        <v>3.6290000000000003E-2</v>
      </c>
      <c r="I35" s="75">
        <v>3.6289999999999933E-2</v>
      </c>
      <c r="J35" s="75" cm="1">
        <f t="array" ref="J35">_xlfn.LET(_xlpm.m, G35,
     _xlpm.rfr, I35,
     _xlpm.sm_down, INDEX(R.IRR_SM_DOWN, _xlpm.m),
     _xlpm.bm_down, INDEX(R.IRR_BM_DOWN, _xlpm.m),
     _xlpm.rfr * (1 - _xlpm.sm_down) - _xlpm.bm_down)</f>
        <v>1.4522399999999967E-2</v>
      </c>
      <c r="K35" s="75">
        <f t="shared" si="1"/>
        <v>1.4417959882263029E-2</v>
      </c>
      <c r="L35" s="77">
        <v>1.452E-2</v>
      </c>
      <c r="M35" s="75">
        <f t="shared" si="2"/>
        <v>1.1706818983585887E-2</v>
      </c>
      <c r="N35" s="75">
        <f t="shared" si="0"/>
        <v>1.5101052051601505E-2</v>
      </c>
      <c r="O35" s="77">
        <v>1.797E-2</v>
      </c>
    </row>
    <row r="36" spans="7:15" x14ac:dyDescent="0.35">
      <c r="G36" s="2">
        <v>15</v>
      </c>
      <c r="H36" s="75">
        <v>3.6330000000000001E-2</v>
      </c>
      <c r="I36" s="75">
        <v>3.6329999999999973E-2</v>
      </c>
      <c r="J36" s="75" cm="1">
        <f t="array" ref="J36">_xlfn.LET(_xlpm.m, G36,
     _xlpm.rfr, I36,
     _xlpm.sm_down, INDEX(R.IRR_SM_DOWN, _xlpm.m),
     _xlpm.bm_down, INDEX(R.IRR_BM_DOWN, _xlpm.m),
     _xlpm.rfr * (1 - _xlpm.sm_down) - _xlpm.bm_down)</f>
        <v>1.4281499999999985E-2</v>
      </c>
      <c r="K36" s="75">
        <f t="shared" si="1"/>
        <v>1.4180480053747281E-2</v>
      </c>
      <c r="L36" s="77">
        <v>1.4279999999999999E-2</v>
      </c>
      <c r="M36" s="75">
        <f t="shared" si="2"/>
        <v>1.0855762454526824E-2</v>
      </c>
      <c r="N36" s="75">
        <f t="shared" si="0"/>
        <v>1.4249995522542441E-2</v>
      </c>
      <c r="O36" s="77">
        <v>1.7729999999999999E-2</v>
      </c>
    </row>
    <row r="37" spans="7:15" x14ac:dyDescent="0.35">
      <c r="G37" s="7">
        <v>16</v>
      </c>
      <c r="H37" s="75">
        <v>3.6299999999999999E-2</v>
      </c>
      <c r="I37" s="75">
        <v>3.6214980852973477E-2</v>
      </c>
      <c r="J37" s="75" cm="1">
        <f t="array" ref="J37">_xlfn.LET(_xlpm.m, G37,
     _xlpm.rfr, I37,
     _xlpm.sm_down, INDEX(R.IRR_SM_DOWN, _xlpm.m),
     _xlpm.bm_down, INDEX(R.IRR_BM_DOWN, _xlpm.m),
     _xlpm.rfr * (1 - _xlpm.sm_down) - _xlpm.bm_down)</f>
        <v>1.3593939852075944E-2</v>
      </c>
      <c r="K37" s="75">
        <f t="shared" si="1"/>
        <v>1.3502371171161149E-2</v>
      </c>
      <c r="L37" s="77">
        <v>1.359E-2</v>
      </c>
      <c r="M37" s="75">
        <f t="shared" si="2"/>
        <v>3.3307379323691544E-3</v>
      </c>
      <c r="N37" s="75">
        <f t="shared" si="0"/>
        <v>6.7249710003847718E-3</v>
      </c>
      <c r="O37" s="77">
        <v>1.704E-2</v>
      </c>
    </row>
    <row r="38" spans="7:15" x14ac:dyDescent="0.35">
      <c r="G38" s="7">
        <v>17</v>
      </c>
      <c r="H38" s="75">
        <v>3.6220000000000002E-2</v>
      </c>
      <c r="I38" s="75">
        <v>3.6113503971563432E-2</v>
      </c>
      <c r="J38" s="75" cm="1">
        <f t="array" ref="J38">_xlfn.LET(_xlpm.m, G38,
     _xlpm.rfr, I38,
     _xlpm.sm_down, INDEX(R.IRR_SM_DOWN, _xlpm.m),
     _xlpm.bm_down, INDEX(R.IRR_BM_DOWN, _xlpm.m),
     _xlpm.rfr * (1 - _xlpm.sm_down) - _xlpm.bm_down)</f>
        <v>1.3279022065212984E-2</v>
      </c>
      <c r="K38" s="75">
        <f t="shared" si="1"/>
        <v>1.3191628667497724E-2</v>
      </c>
      <c r="L38" s="77">
        <v>1.328E-2</v>
      </c>
      <c r="M38" s="75">
        <f t="shared" si="2"/>
        <v>8.219748608882943E-3</v>
      </c>
      <c r="N38" s="75">
        <f t="shared" si="0"/>
        <v>1.161398167689856E-2</v>
      </c>
      <c r="O38" s="77">
        <v>1.6719999999999999E-2</v>
      </c>
    </row>
    <row r="39" spans="7:15" x14ac:dyDescent="0.35">
      <c r="G39" s="7">
        <v>18</v>
      </c>
      <c r="H39" s="75">
        <v>3.6110000000000003E-2</v>
      </c>
      <c r="I39" s="75">
        <v>3.6023310641960515E-2</v>
      </c>
      <c r="J39" s="75" cm="1">
        <f t="array" ref="J39">_xlfn.LET(_xlpm.m, G39,
     _xlpm.rfr, I39,
     _xlpm.sm_down, INDEX(R.IRR_SM_DOWN, _xlpm.m),
     _xlpm.bm_down, INDEX(R.IRR_BM_DOWN, _xlpm.m),
     _xlpm.rfr * (1 - _xlpm.sm_down) - _xlpm.bm_down)</f>
        <v>1.2971888427399861E-2</v>
      </c>
      <c r="K39" s="75">
        <f t="shared" si="1"/>
        <v>1.2888474069441921E-2</v>
      </c>
      <c r="L39" s="77">
        <v>1.2970000000000001E-2</v>
      </c>
      <c r="M39" s="75">
        <f t="shared" si="2"/>
        <v>7.7348459024932648E-3</v>
      </c>
      <c r="N39" s="75">
        <f t="shared" si="0"/>
        <v>1.1129078970508882E-2</v>
      </c>
      <c r="O39" s="77">
        <v>1.6420000000000001E-2</v>
      </c>
    </row>
    <row r="40" spans="7:15" x14ac:dyDescent="0.35">
      <c r="G40" s="2">
        <v>19</v>
      </c>
      <c r="H40" s="75">
        <v>3.5990000000000001E-2</v>
      </c>
      <c r="I40" s="75">
        <v>3.594261800219023E-2</v>
      </c>
      <c r="J40" s="75" cm="1">
        <f t="array" ref="J40">_xlfn.LET(_xlpm.m, G40,
     _xlpm.rfr, I40,
     _xlpm.sm_down, INDEX(R.IRR_SM_DOWN, _xlpm.m),
     _xlpm.bm_down, INDEX(R.IRR_BM_DOWN, _xlpm.m),
     _xlpm.rfr * (1 - _xlpm.sm_down) - _xlpm.bm_down)</f>
        <v>1.3130735181117018E-2</v>
      </c>
      <c r="K40" s="75">
        <f t="shared" si="1"/>
        <v>1.3045274373820947E-2</v>
      </c>
      <c r="L40" s="77">
        <v>1.3129999999999999E-2</v>
      </c>
      <c r="M40" s="75">
        <f t="shared" si="2"/>
        <v>1.5867679852643424E-2</v>
      </c>
      <c r="N40" s="75">
        <f t="shared" si="0"/>
        <v>1.9261912920659041E-2</v>
      </c>
      <c r="O40" s="77">
        <v>1.6580000000000001E-2</v>
      </c>
    </row>
    <row r="41" spans="7:15" x14ac:dyDescent="0.35">
      <c r="G41" s="2">
        <v>20</v>
      </c>
      <c r="H41" s="75">
        <v>3.5869999999999999E-2</v>
      </c>
      <c r="I41" s="75">
        <v>3.5870000000000068E-2</v>
      </c>
      <c r="J41" s="75" cm="1">
        <f t="array" ref="J41">_xlfn.LET(_xlpm.m, G41,
     _xlpm.rfr, I41,
     _xlpm.sm_down, INDEX(R.IRR_SM_DOWN, _xlpm.m),
     _xlpm.bm_down, INDEX(R.IRR_BM_DOWN, _xlpm.m),
     _xlpm.rfr * (1 - _xlpm.sm_down) - _xlpm.bm_down)</f>
        <v>1.2935000000000033E-2</v>
      </c>
      <c r="K41" s="75">
        <f t="shared" si="1"/>
        <v>1.285205736380299E-2</v>
      </c>
      <c r="L41" s="77">
        <v>1.294E-2</v>
      </c>
      <c r="M41" s="75">
        <f t="shared" si="2"/>
        <v>9.1809341734618022E-3</v>
      </c>
      <c r="N41" s="75">
        <f t="shared" si="0"/>
        <v>1.257516724147742E-2</v>
      </c>
      <c r="O41" s="77">
        <v>1.6379999999999999E-2</v>
      </c>
    </row>
    <row r="42" spans="7:15" x14ac:dyDescent="0.35">
      <c r="G42" s="7">
        <v>21</v>
      </c>
      <c r="H42" s="75">
        <v>0</v>
      </c>
      <c r="I42" s="75" t="e">
        <v>#N/A</v>
      </c>
      <c r="J42" s="75" t="e" cm="1">
        <f t="array" ref="J42">_xlfn.LET(_xlpm.m, G42,
     _xlpm.rfr, I42,
     _xlpm.sm_down, INDEX(R.IRR_SM_DOWN, _xlpm.m),
     _xlpm.bm_down, INDEX(R.IRR_BM_DOWN, _xlpm.m),
     _xlpm.rfr * (1 - _xlpm.sm_down) - _xlpm.bm_down)</f>
        <v>#N/A</v>
      </c>
      <c r="K42" s="75" t="e">
        <f t="shared" si="1"/>
        <v>#N/A</v>
      </c>
      <c r="L42" s="77">
        <v>1.2800000000000001E-2</v>
      </c>
      <c r="M42" s="75" t="e">
        <f t="shared" si="2"/>
        <v>#N/A</v>
      </c>
      <c r="N42" s="75" t="e">
        <f t="shared" si="0"/>
        <v>#N/A</v>
      </c>
      <c r="O42" s="77">
        <v>1.6230000000000001E-2</v>
      </c>
    </row>
    <row r="43" spans="7:15" x14ac:dyDescent="0.35">
      <c r="G43" s="7">
        <v>22</v>
      </c>
      <c r="H43" s="75">
        <v>0</v>
      </c>
      <c r="I43" s="75" t="e">
        <v>#N/A</v>
      </c>
      <c r="J43" s="75" t="e" cm="1">
        <f t="array" ref="J43">_xlfn.LET(_xlpm.m, G43,
     _xlpm.rfr, I43,
     _xlpm.sm_down, INDEX(R.IRR_SM_DOWN, _xlpm.m),
     _xlpm.bm_down, INDEX(R.IRR_BM_DOWN, _xlpm.m),
     _xlpm.rfr * (1 - _xlpm.sm_down) - _xlpm.bm_down)</f>
        <v>#N/A</v>
      </c>
      <c r="K43" s="75" t="e">
        <f t="shared" si="1"/>
        <v>#N/A</v>
      </c>
      <c r="L43" s="77">
        <v>1.278E-2</v>
      </c>
      <c r="M43" s="75" t="e">
        <f t="shared" si="2"/>
        <v>#N/A</v>
      </c>
      <c r="N43" s="75" t="e">
        <f t="shared" si="0"/>
        <v>#N/A</v>
      </c>
      <c r="O43" s="77">
        <v>1.619E-2</v>
      </c>
    </row>
    <row r="44" spans="7:15" x14ac:dyDescent="0.35">
      <c r="G44" s="7">
        <v>23</v>
      </c>
      <c r="H44" s="75">
        <v>0</v>
      </c>
      <c r="I44" s="75" t="e">
        <v>#N/A</v>
      </c>
      <c r="J44" s="75" t="e" cm="1">
        <f t="array" ref="J44">_xlfn.LET(_xlpm.m, G44,
     _xlpm.rfr, I44,
     _xlpm.sm_down, INDEX(R.IRR_SM_DOWN, _xlpm.m),
     _xlpm.bm_down, INDEX(R.IRR_BM_DOWN, _xlpm.m),
     _xlpm.rfr * (1 - _xlpm.sm_down) - _xlpm.bm_down)</f>
        <v>#N/A</v>
      </c>
      <c r="K44" s="75" t="e">
        <f t="shared" si="1"/>
        <v>#N/A</v>
      </c>
      <c r="L44" s="77">
        <v>1.2840000000000001E-2</v>
      </c>
      <c r="M44" s="75" t="e">
        <f t="shared" si="2"/>
        <v>#N/A</v>
      </c>
      <c r="N44" s="75" t="e">
        <f t="shared" si="0"/>
        <v>#N/A</v>
      </c>
      <c r="O44" s="77">
        <v>1.6219999999999998E-2</v>
      </c>
    </row>
    <row r="45" spans="7:15" x14ac:dyDescent="0.35">
      <c r="G45" s="2">
        <v>24</v>
      </c>
      <c r="H45" s="75">
        <v>0</v>
      </c>
      <c r="I45" s="75" t="e">
        <v>#N/A</v>
      </c>
      <c r="J45" s="75" t="e" cm="1">
        <f t="array" ref="J45">_xlfn.LET(_xlpm.m, G45,
     _xlpm.rfr, I45,
     _xlpm.sm_down, INDEX(R.IRR_SM_DOWN, _xlpm.m),
     _xlpm.bm_down, INDEX(R.IRR_BM_DOWN, _xlpm.m),
     _xlpm.rfr * (1 - _xlpm.sm_down) - _xlpm.bm_down)</f>
        <v>#N/A</v>
      </c>
      <c r="K45" s="75" t="e">
        <f t="shared" si="1"/>
        <v>#N/A</v>
      </c>
      <c r="L45" s="77">
        <v>1.298E-2</v>
      </c>
      <c r="M45" s="75" t="e">
        <f t="shared" si="2"/>
        <v>#N/A</v>
      </c>
      <c r="N45" s="75" t="e">
        <f t="shared" si="0"/>
        <v>#N/A</v>
      </c>
      <c r="O45" s="77">
        <v>1.6310000000000002E-2</v>
      </c>
    </row>
    <row r="46" spans="7:15" x14ac:dyDescent="0.35">
      <c r="G46" s="2">
        <v>25</v>
      </c>
      <c r="H46" s="75">
        <v>0</v>
      </c>
      <c r="I46" s="75" t="e">
        <v>#N/A</v>
      </c>
      <c r="J46" s="75" t="e" cm="1">
        <f t="array" ref="J46">_xlfn.LET(_xlpm.m, G46,
     _xlpm.rfr, I46,
     _xlpm.sm_down, INDEX(R.IRR_SM_DOWN, _xlpm.m),
     _xlpm.bm_down, INDEX(R.IRR_BM_DOWN, _xlpm.m),
     _xlpm.rfr * (1 - _xlpm.sm_down) - _xlpm.bm_down)</f>
        <v>#N/A</v>
      </c>
      <c r="K46" s="75" t="e">
        <f t="shared" si="1"/>
        <v>#N/A</v>
      </c>
      <c r="L46" s="77">
        <v>1.316E-2</v>
      </c>
      <c r="M46" s="75" t="e">
        <f t="shared" si="2"/>
        <v>#N/A</v>
      </c>
      <c r="N46" s="75" t="e">
        <f t="shared" si="0"/>
        <v>#N/A</v>
      </c>
      <c r="O46" s="77">
        <v>1.6449999999999999E-2</v>
      </c>
    </row>
    <row r="47" spans="7:15" x14ac:dyDescent="0.35">
      <c r="G47" s="7">
        <v>26</v>
      </c>
      <c r="H47" s="75">
        <v>0</v>
      </c>
      <c r="I47" s="75" t="e">
        <v>#N/A</v>
      </c>
      <c r="J47" s="75" t="e" cm="1">
        <f t="array" ref="J47">_xlfn.LET(_xlpm.m, G47,
     _xlpm.rfr, I47,
     _xlpm.sm_down, INDEX(R.IRR_SM_DOWN, _xlpm.m),
     _xlpm.bm_down, INDEX(R.IRR_BM_DOWN, _xlpm.m),
     _xlpm.rfr * (1 - _xlpm.sm_down) - _xlpm.bm_down)</f>
        <v>#N/A</v>
      </c>
      <c r="K47" s="75" t="e">
        <f t="shared" si="1"/>
        <v>#N/A</v>
      </c>
      <c r="L47" s="77">
        <v>1.3390000000000001E-2</v>
      </c>
      <c r="M47" s="75" t="e">
        <f t="shared" si="2"/>
        <v>#N/A</v>
      </c>
      <c r="N47" s="75" t="e">
        <f t="shared" si="0"/>
        <v>#N/A</v>
      </c>
      <c r="O47" s="77">
        <v>1.6619999999999999E-2</v>
      </c>
    </row>
    <row r="48" spans="7:15" x14ac:dyDescent="0.35">
      <c r="G48" s="7">
        <v>27</v>
      </c>
      <c r="H48" s="75">
        <v>0</v>
      </c>
      <c r="I48" s="75" t="e">
        <v>#N/A</v>
      </c>
      <c r="J48" s="75" t="e" cm="1">
        <f t="array" ref="J48">_xlfn.LET(_xlpm.m, G48,
     _xlpm.rfr, I48,
     _xlpm.sm_down, INDEX(R.IRR_SM_DOWN, _xlpm.m),
     _xlpm.bm_down, INDEX(R.IRR_BM_DOWN, _xlpm.m),
     _xlpm.rfr * (1 - _xlpm.sm_down) - _xlpm.bm_down)</f>
        <v>#N/A</v>
      </c>
      <c r="K48" s="75" t="e">
        <f t="shared" si="1"/>
        <v>#N/A</v>
      </c>
      <c r="L48" s="77">
        <v>1.3650000000000001E-2</v>
      </c>
      <c r="M48" s="75" t="e">
        <f t="shared" si="2"/>
        <v>#N/A</v>
      </c>
      <c r="N48" s="75" t="e">
        <f t="shared" si="0"/>
        <v>#N/A</v>
      </c>
      <c r="O48" s="77">
        <v>1.6820000000000002E-2</v>
      </c>
    </row>
    <row r="49" spans="7:15" x14ac:dyDescent="0.35">
      <c r="G49" s="7">
        <v>28</v>
      </c>
      <c r="H49" s="75">
        <v>0</v>
      </c>
      <c r="I49" s="75" t="e">
        <v>#N/A</v>
      </c>
      <c r="J49" s="75" t="e" cm="1">
        <f t="array" ref="J49">_xlfn.LET(_xlpm.m, G49,
     _xlpm.rfr, I49,
     _xlpm.sm_down, INDEX(R.IRR_SM_DOWN, _xlpm.m),
     _xlpm.bm_down, INDEX(R.IRR_BM_DOWN, _xlpm.m),
     _xlpm.rfr * (1 - _xlpm.sm_down) - _xlpm.bm_down)</f>
        <v>#N/A</v>
      </c>
      <c r="K49" s="75" t="e">
        <f t="shared" si="1"/>
        <v>#N/A</v>
      </c>
      <c r="L49" s="77">
        <v>1.393E-2</v>
      </c>
      <c r="M49" s="75" t="e">
        <f t="shared" si="2"/>
        <v>#N/A</v>
      </c>
      <c r="N49" s="75" t="e">
        <f t="shared" si="0"/>
        <v>#N/A</v>
      </c>
      <c r="O49" s="77">
        <v>1.7049999999999999E-2</v>
      </c>
    </row>
    <row r="50" spans="7:15" x14ac:dyDescent="0.35">
      <c r="G50" s="2">
        <v>29</v>
      </c>
      <c r="H50" s="75">
        <v>0</v>
      </c>
      <c r="I50" s="75" t="e">
        <v>#N/A</v>
      </c>
      <c r="J50" s="75" t="e" cm="1">
        <f t="array" ref="J50">_xlfn.LET(_xlpm.m, G50,
     _xlpm.rfr, I50,
     _xlpm.sm_down, INDEX(R.IRR_SM_DOWN, _xlpm.m),
     _xlpm.bm_down, INDEX(R.IRR_BM_DOWN, _xlpm.m),
     _xlpm.rfr * (1 - _xlpm.sm_down) - _xlpm.bm_down)</f>
        <v>#N/A</v>
      </c>
      <c r="K50" s="75" t="e">
        <f t="shared" si="1"/>
        <v>#N/A</v>
      </c>
      <c r="L50" s="77">
        <v>1.423E-2</v>
      </c>
      <c r="M50" s="75" t="e">
        <f t="shared" si="2"/>
        <v>#N/A</v>
      </c>
      <c r="N50" s="75" t="e">
        <f t="shared" si="0"/>
        <v>#N/A</v>
      </c>
      <c r="O50" s="77">
        <v>1.728E-2</v>
      </c>
    </row>
    <row r="51" spans="7:15" x14ac:dyDescent="0.35">
      <c r="G51" s="2">
        <v>30</v>
      </c>
      <c r="H51" s="75">
        <v>0</v>
      </c>
      <c r="I51" s="75" t="e">
        <v>#N/A</v>
      </c>
      <c r="J51" s="75" t="e" cm="1">
        <f t="array" ref="J51">_xlfn.LET(_xlpm.m, G51,
     _xlpm.rfr, I51,
     _xlpm.sm_down, INDEX(R.IRR_SM_DOWN, _xlpm.m),
     _xlpm.bm_down, INDEX(R.IRR_BM_DOWN, _xlpm.m),
     _xlpm.rfr * (1 - _xlpm.sm_down) - _xlpm.bm_down)</f>
        <v>#N/A</v>
      </c>
      <c r="K51" s="75" t="e">
        <f t="shared" si="1"/>
        <v>#N/A</v>
      </c>
      <c r="L51" s="77">
        <v>1.453E-2</v>
      </c>
      <c r="M51" s="75" t="e">
        <f t="shared" si="2"/>
        <v>#N/A</v>
      </c>
      <c r="N51" s="75" t="e">
        <f t="shared" si="0"/>
        <v>#N/A</v>
      </c>
      <c r="O51" s="77">
        <v>1.753E-2</v>
      </c>
    </row>
    <row r="52" spans="7:15" x14ac:dyDescent="0.35">
      <c r="G52" s="7">
        <v>31</v>
      </c>
      <c r="H52" s="75">
        <v>0</v>
      </c>
      <c r="I52" s="75" t="e">
        <v>#N/A</v>
      </c>
      <c r="J52" s="75" t="e" cm="1">
        <f t="array" ref="J52">_xlfn.LET(_xlpm.m, G52,
     _xlpm.rfr, I52,
     _xlpm.sm_down, INDEX(R.IRR_SM_DOWN, _xlpm.m),
     _xlpm.bm_down, INDEX(R.IRR_BM_DOWN, _xlpm.m),
     _xlpm.rfr * (1 - _xlpm.sm_down) - _xlpm.bm_down)</f>
        <v>#N/A</v>
      </c>
      <c r="K52" s="75" t="e">
        <f t="shared" si="1"/>
        <v>#N/A</v>
      </c>
      <c r="L52" s="77">
        <v>1.485E-2</v>
      </c>
      <c r="M52" s="75" t="e">
        <f t="shared" si="2"/>
        <v>#N/A</v>
      </c>
      <c r="N52" s="75" t="e">
        <f t="shared" si="0"/>
        <v>#N/A</v>
      </c>
      <c r="O52" s="77">
        <v>1.7780000000000001E-2</v>
      </c>
    </row>
    <row r="53" spans="7:15" x14ac:dyDescent="0.35">
      <c r="G53" s="7">
        <v>32</v>
      </c>
      <c r="H53" s="75">
        <v>0</v>
      </c>
      <c r="I53" s="75" t="e">
        <v>#N/A</v>
      </c>
      <c r="J53" s="75" t="e" cm="1">
        <f t="array" ref="J53">_xlfn.LET(_xlpm.m, G53,
     _xlpm.rfr, I53,
     _xlpm.sm_down, INDEX(R.IRR_SM_DOWN, _xlpm.m),
     _xlpm.bm_down, INDEX(R.IRR_BM_DOWN, _xlpm.m),
     _xlpm.rfr * (1 - _xlpm.sm_down) - _xlpm.bm_down)</f>
        <v>#N/A</v>
      </c>
      <c r="K53" s="75" t="e">
        <f t="shared" si="1"/>
        <v>#N/A</v>
      </c>
      <c r="L53" s="77">
        <v>1.5169999999999999E-2</v>
      </c>
      <c r="M53" s="75" t="e">
        <f t="shared" si="2"/>
        <v>#N/A</v>
      </c>
      <c r="N53" s="75" t="e">
        <f t="shared" si="0"/>
        <v>#N/A</v>
      </c>
      <c r="O53" s="77">
        <v>1.804E-2</v>
      </c>
    </row>
    <row r="54" spans="7:15" x14ac:dyDescent="0.35">
      <c r="G54" s="7">
        <v>33</v>
      </c>
      <c r="H54" s="75">
        <v>0</v>
      </c>
      <c r="I54" s="75" t="e">
        <v>#N/A</v>
      </c>
      <c r="J54" s="75" t="e" cm="1">
        <f t="array" ref="J54">_xlfn.LET(_xlpm.m, G54,
     _xlpm.rfr, I54,
     _xlpm.sm_down, INDEX(R.IRR_SM_DOWN, _xlpm.m),
     _xlpm.bm_down, INDEX(R.IRR_BM_DOWN, _xlpm.m),
     _xlpm.rfr * (1 - _xlpm.sm_down) - _xlpm.bm_down)</f>
        <v>#N/A</v>
      </c>
      <c r="K54" s="75" t="e">
        <f t="shared" si="1"/>
        <v>#N/A</v>
      </c>
      <c r="L54" s="77">
        <v>1.5480000000000001E-2</v>
      </c>
      <c r="M54" s="75" t="e">
        <f t="shared" si="2"/>
        <v>#N/A</v>
      </c>
      <c r="N54" s="75" t="e">
        <f t="shared" ref="N54:N85" si="3">M54+LN(1+V.TOTAL_VA)</f>
        <v>#N/A</v>
      </c>
      <c r="O54" s="77">
        <v>1.83E-2</v>
      </c>
    </row>
    <row r="55" spans="7:15" x14ac:dyDescent="0.35">
      <c r="G55" s="2">
        <v>34</v>
      </c>
      <c r="H55" s="75">
        <v>0</v>
      </c>
      <c r="I55" s="75" t="e">
        <v>#N/A</v>
      </c>
      <c r="J55" s="75" t="e" cm="1">
        <f t="array" ref="J55">_xlfn.LET(_xlpm.m, G55,
     _xlpm.rfr, I55,
     _xlpm.sm_down, INDEX(R.IRR_SM_DOWN, _xlpm.m),
     _xlpm.bm_down, INDEX(R.IRR_BM_DOWN, _xlpm.m),
     _xlpm.rfr * (1 - _xlpm.sm_down) - _xlpm.bm_down)</f>
        <v>#N/A</v>
      </c>
      <c r="K55" s="75" t="e">
        <f t="shared" si="1"/>
        <v>#N/A</v>
      </c>
      <c r="L55" s="77">
        <v>1.5800000000000002E-2</v>
      </c>
      <c r="M55" s="75" t="e">
        <f t="shared" ref="M55:M86" si="4">G55*K55-G54*K54</f>
        <v>#N/A</v>
      </c>
      <c r="N55" s="75" t="e">
        <f t="shared" si="3"/>
        <v>#N/A</v>
      </c>
      <c r="O55" s="77">
        <v>1.856E-2</v>
      </c>
    </row>
    <row r="56" spans="7:15" x14ac:dyDescent="0.35">
      <c r="G56" s="2">
        <v>35</v>
      </c>
      <c r="H56" s="75">
        <v>0</v>
      </c>
      <c r="I56" s="75" t="e">
        <v>#N/A</v>
      </c>
      <c r="J56" s="75" t="e" cm="1">
        <f t="array" ref="J56">_xlfn.LET(_xlpm.m, G56,
     _xlpm.rfr, I56,
     _xlpm.sm_down, INDEX(R.IRR_SM_DOWN, _xlpm.m),
     _xlpm.bm_down, INDEX(R.IRR_BM_DOWN, _xlpm.m),
     _xlpm.rfr * (1 - _xlpm.sm_down) - _xlpm.bm_down)</f>
        <v>#N/A</v>
      </c>
      <c r="K56" s="75" t="e">
        <f t="shared" si="1"/>
        <v>#N/A</v>
      </c>
      <c r="L56" s="77">
        <v>1.6119999999999999E-2</v>
      </c>
      <c r="M56" s="75" t="e">
        <f t="shared" si="4"/>
        <v>#N/A</v>
      </c>
      <c r="N56" s="75" t="e">
        <f t="shared" si="3"/>
        <v>#N/A</v>
      </c>
      <c r="O56" s="77">
        <v>1.881E-2</v>
      </c>
    </row>
    <row r="57" spans="7:15" x14ac:dyDescent="0.35">
      <c r="G57" s="7">
        <v>36</v>
      </c>
      <c r="H57" s="75">
        <v>0</v>
      </c>
      <c r="I57" s="75" t="e">
        <v>#N/A</v>
      </c>
      <c r="J57" s="75" t="e" cm="1">
        <f t="array" ref="J57">_xlfn.LET(_xlpm.m, G57,
     _xlpm.rfr, I57,
     _xlpm.sm_down, INDEX(R.IRR_SM_DOWN, _xlpm.m),
     _xlpm.bm_down, INDEX(R.IRR_BM_DOWN, _xlpm.m),
     _xlpm.rfr * (1 - _xlpm.sm_down) - _xlpm.bm_down)</f>
        <v>#N/A</v>
      </c>
      <c r="K57" s="75" t="e">
        <f t="shared" si="1"/>
        <v>#N/A</v>
      </c>
      <c r="L57" s="77">
        <v>1.643E-2</v>
      </c>
      <c r="M57" s="75" t="e">
        <f t="shared" si="4"/>
        <v>#N/A</v>
      </c>
      <c r="N57" s="75" t="e">
        <f t="shared" si="3"/>
        <v>#N/A</v>
      </c>
      <c r="O57" s="77">
        <v>1.907E-2</v>
      </c>
    </row>
    <row r="58" spans="7:15" x14ac:dyDescent="0.35">
      <c r="G58" s="7">
        <v>37</v>
      </c>
      <c r="H58" s="75">
        <v>0</v>
      </c>
      <c r="I58" s="75" t="e">
        <v>#N/A</v>
      </c>
      <c r="J58" s="75" t="e" cm="1">
        <f t="array" ref="J58">_xlfn.LET(_xlpm.m, G58,
     _xlpm.rfr, I58,
     _xlpm.sm_down, INDEX(R.IRR_SM_DOWN, _xlpm.m),
     _xlpm.bm_down, INDEX(R.IRR_BM_DOWN, _xlpm.m),
     _xlpm.rfr * (1 - _xlpm.sm_down) - _xlpm.bm_down)</f>
        <v>#N/A</v>
      </c>
      <c r="K58" s="75" t="e">
        <f t="shared" si="1"/>
        <v>#N/A</v>
      </c>
      <c r="L58" s="77">
        <v>1.6729999999999998E-2</v>
      </c>
      <c r="M58" s="75" t="e">
        <f t="shared" si="4"/>
        <v>#N/A</v>
      </c>
      <c r="N58" s="75" t="e">
        <f t="shared" si="3"/>
        <v>#N/A</v>
      </c>
      <c r="O58" s="77">
        <v>1.932E-2</v>
      </c>
    </row>
    <row r="59" spans="7:15" x14ac:dyDescent="0.35">
      <c r="G59" s="7">
        <v>38</v>
      </c>
      <c r="H59" s="75">
        <v>0</v>
      </c>
      <c r="I59" s="75" t="e">
        <v>#N/A</v>
      </c>
      <c r="J59" s="75" t="e" cm="1">
        <f t="array" ref="J59">_xlfn.LET(_xlpm.m, G59,
     _xlpm.rfr, I59,
     _xlpm.sm_down, INDEX(R.IRR_SM_DOWN, _xlpm.m),
     _xlpm.bm_down, INDEX(R.IRR_BM_DOWN, _xlpm.m),
     _xlpm.rfr * (1 - _xlpm.sm_down) - _xlpm.bm_down)</f>
        <v>#N/A</v>
      </c>
      <c r="K59" s="75" t="e">
        <f t="shared" si="1"/>
        <v>#N/A</v>
      </c>
      <c r="L59" s="77">
        <v>1.703E-2</v>
      </c>
      <c r="M59" s="75" t="e">
        <f t="shared" si="4"/>
        <v>#N/A</v>
      </c>
      <c r="N59" s="75" t="e">
        <f t="shared" si="3"/>
        <v>#N/A</v>
      </c>
      <c r="O59" s="77">
        <v>1.9560000000000001E-2</v>
      </c>
    </row>
    <row r="60" spans="7:15" x14ac:dyDescent="0.35">
      <c r="G60" s="2">
        <v>39</v>
      </c>
      <c r="H60" s="75">
        <v>0</v>
      </c>
      <c r="I60" s="75" t="e">
        <v>#N/A</v>
      </c>
      <c r="J60" s="75" t="e" cm="1">
        <f t="array" ref="J60">_xlfn.LET(_xlpm.m, G60,
     _xlpm.rfr, I60,
     _xlpm.sm_down, INDEX(R.IRR_SM_DOWN, _xlpm.m),
     _xlpm.bm_down, INDEX(R.IRR_BM_DOWN, _xlpm.m),
     _xlpm.rfr * (1 - _xlpm.sm_down) - _xlpm.bm_down)</f>
        <v>#N/A</v>
      </c>
      <c r="K60" s="75" t="e">
        <f t="shared" si="1"/>
        <v>#N/A</v>
      </c>
      <c r="L60" s="77">
        <v>1.7319999999999999E-2</v>
      </c>
      <c r="M60" s="75" t="e">
        <f t="shared" si="4"/>
        <v>#N/A</v>
      </c>
      <c r="N60" s="75" t="e">
        <f t="shared" si="3"/>
        <v>#N/A</v>
      </c>
      <c r="O60" s="77">
        <v>1.9800000000000002E-2</v>
      </c>
    </row>
    <row r="61" spans="7:15" x14ac:dyDescent="0.35">
      <c r="G61" s="2">
        <v>40</v>
      </c>
      <c r="H61" s="75">
        <v>0</v>
      </c>
      <c r="I61" s="75" t="e">
        <v>#N/A</v>
      </c>
      <c r="J61" s="75" t="e" cm="1">
        <f t="array" ref="J61">_xlfn.LET(_xlpm.m, G61,
     _xlpm.rfr, I61,
     _xlpm.sm_down, INDEX(R.IRR_SM_DOWN, _xlpm.m),
     _xlpm.bm_down, INDEX(R.IRR_BM_DOWN, _xlpm.m),
     _xlpm.rfr * (1 - _xlpm.sm_down) - _xlpm.bm_down)</f>
        <v>#N/A</v>
      </c>
      <c r="K61" s="75" t="e">
        <f t="shared" si="1"/>
        <v>#N/A</v>
      </c>
      <c r="L61" s="77">
        <v>1.7610000000000001E-2</v>
      </c>
      <c r="M61" s="75" t="e">
        <f t="shared" si="4"/>
        <v>#N/A</v>
      </c>
      <c r="N61" s="75" t="e">
        <f t="shared" si="3"/>
        <v>#N/A</v>
      </c>
      <c r="O61" s="77">
        <v>2.0039999999999999E-2</v>
      </c>
    </row>
    <row r="62" spans="7:15" x14ac:dyDescent="0.35">
      <c r="G62" s="7">
        <v>41</v>
      </c>
      <c r="H62" s="75">
        <v>0</v>
      </c>
      <c r="I62" s="75" t="e">
        <v>#N/A</v>
      </c>
      <c r="J62" s="75" t="e" cm="1">
        <f t="array" ref="J62">_xlfn.LET(_xlpm.m, G62,
     _xlpm.rfr, I62,
     _xlpm.sm_down, INDEX(R.IRR_SM_DOWN, _xlpm.m),
     _xlpm.bm_down, INDEX(R.IRR_BM_DOWN, _xlpm.m),
     _xlpm.rfr * (1 - _xlpm.sm_down) - _xlpm.bm_down)</f>
        <v>#N/A</v>
      </c>
      <c r="K62" s="75" t="e">
        <f t="shared" si="1"/>
        <v>#N/A</v>
      </c>
      <c r="L62" s="77">
        <v>1.789E-2</v>
      </c>
      <c r="M62" s="75" t="e">
        <f t="shared" si="4"/>
        <v>#N/A</v>
      </c>
      <c r="N62" s="75" t="e">
        <f t="shared" si="3"/>
        <v>#N/A</v>
      </c>
      <c r="O62" s="77">
        <v>2.027E-2</v>
      </c>
    </row>
    <row r="63" spans="7:15" x14ac:dyDescent="0.35">
      <c r="G63" s="7">
        <v>42</v>
      </c>
      <c r="H63" s="75">
        <v>0</v>
      </c>
      <c r="I63" s="75" t="e">
        <v>#N/A</v>
      </c>
      <c r="J63" s="75" t="e" cm="1">
        <f t="array" ref="J63">_xlfn.LET(_xlpm.m, G63,
     _xlpm.rfr, I63,
     _xlpm.sm_down, INDEX(R.IRR_SM_DOWN, _xlpm.m),
     _xlpm.bm_down, INDEX(R.IRR_BM_DOWN, _xlpm.m),
     _xlpm.rfr * (1 - _xlpm.sm_down) - _xlpm.bm_down)</f>
        <v>#N/A</v>
      </c>
      <c r="K63" s="75" t="e">
        <f t="shared" si="1"/>
        <v>#N/A</v>
      </c>
      <c r="L63" s="77">
        <v>1.8159999999999999E-2</v>
      </c>
      <c r="M63" s="75" t="e">
        <f t="shared" si="4"/>
        <v>#N/A</v>
      </c>
      <c r="N63" s="75" t="e">
        <f t="shared" si="3"/>
        <v>#N/A</v>
      </c>
      <c r="O63" s="77">
        <v>2.0490000000000001E-2</v>
      </c>
    </row>
    <row r="64" spans="7:15" x14ac:dyDescent="0.35">
      <c r="G64" s="7">
        <v>43</v>
      </c>
      <c r="H64" s="75">
        <v>0</v>
      </c>
      <c r="I64" s="75" t="e">
        <v>#N/A</v>
      </c>
      <c r="J64" s="75" t="e" cm="1">
        <f t="array" ref="J64">_xlfn.LET(_xlpm.m, G64,
     _xlpm.rfr, I64,
     _xlpm.sm_down, INDEX(R.IRR_SM_DOWN, _xlpm.m),
     _xlpm.bm_down, INDEX(R.IRR_BM_DOWN, _xlpm.m),
     _xlpm.rfr * (1 - _xlpm.sm_down) - _xlpm.bm_down)</f>
        <v>#N/A</v>
      </c>
      <c r="K64" s="75" t="e">
        <f t="shared" si="1"/>
        <v>#N/A</v>
      </c>
      <c r="L64" s="77">
        <v>1.8419999999999999E-2</v>
      </c>
      <c r="M64" s="75" t="e">
        <f t="shared" si="4"/>
        <v>#N/A</v>
      </c>
      <c r="N64" s="75" t="e">
        <f t="shared" si="3"/>
        <v>#N/A</v>
      </c>
      <c r="O64" s="77">
        <v>2.0709999999999999E-2</v>
      </c>
    </row>
    <row r="65" spans="7:15" x14ac:dyDescent="0.35">
      <c r="G65" s="2">
        <v>44</v>
      </c>
      <c r="H65" s="75">
        <v>0</v>
      </c>
      <c r="I65" s="75" t="e">
        <v>#N/A</v>
      </c>
      <c r="J65" s="75" t="e" cm="1">
        <f t="array" ref="J65">_xlfn.LET(_xlpm.m, G65,
     _xlpm.rfr, I65,
     _xlpm.sm_down, INDEX(R.IRR_SM_DOWN, _xlpm.m),
     _xlpm.bm_down, INDEX(R.IRR_BM_DOWN, _xlpm.m),
     _xlpm.rfr * (1 - _xlpm.sm_down) - _xlpm.bm_down)</f>
        <v>#N/A</v>
      </c>
      <c r="K65" s="75" t="e">
        <f t="shared" si="1"/>
        <v>#N/A</v>
      </c>
      <c r="L65" s="77">
        <v>1.8679999999999999E-2</v>
      </c>
      <c r="M65" s="75" t="e">
        <f t="shared" si="4"/>
        <v>#N/A</v>
      </c>
      <c r="N65" s="75" t="e">
        <f t="shared" si="3"/>
        <v>#N/A</v>
      </c>
      <c r="O65" s="77">
        <v>2.0920000000000001E-2</v>
      </c>
    </row>
    <row r="66" spans="7:15" x14ac:dyDescent="0.35">
      <c r="G66" s="2">
        <v>45</v>
      </c>
      <c r="H66" s="75">
        <v>0</v>
      </c>
      <c r="I66" s="75" t="e">
        <v>#N/A</v>
      </c>
      <c r="J66" s="75" t="e" cm="1">
        <f t="array" ref="J66">_xlfn.LET(_xlpm.m, G66,
     _xlpm.rfr, I66,
     _xlpm.sm_down, INDEX(R.IRR_SM_DOWN, _xlpm.m),
     _xlpm.bm_down, INDEX(R.IRR_BM_DOWN, _xlpm.m),
     _xlpm.rfr * (1 - _xlpm.sm_down) - _xlpm.bm_down)</f>
        <v>#N/A</v>
      </c>
      <c r="K66" s="75" t="e">
        <f t="shared" si="1"/>
        <v>#N/A</v>
      </c>
      <c r="L66" s="77">
        <v>1.8929999999999999E-2</v>
      </c>
      <c r="M66" s="75" t="e">
        <f t="shared" si="4"/>
        <v>#N/A</v>
      </c>
      <c r="N66" s="75" t="e">
        <f t="shared" si="3"/>
        <v>#N/A</v>
      </c>
      <c r="O66" s="77">
        <v>2.112E-2</v>
      </c>
    </row>
    <row r="67" spans="7:15" x14ac:dyDescent="0.35">
      <c r="G67" s="7">
        <v>46</v>
      </c>
      <c r="H67" s="75">
        <v>0</v>
      </c>
      <c r="I67" s="75" t="e">
        <v>#N/A</v>
      </c>
      <c r="J67" s="75" t="e" cm="1">
        <f t="array" ref="J67">_xlfn.LET(_xlpm.m, G67,
     _xlpm.rfr, I67,
     _xlpm.sm_down, INDEX(R.IRR_SM_DOWN, _xlpm.m),
     _xlpm.bm_down, INDEX(R.IRR_BM_DOWN, _xlpm.m),
     _xlpm.rfr * (1 - _xlpm.sm_down) - _xlpm.bm_down)</f>
        <v>#N/A</v>
      </c>
      <c r="K67" s="75" t="e">
        <f t="shared" si="1"/>
        <v>#N/A</v>
      </c>
      <c r="L67" s="77">
        <v>1.917E-2</v>
      </c>
      <c r="M67" s="75" t="e">
        <f t="shared" si="4"/>
        <v>#N/A</v>
      </c>
      <c r="N67" s="75" t="e">
        <f t="shared" si="3"/>
        <v>#N/A</v>
      </c>
      <c r="O67" s="77">
        <v>2.1319999999999999E-2</v>
      </c>
    </row>
    <row r="68" spans="7:15" x14ac:dyDescent="0.35">
      <c r="G68" s="7">
        <v>47</v>
      </c>
      <c r="H68" s="75">
        <v>0</v>
      </c>
      <c r="I68" s="75" t="e">
        <v>#N/A</v>
      </c>
      <c r="J68" s="75" t="e" cm="1">
        <f t="array" ref="J68">_xlfn.LET(_xlpm.m, G68,
     _xlpm.rfr, I68,
     _xlpm.sm_down, INDEX(R.IRR_SM_DOWN, _xlpm.m),
     _xlpm.bm_down, INDEX(R.IRR_BM_DOWN, _xlpm.m),
     _xlpm.rfr * (1 - _xlpm.sm_down) - _xlpm.bm_down)</f>
        <v>#N/A</v>
      </c>
      <c r="K68" s="75" t="e">
        <f t="shared" si="1"/>
        <v>#N/A</v>
      </c>
      <c r="L68" s="77">
        <v>1.941E-2</v>
      </c>
      <c r="M68" s="75" t="e">
        <f t="shared" si="4"/>
        <v>#N/A</v>
      </c>
      <c r="N68" s="75" t="e">
        <f t="shared" si="3"/>
        <v>#N/A</v>
      </c>
      <c r="O68" s="77">
        <v>2.1520000000000001E-2</v>
      </c>
    </row>
    <row r="69" spans="7:15" x14ac:dyDescent="0.35">
      <c r="G69" s="7">
        <v>48</v>
      </c>
      <c r="H69" s="75">
        <v>0</v>
      </c>
      <c r="I69" s="75" t="e">
        <v>#N/A</v>
      </c>
      <c r="J69" s="75" t="e" cm="1">
        <f t="array" ref="J69">_xlfn.LET(_xlpm.m, G69,
     _xlpm.rfr, I69,
     _xlpm.sm_down, INDEX(R.IRR_SM_DOWN, _xlpm.m),
     _xlpm.bm_down, INDEX(R.IRR_BM_DOWN, _xlpm.m),
     _xlpm.rfr * (1 - _xlpm.sm_down) - _xlpm.bm_down)</f>
        <v>#N/A</v>
      </c>
      <c r="K69" s="75" t="e">
        <f t="shared" si="1"/>
        <v>#N/A</v>
      </c>
      <c r="L69" s="77">
        <v>1.9640000000000001E-2</v>
      </c>
      <c r="M69" s="75" t="e">
        <f t="shared" si="4"/>
        <v>#N/A</v>
      </c>
      <c r="N69" s="75" t="e">
        <f t="shared" si="3"/>
        <v>#N/A</v>
      </c>
      <c r="O69" s="77">
        <v>2.1700000000000001E-2</v>
      </c>
    </row>
    <row r="70" spans="7:15" x14ac:dyDescent="0.35">
      <c r="G70" s="2">
        <v>49</v>
      </c>
      <c r="H70" s="75">
        <v>0</v>
      </c>
      <c r="I70" s="75" t="e">
        <v>#N/A</v>
      </c>
      <c r="J70" s="75" t="e" cm="1">
        <f t="array" ref="J70">_xlfn.LET(_xlpm.m, G70,
     _xlpm.rfr, I70,
     _xlpm.sm_down, INDEX(R.IRR_SM_DOWN, _xlpm.m),
     _xlpm.bm_down, INDEX(R.IRR_BM_DOWN, _xlpm.m),
     _xlpm.rfr * (1 - _xlpm.sm_down) - _xlpm.bm_down)</f>
        <v>#N/A</v>
      </c>
      <c r="K70" s="75" t="e">
        <f t="shared" si="1"/>
        <v>#N/A</v>
      </c>
      <c r="L70" s="77">
        <v>1.9859999999999999E-2</v>
      </c>
      <c r="M70" s="75" t="e">
        <f t="shared" si="4"/>
        <v>#N/A</v>
      </c>
      <c r="N70" s="75" t="e">
        <f t="shared" si="3"/>
        <v>#N/A</v>
      </c>
      <c r="O70" s="77">
        <v>2.189E-2</v>
      </c>
    </row>
    <row r="71" spans="7:15" x14ac:dyDescent="0.35">
      <c r="G71" s="2">
        <v>50</v>
      </c>
      <c r="H71" s="75">
        <v>0</v>
      </c>
      <c r="I71" s="75" t="e">
        <v>#N/A</v>
      </c>
      <c r="J71" s="75" t="e" cm="1">
        <f t="array" ref="J71">_xlfn.LET(_xlpm.m, G71,
     _xlpm.rfr, I71,
     _xlpm.sm_down, INDEX(R.IRR_SM_DOWN, _xlpm.m),
     _xlpm.bm_down, INDEX(R.IRR_BM_DOWN, _xlpm.m),
     _xlpm.rfr * (1 - _xlpm.sm_down) - _xlpm.bm_down)</f>
        <v>#N/A</v>
      </c>
      <c r="K71" s="75" t="e">
        <f t="shared" si="1"/>
        <v>#N/A</v>
      </c>
      <c r="L71" s="77">
        <v>2.0070000000000001E-2</v>
      </c>
      <c r="M71" s="75" t="e">
        <f t="shared" si="4"/>
        <v>#N/A</v>
      </c>
      <c r="N71" s="75" t="e">
        <f t="shared" si="3"/>
        <v>#N/A</v>
      </c>
      <c r="O71" s="77">
        <v>2.206E-2</v>
      </c>
    </row>
    <row r="72" spans="7:15" x14ac:dyDescent="0.35">
      <c r="G72" s="7">
        <v>51</v>
      </c>
      <c r="H72" s="75">
        <v>0</v>
      </c>
      <c r="I72" s="75" t="e">
        <v>#N/A</v>
      </c>
      <c r="J72" s="75" t="e" cm="1">
        <f t="array" ref="J72">_xlfn.LET(_xlpm.m, G72,
     _xlpm.rfr, I72,
     _xlpm.sm_down, INDEX(R.IRR_SM_DOWN, _xlpm.m),
     _xlpm.bm_down, INDEX(R.IRR_BM_DOWN, _xlpm.m),
     _xlpm.rfr * (1 - _xlpm.sm_down) - _xlpm.bm_down)</f>
        <v>#N/A</v>
      </c>
      <c r="K72" s="75" t="e">
        <f t="shared" si="1"/>
        <v>#N/A</v>
      </c>
      <c r="L72" s="77">
        <v>2.0279999999999999E-2</v>
      </c>
      <c r="M72" s="75" t="e">
        <f t="shared" si="4"/>
        <v>#N/A</v>
      </c>
      <c r="N72" s="75" t="e">
        <f t="shared" si="3"/>
        <v>#N/A</v>
      </c>
      <c r="O72" s="77">
        <v>2.223E-2</v>
      </c>
    </row>
    <row r="73" spans="7:15" x14ac:dyDescent="0.35">
      <c r="G73" s="7">
        <v>52</v>
      </c>
      <c r="H73" s="75">
        <v>0</v>
      </c>
      <c r="I73" s="75" t="e">
        <v>#N/A</v>
      </c>
      <c r="J73" s="75" t="e" cm="1">
        <f t="array" ref="J73">_xlfn.LET(_xlpm.m, G73,
     _xlpm.rfr, I73,
     _xlpm.sm_down, INDEX(R.IRR_SM_DOWN, _xlpm.m),
     _xlpm.bm_down, INDEX(R.IRR_BM_DOWN, _xlpm.m),
     _xlpm.rfr * (1 - _xlpm.sm_down) - _xlpm.bm_down)</f>
        <v>#N/A</v>
      </c>
      <c r="K73" s="75" t="e">
        <f t="shared" si="1"/>
        <v>#N/A</v>
      </c>
      <c r="L73" s="77">
        <v>2.0480000000000002E-2</v>
      </c>
      <c r="M73" s="75" t="e">
        <f t="shared" si="4"/>
        <v>#N/A</v>
      </c>
      <c r="N73" s="75" t="e">
        <f t="shared" si="3"/>
        <v>#N/A</v>
      </c>
      <c r="O73" s="77">
        <v>2.24E-2</v>
      </c>
    </row>
    <row r="74" spans="7:15" x14ac:dyDescent="0.35">
      <c r="G74" s="7">
        <v>53</v>
      </c>
      <c r="H74" s="75">
        <v>0</v>
      </c>
      <c r="I74" s="75" t="e">
        <v>#N/A</v>
      </c>
      <c r="J74" s="75" t="e" cm="1">
        <f t="array" ref="J74">_xlfn.LET(_xlpm.m, G74,
     _xlpm.rfr, I74,
     _xlpm.sm_down, INDEX(R.IRR_SM_DOWN, _xlpm.m),
     _xlpm.bm_down, INDEX(R.IRR_BM_DOWN, _xlpm.m),
     _xlpm.rfr * (1 - _xlpm.sm_down) - _xlpm.bm_down)</f>
        <v>#N/A</v>
      </c>
      <c r="K74" s="75" t="e">
        <f t="shared" si="1"/>
        <v>#N/A</v>
      </c>
      <c r="L74" s="77">
        <v>2.0670000000000001E-2</v>
      </c>
      <c r="M74" s="75" t="e">
        <f t="shared" si="4"/>
        <v>#N/A</v>
      </c>
      <c r="N74" s="75" t="e">
        <f t="shared" si="3"/>
        <v>#N/A</v>
      </c>
      <c r="O74" s="77">
        <v>2.256E-2</v>
      </c>
    </row>
    <row r="75" spans="7:15" x14ac:dyDescent="0.35">
      <c r="G75" s="2">
        <v>54</v>
      </c>
      <c r="H75" s="75">
        <v>0</v>
      </c>
      <c r="I75" s="75" t="e">
        <v>#N/A</v>
      </c>
      <c r="J75" s="75" t="e" cm="1">
        <f t="array" ref="J75">_xlfn.LET(_xlpm.m, G75,
     _xlpm.rfr, I75,
     _xlpm.sm_down, INDEX(R.IRR_SM_DOWN, _xlpm.m),
     _xlpm.bm_down, INDEX(R.IRR_BM_DOWN, _xlpm.m),
     _xlpm.rfr * (1 - _xlpm.sm_down) - _xlpm.bm_down)</f>
        <v>#N/A</v>
      </c>
      <c r="K75" s="75" t="e">
        <f t="shared" si="1"/>
        <v>#N/A</v>
      </c>
      <c r="L75" s="77">
        <v>2.086E-2</v>
      </c>
      <c r="M75" s="75" t="e">
        <f t="shared" si="4"/>
        <v>#N/A</v>
      </c>
      <c r="N75" s="75" t="e">
        <f t="shared" si="3"/>
        <v>#N/A</v>
      </c>
      <c r="O75" s="77">
        <v>2.2720000000000001E-2</v>
      </c>
    </row>
    <row r="76" spans="7:15" x14ac:dyDescent="0.35">
      <c r="G76" s="2">
        <v>55</v>
      </c>
      <c r="H76" s="75">
        <v>0</v>
      </c>
      <c r="I76" s="75" t="e">
        <v>#N/A</v>
      </c>
      <c r="J76" s="75" t="e" cm="1">
        <f t="array" ref="J76">_xlfn.LET(_xlpm.m, G76,
     _xlpm.rfr, I76,
     _xlpm.sm_down, INDEX(R.IRR_SM_DOWN, _xlpm.m),
     _xlpm.bm_down, INDEX(R.IRR_BM_DOWN, _xlpm.m),
     _xlpm.rfr * (1 - _xlpm.sm_down) - _xlpm.bm_down)</f>
        <v>#N/A</v>
      </c>
      <c r="K76" s="75" t="e">
        <f t="shared" si="1"/>
        <v>#N/A</v>
      </c>
      <c r="L76" s="77">
        <v>2.1049999999999999E-2</v>
      </c>
      <c r="M76" s="75" t="e">
        <f t="shared" si="4"/>
        <v>#N/A</v>
      </c>
      <c r="N76" s="75" t="e">
        <f t="shared" si="3"/>
        <v>#N/A</v>
      </c>
      <c r="O76" s="77">
        <v>2.2870000000000001E-2</v>
      </c>
    </row>
    <row r="77" spans="7:15" x14ac:dyDescent="0.35">
      <c r="G77" s="7">
        <v>56</v>
      </c>
      <c r="H77" s="75">
        <v>0</v>
      </c>
      <c r="I77" s="75" t="e">
        <v>#N/A</v>
      </c>
      <c r="J77" s="75" t="e" cm="1">
        <f t="array" ref="J77">_xlfn.LET(_xlpm.m, G77,
     _xlpm.rfr, I77,
     _xlpm.sm_down, INDEX(R.IRR_SM_DOWN, _xlpm.m),
     _xlpm.bm_down, INDEX(R.IRR_BM_DOWN, _xlpm.m),
     _xlpm.rfr * (1 - _xlpm.sm_down) - _xlpm.bm_down)</f>
        <v>#N/A</v>
      </c>
      <c r="K77" s="75" t="e">
        <f t="shared" si="1"/>
        <v>#N/A</v>
      </c>
      <c r="L77" s="77">
        <v>2.1219999999999999E-2</v>
      </c>
      <c r="M77" s="75" t="e">
        <f t="shared" si="4"/>
        <v>#N/A</v>
      </c>
      <c r="N77" s="75" t="e">
        <f t="shared" si="3"/>
        <v>#N/A</v>
      </c>
      <c r="O77" s="77">
        <v>2.3009999999999999E-2</v>
      </c>
    </row>
    <row r="78" spans="7:15" x14ac:dyDescent="0.35">
      <c r="G78" s="7">
        <v>57</v>
      </c>
      <c r="H78" s="75">
        <v>0</v>
      </c>
      <c r="I78" s="75" t="e">
        <v>#N/A</v>
      </c>
      <c r="J78" s="75" t="e" cm="1">
        <f t="array" ref="J78">_xlfn.LET(_xlpm.m, G78,
     _xlpm.rfr, I78,
     _xlpm.sm_down, INDEX(R.IRR_SM_DOWN, _xlpm.m),
     _xlpm.bm_down, INDEX(R.IRR_BM_DOWN, _xlpm.m),
     _xlpm.rfr * (1 - _xlpm.sm_down) - _xlpm.bm_down)</f>
        <v>#N/A</v>
      </c>
      <c r="K78" s="75" t="e">
        <f t="shared" si="1"/>
        <v>#N/A</v>
      </c>
      <c r="L78" s="77">
        <v>2.1399999999999999E-2</v>
      </c>
      <c r="M78" s="75" t="e">
        <f t="shared" si="4"/>
        <v>#N/A</v>
      </c>
      <c r="N78" s="75" t="e">
        <f t="shared" si="3"/>
        <v>#N/A</v>
      </c>
      <c r="O78" s="77">
        <v>2.316E-2</v>
      </c>
    </row>
    <row r="79" spans="7:15" x14ac:dyDescent="0.35">
      <c r="G79" s="7">
        <v>58</v>
      </c>
      <c r="H79" s="75">
        <v>0</v>
      </c>
      <c r="I79" s="75" t="e">
        <v>#N/A</v>
      </c>
      <c r="J79" s="75" t="e" cm="1">
        <f t="array" ref="J79">_xlfn.LET(_xlpm.m, G79,
     _xlpm.rfr, I79,
     _xlpm.sm_down, INDEX(R.IRR_SM_DOWN, _xlpm.m),
     _xlpm.bm_down, INDEX(R.IRR_BM_DOWN, _xlpm.m),
     _xlpm.rfr * (1 - _xlpm.sm_down) - _xlpm.bm_down)</f>
        <v>#N/A</v>
      </c>
      <c r="K79" s="75" t="e">
        <f t="shared" si="1"/>
        <v>#N/A</v>
      </c>
      <c r="L79" s="77">
        <v>2.1559999999999999E-2</v>
      </c>
      <c r="M79" s="75" t="e">
        <f t="shared" si="4"/>
        <v>#N/A</v>
      </c>
      <c r="N79" s="75" t="e">
        <f t="shared" si="3"/>
        <v>#N/A</v>
      </c>
      <c r="O79" s="77">
        <v>2.3290000000000002E-2</v>
      </c>
    </row>
    <row r="80" spans="7:15" x14ac:dyDescent="0.35">
      <c r="G80" s="2">
        <v>59</v>
      </c>
      <c r="H80" s="75">
        <v>0</v>
      </c>
      <c r="I80" s="75" t="e">
        <v>#N/A</v>
      </c>
      <c r="J80" s="75" t="e" cm="1">
        <f t="array" ref="J80">_xlfn.LET(_xlpm.m, G80,
     _xlpm.rfr, I80,
     _xlpm.sm_down, INDEX(R.IRR_SM_DOWN, _xlpm.m),
     _xlpm.bm_down, INDEX(R.IRR_BM_DOWN, _xlpm.m),
     _xlpm.rfr * (1 - _xlpm.sm_down) - _xlpm.bm_down)</f>
        <v>#N/A</v>
      </c>
      <c r="K80" s="75" t="e">
        <f t="shared" si="1"/>
        <v>#N/A</v>
      </c>
      <c r="L80" s="77">
        <v>2.172E-2</v>
      </c>
      <c r="M80" s="75" t="e">
        <f t="shared" si="4"/>
        <v>#N/A</v>
      </c>
      <c r="N80" s="75" t="e">
        <f t="shared" si="3"/>
        <v>#N/A</v>
      </c>
      <c r="O80" s="77">
        <v>2.3429999999999999E-2</v>
      </c>
    </row>
    <row r="81" spans="7:15" x14ac:dyDescent="0.35">
      <c r="G81" s="2">
        <v>60</v>
      </c>
      <c r="H81" s="75">
        <v>0</v>
      </c>
      <c r="I81" s="75" t="e">
        <v>#N/A</v>
      </c>
      <c r="J81" s="75" t="e" cm="1">
        <f t="array" ref="J81">_xlfn.LET(_xlpm.m, G81,
     _xlpm.rfr, I81,
     _xlpm.sm_down, INDEX(R.IRR_SM_DOWN, _xlpm.m),
     _xlpm.bm_down, INDEX(R.IRR_BM_DOWN, _xlpm.m),
     _xlpm.rfr * (1 - _xlpm.sm_down) - _xlpm.bm_down)</f>
        <v>#N/A</v>
      </c>
      <c r="K81" s="75" t="e">
        <f t="shared" si="1"/>
        <v>#N/A</v>
      </c>
      <c r="L81" s="77">
        <v>2.188E-2</v>
      </c>
      <c r="M81" s="75" t="e">
        <f t="shared" si="4"/>
        <v>#N/A</v>
      </c>
      <c r="N81" s="75" t="e">
        <f t="shared" si="3"/>
        <v>#N/A</v>
      </c>
      <c r="O81" s="77">
        <v>2.3560000000000001E-2</v>
      </c>
    </row>
    <row r="82" spans="7:15" x14ac:dyDescent="0.35">
      <c r="G82" s="7">
        <v>61</v>
      </c>
      <c r="H82" s="75">
        <v>0</v>
      </c>
      <c r="I82" s="75" t="e">
        <v>#N/A</v>
      </c>
      <c r="J82" s="75" t="e" cm="1">
        <f t="array" ref="J82">_xlfn.LET(_xlpm.m, G82,
     _xlpm.rfr, I82,
     _xlpm.sm_down, INDEX(R.IRR_SM_DOWN, _xlpm.m),
     _xlpm.bm_down, INDEX(R.IRR_BM_DOWN, _xlpm.m),
     _xlpm.rfr * (1 - _xlpm.sm_down) - _xlpm.bm_down)</f>
        <v>#N/A</v>
      </c>
      <c r="K82" s="75" t="e">
        <f t="shared" si="1"/>
        <v>#N/A</v>
      </c>
      <c r="L82" s="77">
        <v>2.2030000000000001E-2</v>
      </c>
      <c r="M82" s="75" t="e">
        <f t="shared" si="4"/>
        <v>#N/A</v>
      </c>
      <c r="N82" s="75" t="e">
        <f t="shared" si="3"/>
        <v>#N/A</v>
      </c>
      <c r="O82" s="77">
        <v>2.368E-2</v>
      </c>
    </row>
    <row r="83" spans="7:15" x14ac:dyDescent="0.35">
      <c r="G83" s="7">
        <v>62</v>
      </c>
      <c r="H83" s="75">
        <v>0</v>
      </c>
      <c r="I83" s="75" t="e">
        <v>#N/A</v>
      </c>
      <c r="J83" s="75" t="e" cm="1">
        <f t="array" ref="J83">_xlfn.LET(_xlpm.m, G83,
     _xlpm.rfr, I83,
     _xlpm.sm_down, INDEX(R.IRR_SM_DOWN, _xlpm.m),
     _xlpm.bm_down, INDEX(R.IRR_BM_DOWN, _xlpm.m),
     _xlpm.rfr * (1 - _xlpm.sm_down) - _xlpm.bm_down)</f>
        <v>#N/A</v>
      </c>
      <c r="K83" s="75" t="e">
        <f t="shared" si="1"/>
        <v>#N/A</v>
      </c>
      <c r="L83" s="77">
        <v>2.2179999999999998E-2</v>
      </c>
      <c r="M83" s="75" t="e">
        <f t="shared" si="4"/>
        <v>#N/A</v>
      </c>
      <c r="N83" s="75" t="e">
        <f t="shared" si="3"/>
        <v>#N/A</v>
      </c>
      <c r="O83" s="77">
        <v>2.3810000000000001E-2</v>
      </c>
    </row>
    <row r="84" spans="7:15" x14ac:dyDescent="0.35">
      <c r="G84" s="7">
        <v>63</v>
      </c>
      <c r="H84" s="75">
        <v>0</v>
      </c>
      <c r="I84" s="75" t="e">
        <v>#N/A</v>
      </c>
      <c r="J84" s="75" t="e" cm="1">
        <f t="array" ref="J84">_xlfn.LET(_xlpm.m, G84,
     _xlpm.rfr, I84,
     _xlpm.sm_down, INDEX(R.IRR_SM_DOWN, _xlpm.m),
     _xlpm.bm_down, INDEX(R.IRR_BM_DOWN, _xlpm.m),
     _xlpm.rfr * (1 - _xlpm.sm_down) - _xlpm.bm_down)</f>
        <v>#N/A</v>
      </c>
      <c r="K84" s="75" t="e">
        <f t="shared" si="1"/>
        <v>#N/A</v>
      </c>
      <c r="L84" s="77">
        <v>2.2329999999999999E-2</v>
      </c>
      <c r="M84" s="75" t="e">
        <f t="shared" si="4"/>
        <v>#N/A</v>
      </c>
      <c r="N84" s="75" t="e">
        <f t="shared" si="3"/>
        <v>#N/A</v>
      </c>
      <c r="O84" s="77">
        <v>2.393E-2</v>
      </c>
    </row>
    <row r="85" spans="7:15" x14ac:dyDescent="0.35">
      <c r="G85" s="2">
        <v>64</v>
      </c>
      <c r="H85" s="75">
        <v>0</v>
      </c>
      <c r="I85" s="75" t="e">
        <v>#N/A</v>
      </c>
      <c r="J85" s="75" t="e" cm="1">
        <f t="array" ref="J85">_xlfn.LET(_xlpm.m, G85,
     _xlpm.rfr, I85,
     _xlpm.sm_down, INDEX(R.IRR_SM_DOWN, _xlpm.m),
     _xlpm.bm_down, INDEX(R.IRR_BM_DOWN, _xlpm.m),
     _xlpm.rfr * (1 - _xlpm.sm_down) - _xlpm.bm_down)</f>
        <v>#N/A</v>
      </c>
      <c r="K85" s="75" t="e">
        <f t="shared" si="1"/>
        <v>#N/A</v>
      </c>
      <c r="L85" s="77">
        <v>2.247E-2</v>
      </c>
      <c r="M85" s="75" t="e">
        <f t="shared" si="4"/>
        <v>#N/A</v>
      </c>
      <c r="N85" s="75" t="e">
        <f t="shared" si="3"/>
        <v>#N/A</v>
      </c>
      <c r="O85" s="77">
        <v>2.4039999999999999E-2</v>
      </c>
    </row>
    <row r="86" spans="7:15" x14ac:dyDescent="0.35">
      <c r="G86" s="2">
        <v>65</v>
      </c>
      <c r="H86" s="75">
        <v>0</v>
      </c>
      <c r="I86" s="75" t="e">
        <v>#N/A</v>
      </c>
      <c r="J86" s="75" t="e" cm="1">
        <f t="array" ref="J86">_xlfn.LET(_xlpm.m, G86,
     _xlpm.rfr, I86,
     _xlpm.sm_down, INDEX(R.IRR_SM_DOWN, _xlpm.m),
     _xlpm.bm_down, INDEX(R.IRR_BM_DOWN, _xlpm.m),
     _xlpm.rfr * (1 - _xlpm.sm_down) - _xlpm.bm_down)</f>
        <v>#N/A</v>
      </c>
      <c r="K86" s="75" t="e">
        <f t="shared" si="1"/>
        <v>#N/A</v>
      </c>
      <c r="L86" s="77">
        <v>2.2599999999999999E-2</v>
      </c>
      <c r="M86" s="75" t="e">
        <f t="shared" si="4"/>
        <v>#N/A</v>
      </c>
      <c r="N86" s="75" t="e">
        <f t="shared" ref="N86:N117" si="5">M86+LN(1+V.TOTAL_VA)</f>
        <v>#N/A</v>
      </c>
      <c r="O86" s="77">
        <v>2.4150000000000001E-2</v>
      </c>
    </row>
    <row r="87" spans="7:15" x14ac:dyDescent="0.35">
      <c r="G87" s="7">
        <v>66</v>
      </c>
      <c r="H87" s="75">
        <v>0</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2.273E-2</v>
      </c>
      <c r="M87" s="75" t="e">
        <f t="shared" ref="M87:M118" si="7">G87*K87-G86*K86</f>
        <v>#N/A</v>
      </c>
      <c r="N87" s="75" t="e">
        <f t="shared" si="5"/>
        <v>#N/A</v>
      </c>
      <c r="O87" s="77">
        <v>2.426E-2</v>
      </c>
    </row>
    <row r="88" spans="7:15" x14ac:dyDescent="0.35">
      <c r="G88" s="7">
        <v>67</v>
      </c>
      <c r="H88" s="75">
        <v>0</v>
      </c>
      <c r="I88" s="75" t="e">
        <v>#N/A</v>
      </c>
      <c r="J88" s="75" t="e" cm="1">
        <f t="array" ref="J88">_xlfn.LET(_xlpm.m, G88,
     _xlpm.rfr, I88,
     _xlpm.sm_down, INDEX(R.IRR_SM_DOWN, _xlpm.m),
     _xlpm.bm_down, INDEX(R.IRR_BM_DOWN, _xlpm.m),
     _xlpm.rfr * (1 - _xlpm.sm_down) - _xlpm.bm_down)</f>
        <v>#N/A</v>
      </c>
      <c r="K88" s="75" t="e">
        <f t="shared" si="6"/>
        <v>#N/A</v>
      </c>
      <c r="L88" s="77">
        <v>2.2859999999999998E-2</v>
      </c>
      <c r="M88" s="75" t="e">
        <f t="shared" si="7"/>
        <v>#N/A</v>
      </c>
      <c r="N88" s="75" t="e">
        <f t="shared" si="5"/>
        <v>#N/A</v>
      </c>
      <c r="O88" s="77">
        <v>2.4369999999999999E-2</v>
      </c>
    </row>
    <row r="89" spans="7:15" x14ac:dyDescent="0.35">
      <c r="G89" s="7">
        <v>68</v>
      </c>
      <c r="H89" s="75">
        <v>0</v>
      </c>
      <c r="I89" s="75" t="e">
        <v>#N/A</v>
      </c>
      <c r="J89" s="75" t="e" cm="1">
        <f t="array" ref="J89">_xlfn.LET(_xlpm.m, G89,
     _xlpm.rfr, I89,
     _xlpm.sm_down, INDEX(R.IRR_SM_DOWN, _xlpm.m),
     _xlpm.bm_down, INDEX(R.IRR_BM_DOWN, _xlpm.m),
     _xlpm.rfr * (1 - _xlpm.sm_down) - _xlpm.bm_down)</f>
        <v>#N/A</v>
      </c>
      <c r="K89" s="75" t="e">
        <f t="shared" si="6"/>
        <v>#N/A</v>
      </c>
      <c r="L89" s="77">
        <v>2.299E-2</v>
      </c>
      <c r="M89" s="75" t="e">
        <f t="shared" si="7"/>
        <v>#N/A</v>
      </c>
      <c r="N89" s="75" t="e">
        <f t="shared" si="5"/>
        <v>#N/A</v>
      </c>
      <c r="O89" s="77">
        <v>2.4469999999999999E-2</v>
      </c>
    </row>
    <row r="90" spans="7:15" x14ac:dyDescent="0.35">
      <c r="G90" s="2">
        <v>69</v>
      </c>
      <c r="H90" s="75">
        <v>0</v>
      </c>
      <c r="I90" s="75" t="e">
        <v>#N/A</v>
      </c>
      <c r="J90" s="75" t="e" cm="1">
        <f t="array" ref="J90">_xlfn.LET(_xlpm.m, G90,
     _xlpm.rfr, I90,
     _xlpm.sm_down, INDEX(R.IRR_SM_DOWN, _xlpm.m),
     _xlpm.bm_down, INDEX(R.IRR_BM_DOWN, _xlpm.m),
     _xlpm.rfr * (1 - _xlpm.sm_down) - _xlpm.bm_down)</f>
        <v>#N/A</v>
      </c>
      <c r="K90" s="75" t="e">
        <f t="shared" si="6"/>
        <v>#N/A</v>
      </c>
      <c r="L90" s="77">
        <v>2.3109999999999999E-2</v>
      </c>
      <c r="M90" s="75" t="e">
        <f t="shared" si="7"/>
        <v>#N/A</v>
      </c>
      <c r="N90" s="75" t="e">
        <f t="shared" si="5"/>
        <v>#N/A</v>
      </c>
      <c r="O90" s="77">
        <v>2.4570000000000002E-2</v>
      </c>
    </row>
    <row r="91" spans="7:15" x14ac:dyDescent="0.35">
      <c r="G91" s="2">
        <v>70</v>
      </c>
      <c r="H91" s="75">
        <v>0</v>
      </c>
      <c r="I91" s="75" t="e">
        <v>#N/A</v>
      </c>
      <c r="J91" s="75" t="e" cm="1">
        <f t="array" ref="J91">_xlfn.LET(_xlpm.m, G91,
     _xlpm.rfr, I91,
     _xlpm.sm_down, INDEX(R.IRR_SM_DOWN, _xlpm.m),
     _xlpm.bm_down, INDEX(R.IRR_BM_DOWN, _xlpm.m),
     _xlpm.rfr * (1 - _xlpm.sm_down) - _xlpm.bm_down)</f>
        <v>#N/A</v>
      </c>
      <c r="K91" s="75" t="e">
        <f t="shared" si="6"/>
        <v>#N/A</v>
      </c>
      <c r="L91" s="77">
        <v>2.3230000000000001E-2</v>
      </c>
      <c r="M91" s="75" t="e">
        <f t="shared" si="7"/>
        <v>#N/A</v>
      </c>
      <c r="N91" s="75" t="e">
        <f t="shared" si="5"/>
        <v>#N/A</v>
      </c>
      <c r="O91" s="77">
        <v>2.4670000000000001E-2</v>
      </c>
    </row>
    <row r="92" spans="7:15" x14ac:dyDescent="0.35">
      <c r="G92" s="7">
        <v>71</v>
      </c>
      <c r="H92" s="75">
        <v>0</v>
      </c>
      <c r="I92" s="75" t="e">
        <v>#N/A</v>
      </c>
      <c r="J92" s="75" t="e" cm="1">
        <f t="array" ref="J92">_xlfn.LET(_xlpm.m, G92,
     _xlpm.rfr, I92,
     _xlpm.sm_down, INDEX(R.IRR_SM_DOWN, _xlpm.m),
     _xlpm.bm_down, INDEX(R.IRR_BM_DOWN, _xlpm.m),
     _xlpm.rfr * (1 - _xlpm.sm_down) - _xlpm.bm_down)</f>
        <v>#N/A</v>
      </c>
      <c r="K92" s="75" t="e">
        <f t="shared" si="6"/>
        <v>#N/A</v>
      </c>
      <c r="L92" s="77">
        <v>2.334E-2</v>
      </c>
      <c r="M92" s="75" t="e">
        <f t="shared" si="7"/>
        <v>#N/A</v>
      </c>
      <c r="N92" s="75" t="e">
        <f t="shared" si="5"/>
        <v>#N/A</v>
      </c>
      <c r="O92" s="77">
        <v>2.4760000000000001E-2</v>
      </c>
    </row>
    <row r="93" spans="7:15" x14ac:dyDescent="0.35">
      <c r="G93" s="7">
        <v>72</v>
      </c>
      <c r="H93" s="75">
        <v>0</v>
      </c>
      <c r="I93" s="75" t="e">
        <v>#N/A</v>
      </c>
      <c r="J93" s="75" t="e" cm="1">
        <f t="array" ref="J93">_xlfn.LET(_xlpm.m, G93,
     _xlpm.rfr, I93,
     _xlpm.sm_down, INDEX(R.IRR_SM_DOWN, _xlpm.m),
     _xlpm.bm_down, INDEX(R.IRR_BM_DOWN, _xlpm.m),
     _xlpm.rfr * (1 - _xlpm.sm_down) - _xlpm.bm_down)</f>
        <v>#N/A</v>
      </c>
      <c r="K93" s="75" t="e">
        <f t="shared" si="6"/>
        <v>#N/A</v>
      </c>
      <c r="L93" s="77">
        <v>2.3449999999999999E-2</v>
      </c>
      <c r="M93" s="75" t="e">
        <f t="shared" si="7"/>
        <v>#N/A</v>
      </c>
      <c r="N93" s="75" t="e">
        <f t="shared" si="5"/>
        <v>#N/A</v>
      </c>
      <c r="O93" s="77">
        <v>2.486E-2</v>
      </c>
    </row>
    <row r="94" spans="7:15" x14ac:dyDescent="0.35">
      <c r="G94" s="7">
        <v>73</v>
      </c>
      <c r="H94" s="75">
        <v>0</v>
      </c>
      <c r="I94" s="75" t="e">
        <v>#N/A</v>
      </c>
      <c r="J94" s="75" t="e" cm="1">
        <f t="array" ref="J94">_xlfn.LET(_xlpm.m, G94,
     _xlpm.rfr, I94,
     _xlpm.sm_down, INDEX(R.IRR_SM_DOWN, _xlpm.m),
     _xlpm.bm_down, INDEX(R.IRR_BM_DOWN, _xlpm.m),
     _xlpm.rfr * (1 - _xlpm.sm_down) - _xlpm.bm_down)</f>
        <v>#N/A</v>
      </c>
      <c r="K94" s="75" t="e">
        <f t="shared" si="6"/>
        <v>#N/A</v>
      </c>
      <c r="L94" s="77">
        <v>2.3560000000000001E-2</v>
      </c>
      <c r="M94" s="75" t="e">
        <f t="shared" si="7"/>
        <v>#N/A</v>
      </c>
      <c r="N94" s="75" t="e">
        <f t="shared" si="5"/>
        <v>#N/A</v>
      </c>
      <c r="O94" s="77">
        <v>2.495E-2</v>
      </c>
    </row>
    <row r="95" spans="7:15" x14ac:dyDescent="0.35">
      <c r="G95" s="2">
        <v>74</v>
      </c>
      <c r="H95" s="75">
        <v>0</v>
      </c>
      <c r="I95" s="75" t="e">
        <v>#N/A</v>
      </c>
      <c r="J95" s="75" t="e" cm="1">
        <f t="array" ref="J95">_xlfn.LET(_xlpm.m, G95,
     _xlpm.rfr, I95,
     _xlpm.sm_down, INDEX(R.IRR_SM_DOWN, _xlpm.m),
     _xlpm.bm_down, INDEX(R.IRR_BM_DOWN, _xlpm.m),
     _xlpm.rfr * (1 - _xlpm.sm_down) - _xlpm.bm_down)</f>
        <v>#N/A</v>
      </c>
      <c r="K95" s="75" t="e">
        <f t="shared" si="6"/>
        <v>#N/A</v>
      </c>
      <c r="L95" s="77">
        <v>2.367E-2</v>
      </c>
      <c r="M95" s="75" t="e">
        <f t="shared" si="7"/>
        <v>#N/A</v>
      </c>
      <c r="N95" s="75" t="e">
        <f t="shared" si="5"/>
        <v>#N/A</v>
      </c>
      <c r="O95" s="77">
        <v>2.503E-2</v>
      </c>
    </row>
    <row r="96" spans="7:15" x14ac:dyDescent="0.35">
      <c r="G96" s="2">
        <v>75</v>
      </c>
      <c r="H96" s="75">
        <v>0</v>
      </c>
      <c r="I96" s="75" t="e">
        <v>#N/A</v>
      </c>
      <c r="J96" s="75" t="e" cm="1">
        <f t="array" ref="J96">_xlfn.LET(_xlpm.m, G96,
     _xlpm.rfr, I96,
     _xlpm.sm_down, INDEX(R.IRR_SM_DOWN, _xlpm.m),
     _xlpm.bm_down, INDEX(R.IRR_BM_DOWN, _xlpm.m),
     _xlpm.rfr * (1 - _xlpm.sm_down) - _xlpm.bm_down)</f>
        <v>#N/A</v>
      </c>
      <c r="K96" s="75" t="e">
        <f t="shared" si="6"/>
        <v>#N/A</v>
      </c>
      <c r="L96" s="77">
        <v>2.3769999999999999E-2</v>
      </c>
      <c r="M96" s="75" t="e">
        <f t="shared" si="7"/>
        <v>#N/A</v>
      </c>
      <c r="N96" s="75" t="e">
        <f t="shared" si="5"/>
        <v>#N/A</v>
      </c>
      <c r="O96" s="77">
        <v>2.512E-2</v>
      </c>
    </row>
    <row r="97" spans="7:15" x14ac:dyDescent="0.35">
      <c r="G97" s="7">
        <v>76</v>
      </c>
      <c r="H97" s="75">
        <v>0</v>
      </c>
      <c r="I97" s="75" t="e">
        <v>#N/A</v>
      </c>
      <c r="J97" s="75" t="e" cm="1">
        <f t="array" ref="J97">_xlfn.LET(_xlpm.m, G97,
     _xlpm.rfr, I97,
     _xlpm.sm_down, INDEX(R.IRR_SM_DOWN, _xlpm.m),
     _xlpm.bm_down, INDEX(R.IRR_BM_DOWN, _xlpm.m),
     _xlpm.rfr * (1 - _xlpm.sm_down) - _xlpm.bm_down)</f>
        <v>#N/A</v>
      </c>
      <c r="K97" s="75" t="e">
        <f t="shared" si="6"/>
        <v>#N/A</v>
      </c>
      <c r="L97" s="77">
        <v>2.3869999999999999E-2</v>
      </c>
      <c r="M97" s="75" t="e">
        <f t="shared" si="7"/>
        <v>#N/A</v>
      </c>
      <c r="N97" s="75" t="e">
        <f t="shared" si="5"/>
        <v>#N/A</v>
      </c>
      <c r="O97" s="77">
        <v>2.52E-2</v>
      </c>
    </row>
    <row r="98" spans="7:15" x14ac:dyDescent="0.35">
      <c r="G98" s="7">
        <v>77</v>
      </c>
      <c r="H98" s="75">
        <v>0</v>
      </c>
      <c r="I98" s="75" t="e">
        <v>#N/A</v>
      </c>
      <c r="J98" s="75" t="e" cm="1">
        <f t="array" ref="J98">_xlfn.LET(_xlpm.m, G98,
     _xlpm.rfr, I98,
     _xlpm.sm_down, INDEX(R.IRR_SM_DOWN, _xlpm.m),
     _xlpm.bm_down, INDEX(R.IRR_BM_DOWN, _xlpm.m),
     _xlpm.rfr * (1 - _xlpm.sm_down) - _xlpm.bm_down)</f>
        <v>#N/A</v>
      </c>
      <c r="K98" s="75" t="e">
        <f t="shared" si="6"/>
        <v>#N/A</v>
      </c>
      <c r="L98" s="77">
        <v>2.3970000000000002E-2</v>
      </c>
      <c r="M98" s="75" t="e">
        <f t="shared" si="7"/>
        <v>#N/A</v>
      </c>
      <c r="N98" s="75" t="e">
        <f t="shared" si="5"/>
        <v>#N/A</v>
      </c>
      <c r="O98" s="77">
        <v>2.528E-2</v>
      </c>
    </row>
    <row r="99" spans="7:15" x14ac:dyDescent="0.35">
      <c r="G99" s="7">
        <v>78</v>
      </c>
      <c r="H99" s="75">
        <v>0</v>
      </c>
      <c r="I99" s="75" t="e">
        <v>#N/A</v>
      </c>
      <c r="J99" s="75" t="e" cm="1">
        <f t="array" ref="J99">_xlfn.LET(_xlpm.m, G99,
     _xlpm.rfr, I99,
     _xlpm.sm_down, INDEX(R.IRR_SM_DOWN, _xlpm.m),
     _xlpm.bm_down, INDEX(R.IRR_BM_DOWN, _xlpm.m),
     _xlpm.rfr * (1 - _xlpm.sm_down) - _xlpm.bm_down)</f>
        <v>#N/A</v>
      </c>
      <c r="K99" s="75" t="e">
        <f t="shared" si="6"/>
        <v>#N/A</v>
      </c>
      <c r="L99" s="77">
        <v>2.4070000000000001E-2</v>
      </c>
      <c r="M99" s="75" t="e">
        <f t="shared" si="7"/>
        <v>#N/A</v>
      </c>
      <c r="N99" s="75" t="e">
        <f t="shared" si="5"/>
        <v>#N/A</v>
      </c>
      <c r="O99" s="77">
        <v>2.5360000000000001E-2</v>
      </c>
    </row>
    <row r="100" spans="7:15" x14ac:dyDescent="0.35">
      <c r="G100" s="2">
        <v>79</v>
      </c>
      <c r="H100" s="75">
        <v>0</v>
      </c>
      <c r="I100" s="75" t="e">
        <v>#N/A</v>
      </c>
      <c r="J100" s="75" t="e" cm="1">
        <f t="array" ref="J100">_xlfn.LET(_xlpm.m, G100,
     _xlpm.rfr, I100,
     _xlpm.sm_down, INDEX(R.IRR_SM_DOWN, _xlpm.m),
     _xlpm.bm_down, INDEX(R.IRR_BM_DOWN, _xlpm.m),
     _xlpm.rfr * (1 - _xlpm.sm_down) - _xlpm.bm_down)</f>
        <v>#N/A</v>
      </c>
      <c r="K100" s="75" t="e">
        <f t="shared" si="6"/>
        <v>#N/A</v>
      </c>
      <c r="L100" s="77">
        <v>2.4160000000000001E-2</v>
      </c>
      <c r="M100" s="75" t="e">
        <f t="shared" si="7"/>
        <v>#N/A</v>
      </c>
      <c r="N100" s="75" t="e">
        <f t="shared" si="5"/>
        <v>#N/A</v>
      </c>
      <c r="O100" s="77">
        <v>2.5440000000000001E-2</v>
      </c>
    </row>
    <row r="101" spans="7:15" x14ac:dyDescent="0.35">
      <c r="G101" s="2">
        <v>80</v>
      </c>
      <c r="H101" s="75">
        <v>0</v>
      </c>
      <c r="I101" s="75" t="e">
        <v>#N/A</v>
      </c>
      <c r="J101" s="75" t="e" cm="1">
        <f t="array" ref="J101">_xlfn.LET(_xlpm.m, G101,
     _xlpm.rfr, I101,
     _xlpm.sm_down, INDEX(R.IRR_SM_DOWN, _xlpm.m),
     _xlpm.bm_down, INDEX(R.IRR_BM_DOWN, _xlpm.m),
     _xlpm.rfr * (1 - _xlpm.sm_down) - _xlpm.bm_down)</f>
        <v>#N/A</v>
      </c>
      <c r="K101" s="75" t="e">
        <f t="shared" si="6"/>
        <v>#N/A</v>
      </c>
      <c r="L101" s="77">
        <v>2.4250000000000001E-2</v>
      </c>
      <c r="M101" s="75" t="e">
        <f t="shared" si="7"/>
        <v>#N/A</v>
      </c>
      <c r="N101" s="75" t="e">
        <f t="shared" si="5"/>
        <v>#N/A</v>
      </c>
      <c r="O101" s="77">
        <v>2.5510000000000001E-2</v>
      </c>
    </row>
    <row r="102" spans="7:15" x14ac:dyDescent="0.35">
      <c r="G102" s="7">
        <v>81</v>
      </c>
      <c r="H102" s="75">
        <v>0</v>
      </c>
      <c r="I102" s="75" t="e">
        <v>#N/A</v>
      </c>
      <c r="J102" s="75" t="e" cm="1">
        <f t="array" ref="J102">_xlfn.LET(_xlpm.m, G102,
     _xlpm.rfr, I102,
     _xlpm.sm_down, INDEX(R.IRR_SM_DOWN, _xlpm.m),
     _xlpm.bm_down, INDEX(R.IRR_BM_DOWN, _xlpm.m),
     _xlpm.rfr * (1 - _xlpm.sm_down) - _xlpm.bm_down)</f>
        <v>#N/A</v>
      </c>
      <c r="K102" s="75" t="e">
        <f t="shared" si="6"/>
        <v>#N/A</v>
      </c>
      <c r="L102" s="77">
        <v>2.4340000000000001E-2</v>
      </c>
      <c r="M102" s="75" t="e">
        <f t="shared" si="7"/>
        <v>#N/A</v>
      </c>
      <c r="N102" s="75" t="e">
        <f t="shared" si="5"/>
        <v>#N/A</v>
      </c>
      <c r="O102" s="77">
        <v>2.5590000000000002E-2</v>
      </c>
    </row>
    <row r="103" spans="7:15" x14ac:dyDescent="0.35">
      <c r="G103" s="7">
        <v>82</v>
      </c>
      <c r="H103" s="75">
        <v>0</v>
      </c>
      <c r="I103" s="75" t="e">
        <v>#N/A</v>
      </c>
      <c r="J103" s="75" t="e" cm="1">
        <f t="array" ref="J103">_xlfn.LET(_xlpm.m, G103,
     _xlpm.rfr, I103,
     _xlpm.sm_down, INDEX(R.IRR_SM_DOWN, _xlpm.m),
     _xlpm.bm_down, INDEX(R.IRR_BM_DOWN, _xlpm.m),
     _xlpm.rfr * (1 - _xlpm.sm_down) - _xlpm.bm_down)</f>
        <v>#N/A</v>
      </c>
      <c r="K103" s="75" t="e">
        <f t="shared" si="6"/>
        <v>#N/A</v>
      </c>
      <c r="L103" s="77">
        <v>2.443E-2</v>
      </c>
      <c r="M103" s="75" t="e">
        <f t="shared" si="7"/>
        <v>#N/A</v>
      </c>
      <c r="N103" s="75" t="e">
        <f t="shared" si="5"/>
        <v>#N/A</v>
      </c>
      <c r="O103" s="77">
        <v>2.5659999999999999E-2</v>
      </c>
    </row>
    <row r="104" spans="7:15" x14ac:dyDescent="0.35">
      <c r="G104" s="7">
        <v>83</v>
      </c>
      <c r="H104" s="75">
        <v>0</v>
      </c>
      <c r="I104" s="75" t="e">
        <v>#N/A</v>
      </c>
      <c r="J104" s="75" t="e" cm="1">
        <f t="array" ref="J104">_xlfn.LET(_xlpm.m, G104,
     _xlpm.rfr, I104,
     _xlpm.sm_down, INDEX(R.IRR_SM_DOWN, _xlpm.m),
     _xlpm.bm_down, INDEX(R.IRR_BM_DOWN, _xlpm.m),
     _xlpm.rfr * (1 - _xlpm.sm_down) - _xlpm.bm_down)</f>
        <v>#N/A</v>
      </c>
      <c r="K104" s="75" t="e">
        <f t="shared" si="6"/>
        <v>#N/A</v>
      </c>
      <c r="L104" s="77">
        <v>2.4510000000000001E-2</v>
      </c>
      <c r="M104" s="75" t="e">
        <f t="shared" si="7"/>
        <v>#N/A</v>
      </c>
      <c r="N104" s="75" t="e">
        <f t="shared" si="5"/>
        <v>#N/A</v>
      </c>
      <c r="O104" s="77">
        <v>2.5729999999999999E-2</v>
      </c>
    </row>
    <row r="105" spans="7:15" x14ac:dyDescent="0.35">
      <c r="G105" s="2">
        <v>84</v>
      </c>
      <c r="H105" s="75">
        <v>0</v>
      </c>
      <c r="I105" s="75" t="e">
        <v>#N/A</v>
      </c>
      <c r="J105" s="75" t="e" cm="1">
        <f t="array" ref="J105">_xlfn.LET(_xlpm.m, G105,
     _xlpm.rfr, I105,
     _xlpm.sm_down, INDEX(R.IRR_SM_DOWN, _xlpm.m),
     _xlpm.bm_down, INDEX(R.IRR_BM_DOWN, _xlpm.m),
     _xlpm.rfr * (1 - _xlpm.sm_down) - _xlpm.bm_down)</f>
        <v>#N/A</v>
      </c>
      <c r="K105" s="75" t="e">
        <f t="shared" si="6"/>
        <v>#N/A</v>
      </c>
      <c r="L105" s="77">
        <v>2.4590000000000001E-2</v>
      </c>
      <c r="M105" s="75" t="e">
        <f t="shared" si="7"/>
        <v>#N/A</v>
      </c>
      <c r="N105" s="75" t="e">
        <f t="shared" si="5"/>
        <v>#N/A</v>
      </c>
      <c r="O105" s="77">
        <v>2.58E-2</v>
      </c>
    </row>
    <row r="106" spans="7:15" x14ac:dyDescent="0.35">
      <c r="G106" s="2">
        <v>85</v>
      </c>
      <c r="H106" s="75">
        <v>0</v>
      </c>
      <c r="I106" s="75" t="e">
        <v>#N/A</v>
      </c>
      <c r="J106" s="75" t="e" cm="1">
        <f t="array" ref="J106">_xlfn.LET(_xlpm.m, G106,
     _xlpm.rfr, I106,
     _xlpm.sm_down, INDEX(R.IRR_SM_DOWN, _xlpm.m),
     _xlpm.bm_down, INDEX(R.IRR_BM_DOWN, _xlpm.m),
     _xlpm.rfr * (1 - _xlpm.sm_down) - _xlpm.bm_down)</f>
        <v>#N/A</v>
      </c>
      <c r="K106" s="75" t="e">
        <f t="shared" si="6"/>
        <v>#N/A</v>
      </c>
      <c r="L106" s="77">
        <v>2.4670000000000001E-2</v>
      </c>
      <c r="M106" s="75" t="e">
        <f t="shared" si="7"/>
        <v>#N/A</v>
      </c>
      <c r="N106" s="75" t="e">
        <f t="shared" si="5"/>
        <v>#N/A</v>
      </c>
      <c r="O106" s="77">
        <v>2.5860000000000001E-2</v>
      </c>
    </row>
    <row r="107" spans="7:15" x14ac:dyDescent="0.35">
      <c r="G107" s="7">
        <v>86</v>
      </c>
      <c r="H107" s="75">
        <v>0</v>
      </c>
      <c r="I107" s="75" t="e">
        <v>#N/A</v>
      </c>
      <c r="J107" s="75" t="e" cm="1">
        <f t="array" ref="J107">_xlfn.LET(_xlpm.m, G107,
     _xlpm.rfr, I107,
     _xlpm.sm_down, INDEX(R.IRR_SM_DOWN, _xlpm.m),
     _xlpm.bm_down, INDEX(R.IRR_BM_DOWN, _xlpm.m),
     _xlpm.rfr * (1 - _xlpm.sm_down) - _xlpm.bm_down)</f>
        <v>#N/A</v>
      </c>
      <c r="K107" s="75" t="e">
        <f t="shared" si="6"/>
        <v>#N/A</v>
      </c>
      <c r="L107" s="77">
        <v>2.4750000000000001E-2</v>
      </c>
      <c r="M107" s="75" t="e">
        <f t="shared" si="7"/>
        <v>#N/A</v>
      </c>
      <c r="N107" s="75" t="e">
        <f t="shared" si="5"/>
        <v>#N/A</v>
      </c>
      <c r="O107" s="77">
        <v>2.5930000000000002E-2</v>
      </c>
    </row>
    <row r="108" spans="7:15" x14ac:dyDescent="0.35">
      <c r="G108" s="7">
        <v>87</v>
      </c>
      <c r="H108" s="75">
        <v>0</v>
      </c>
      <c r="I108" s="75" t="e">
        <v>#N/A</v>
      </c>
      <c r="J108" s="75" t="e" cm="1">
        <f t="array" ref="J108">_xlfn.LET(_xlpm.m, G108,
     _xlpm.rfr, I108,
     _xlpm.sm_down, INDEX(R.IRR_SM_DOWN, _xlpm.m),
     _xlpm.bm_down, INDEX(R.IRR_BM_DOWN, _xlpm.m),
     _xlpm.rfr * (1 - _xlpm.sm_down) - _xlpm.bm_down)</f>
        <v>#N/A</v>
      </c>
      <c r="K108" s="75" t="e">
        <f t="shared" si="6"/>
        <v>#N/A</v>
      </c>
      <c r="L108" s="77">
        <v>2.4830000000000001E-2</v>
      </c>
      <c r="M108" s="75" t="e">
        <f t="shared" si="7"/>
        <v>#N/A</v>
      </c>
      <c r="N108" s="75" t="e">
        <f t="shared" si="5"/>
        <v>#N/A</v>
      </c>
      <c r="O108" s="77">
        <v>2.5989999999999999E-2</v>
      </c>
    </row>
    <row r="109" spans="7:15" x14ac:dyDescent="0.35">
      <c r="G109" s="7">
        <v>88</v>
      </c>
      <c r="H109" s="75">
        <v>0</v>
      </c>
      <c r="I109" s="75" t="e">
        <v>#N/A</v>
      </c>
      <c r="J109" s="75" t="e" cm="1">
        <f t="array" ref="J109">_xlfn.LET(_xlpm.m, G109,
     _xlpm.rfr, I109,
     _xlpm.sm_down, INDEX(R.IRR_SM_DOWN, _xlpm.m),
     _xlpm.bm_down, INDEX(R.IRR_BM_DOWN, _xlpm.m),
     _xlpm.rfr * (1 - _xlpm.sm_down) - _xlpm.bm_down)</f>
        <v>#N/A</v>
      </c>
      <c r="K109" s="75" t="e">
        <f t="shared" si="6"/>
        <v>#N/A</v>
      </c>
      <c r="L109" s="77">
        <v>2.4899999999999999E-2</v>
      </c>
      <c r="M109" s="75" t="e">
        <f t="shared" si="7"/>
        <v>#N/A</v>
      </c>
      <c r="N109" s="75" t="e">
        <f t="shared" si="5"/>
        <v>#N/A</v>
      </c>
      <c r="O109" s="77">
        <v>2.606E-2</v>
      </c>
    </row>
    <row r="110" spans="7:15" x14ac:dyDescent="0.35">
      <c r="G110" s="2">
        <v>89</v>
      </c>
      <c r="H110" s="75">
        <v>0</v>
      </c>
      <c r="I110" s="75" t="e">
        <v>#N/A</v>
      </c>
      <c r="J110" s="75" t="e" cm="1">
        <f t="array" ref="J110">_xlfn.LET(_xlpm.m, G110,
     _xlpm.rfr, I110,
     _xlpm.sm_down, INDEX(R.IRR_SM_DOWN, _xlpm.m),
     _xlpm.bm_down, INDEX(R.IRR_BM_DOWN, _xlpm.m),
     _xlpm.rfr * (1 - _xlpm.sm_down) - _xlpm.bm_down)</f>
        <v>#N/A</v>
      </c>
      <c r="K110" s="75" t="e">
        <f t="shared" si="6"/>
        <v>#N/A</v>
      </c>
      <c r="L110" s="77">
        <v>2.4979999999999999E-2</v>
      </c>
      <c r="M110" s="75" t="e">
        <f t="shared" si="7"/>
        <v>#N/A</v>
      </c>
      <c r="N110" s="75" t="e">
        <f t="shared" si="5"/>
        <v>#N/A</v>
      </c>
      <c r="O110" s="77">
        <v>2.6120000000000001E-2</v>
      </c>
    </row>
    <row r="111" spans="7:15" x14ac:dyDescent="0.35">
      <c r="G111" s="2">
        <v>90</v>
      </c>
      <c r="H111" s="75">
        <v>0</v>
      </c>
      <c r="I111" s="75" t="e">
        <v>#N/A</v>
      </c>
      <c r="J111" s="75" t="e" cm="1">
        <f t="array" ref="J111">_xlfn.LET(_xlpm.m, G111,
     _xlpm.rfr, I111,
     _xlpm.sm_down, INDEX(R.IRR_SM_DOWN, _xlpm.m),
     _xlpm.bm_down, INDEX(R.IRR_BM_DOWN, _xlpm.m),
     _xlpm.rfr * (1 - _xlpm.sm_down) - _xlpm.bm_down)</f>
        <v>#N/A</v>
      </c>
      <c r="K111" s="75" t="e">
        <f t="shared" si="6"/>
        <v>#N/A</v>
      </c>
      <c r="L111" s="77">
        <v>2.5049999999999999E-2</v>
      </c>
      <c r="M111" s="75" t="e">
        <f t="shared" si="7"/>
        <v>#N/A</v>
      </c>
      <c r="N111" s="75" t="e">
        <f t="shared" si="5"/>
        <v>#N/A</v>
      </c>
      <c r="O111" s="77">
        <v>2.6179999999999998E-2</v>
      </c>
    </row>
    <row r="112" spans="7:15" x14ac:dyDescent="0.35">
      <c r="G112" s="7">
        <v>91</v>
      </c>
      <c r="H112" s="75">
        <v>0</v>
      </c>
      <c r="I112" s="75" t="e">
        <v>#N/A</v>
      </c>
      <c r="J112" s="75" t="e" cm="1">
        <f t="array" ref="J112">_xlfn.LET(_xlpm.m, G112,
     _xlpm.rfr, I112,
     _xlpm.sm_down, INDEX(R.IRR_SM_DOWN, _xlpm.m),
     _xlpm.bm_down, INDEX(R.IRR_BM_DOWN, _xlpm.m),
     _xlpm.rfr * (1 - _xlpm.sm_down) - _xlpm.bm_down)</f>
        <v>#N/A</v>
      </c>
      <c r="K112" s="75" t="e">
        <f t="shared" si="6"/>
        <v>#N/A</v>
      </c>
      <c r="L112" s="77">
        <v>2.512E-2</v>
      </c>
      <c r="M112" s="75" t="e">
        <f t="shared" si="7"/>
        <v>#N/A</v>
      </c>
      <c r="N112" s="75" t="e">
        <f t="shared" si="5"/>
        <v>#N/A</v>
      </c>
      <c r="O112" s="77">
        <v>2.623E-2</v>
      </c>
    </row>
    <row r="113" spans="7:15" x14ac:dyDescent="0.35">
      <c r="G113" s="7">
        <v>92</v>
      </c>
      <c r="H113" s="75">
        <v>0</v>
      </c>
      <c r="I113" s="75" t="e">
        <v>#N/A</v>
      </c>
      <c r="J113" s="75" t="e" cm="1">
        <f t="array" ref="J113">_xlfn.LET(_xlpm.m, G113,
     _xlpm.rfr, I113,
     _xlpm.sm_down, INDEX(R.IRR_SM_DOWN, _xlpm.m),
     _xlpm.bm_down, INDEX(R.IRR_BM_DOWN, _xlpm.m),
     _xlpm.rfr * (1 - _xlpm.sm_down) - _xlpm.bm_down)</f>
        <v>#N/A</v>
      </c>
      <c r="K113" s="75" t="e">
        <f t="shared" si="6"/>
        <v>#N/A</v>
      </c>
      <c r="L113" s="77">
        <v>2.5190000000000001E-2</v>
      </c>
      <c r="M113" s="75" t="e">
        <f t="shared" si="7"/>
        <v>#N/A</v>
      </c>
      <c r="N113" s="75" t="e">
        <f t="shared" si="5"/>
        <v>#N/A</v>
      </c>
      <c r="O113" s="77">
        <v>2.6290000000000001E-2</v>
      </c>
    </row>
    <row r="114" spans="7:15" x14ac:dyDescent="0.35">
      <c r="G114" s="7">
        <v>93</v>
      </c>
      <c r="H114" s="75">
        <v>0</v>
      </c>
      <c r="I114" s="75" t="e">
        <v>#N/A</v>
      </c>
      <c r="J114" s="75" t="e" cm="1">
        <f t="array" ref="J114">_xlfn.LET(_xlpm.m, G114,
     _xlpm.rfr, I114,
     _xlpm.sm_down, INDEX(R.IRR_SM_DOWN, _xlpm.m),
     _xlpm.bm_down, INDEX(R.IRR_BM_DOWN, _xlpm.m),
     _xlpm.rfr * (1 - _xlpm.sm_down) - _xlpm.bm_down)</f>
        <v>#N/A</v>
      </c>
      <c r="K114" s="75" t="e">
        <f t="shared" si="6"/>
        <v>#N/A</v>
      </c>
      <c r="L114" s="77">
        <v>2.5260000000000001E-2</v>
      </c>
      <c r="M114" s="75" t="e">
        <f t="shared" si="7"/>
        <v>#N/A</v>
      </c>
      <c r="N114" s="75" t="e">
        <f t="shared" si="5"/>
        <v>#N/A</v>
      </c>
      <c r="O114" s="77">
        <v>2.6349999999999998E-2</v>
      </c>
    </row>
    <row r="115" spans="7:15" x14ac:dyDescent="0.35">
      <c r="G115" s="2">
        <v>94</v>
      </c>
      <c r="H115" s="75">
        <v>0</v>
      </c>
      <c r="I115" s="75" t="e">
        <v>#N/A</v>
      </c>
      <c r="J115" s="75" t="e" cm="1">
        <f t="array" ref="J115">_xlfn.LET(_xlpm.m, G115,
     _xlpm.rfr, I115,
     _xlpm.sm_down, INDEX(R.IRR_SM_DOWN, _xlpm.m),
     _xlpm.bm_down, INDEX(R.IRR_BM_DOWN, _xlpm.m),
     _xlpm.rfr * (1 - _xlpm.sm_down) - _xlpm.bm_down)</f>
        <v>#N/A</v>
      </c>
      <c r="K115" s="75" t="e">
        <f t="shared" si="6"/>
        <v>#N/A</v>
      </c>
      <c r="L115" s="77">
        <v>2.5319999999999999E-2</v>
      </c>
      <c r="M115" s="75" t="e">
        <f t="shared" si="7"/>
        <v>#N/A</v>
      </c>
      <c r="N115" s="75" t="e">
        <f t="shared" si="5"/>
        <v>#N/A</v>
      </c>
      <c r="O115" s="77">
        <v>2.64E-2</v>
      </c>
    </row>
    <row r="116" spans="7:15" x14ac:dyDescent="0.35">
      <c r="G116" s="2">
        <v>95</v>
      </c>
      <c r="H116" s="75">
        <v>0</v>
      </c>
      <c r="I116" s="75" t="e">
        <v>#N/A</v>
      </c>
      <c r="J116" s="75" t="e" cm="1">
        <f t="array" ref="J116">_xlfn.LET(_xlpm.m, G116,
     _xlpm.rfr, I116,
     _xlpm.sm_down, INDEX(R.IRR_SM_DOWN, _xlpm.m),
     _xlpm.bm_down, INDEX(R.IRR_BM_DOWN, _xlpm.m),
     _xlpm.rfr * (1 - _xlpm.sm_down) - _xlpm.bm_down)</f>
        <v>#N/A</v>
      </c>
      <c r="K116" s="75" t="e">
        <f t="shared" si="6"/>
        <v>#N/A</v>
      </c>
      <c r="L116" s="77">
        <v>2.5389999999999999E-2</v>
      </c>
      <c r="M116" s="75" t="e">
        <f t="shared" si="7"/>
        <v>#N/A</v>
      </c>
      <c r="N116" s="75" t="e">
        <f t="shared" si="5"/>
        <v>#N/A</v>
      </c>
      <c r="O116" s="77">
        <v>2.6450000000000001E-2</v>
      </c>
    </row>
    <row r="117" spans="7:15" x14ac:dyDescent="0.35">
      <c r="G117" s="7">
        <v>96</v>
      </c>
      <c r="H117" s="75">
        <v>0</v>
      </c>
      <c r="I117" s="75" t="e">
        <v>#N/A</v>
      </c>
      <c r="J117" s="75" t="e" cm="1">
        <f t="array" ref="J117">_xlfn.LET(_xlpm.m, G117,
     _xlpm.rfr, I117,
     _xlpm.sm_down, INDEX(R.IRR_SM_DOWN, _xlpm.m),
     _xlpm.bm_down, INDEX(R.IRR_BM_DOWN, _xlpm.m),
     _xlpm.rfr * (1 - _xlpm.sm_down) - _xlpm.bm_down)</f>
        <v>#N/A</v>
      </c>
      <c r="K117" s="75" t="e">
        <f t="shared" si="6"/>
        <v>#N/A</v>
      </c>
      <c r="L117" s="77">
        <v>2.545E-2</v>
      </c>
      <c r="M117" s="75" t="e">
        <f t="shared" si="7"/>
        <v>#N/A</v>
      </c>
      <c r="N117" s="75" t="e">
        <f t="shared" si="5"/>
        <v>#N/A</v>
      </c>
      <c r="O117" s="77">
        <v>2.6509999999999999E-2</v>
      </c>
    </row>
    <row r="118" spans="7:15" x14ac:dyDescent="0.35">
      <c r="G118" s="7">
        <v>97</v>
      </c>
      <c r="H118" s="75">
        <v>0</v>
      </c>
      <c r="I118" s="75" t="e">
        <v>#N/A</v>
      </c>
      <c r="J118" s="75" t="e" cm="1">
        <f t="array" ref="J118">_xlfn.LET(_xlpm.m, G118,
     _xlpm.rfr, I118,
     _xlpm.sm_down, INDEX(R.IRR_SM_DOWN, _xlpm.m),
     _xlpm.bm_down, INDEX(R.IRR_BM_DOWN, _xlpm.m),
     _xlpm.rfr * (1 - _xlpm.sm_down) - _xlpm.bm_down)</f>
        <v>#N/A</v>
      </c>
      <c r="K118" s="75" t="e">
        <f t="shared" si="6"/>
        <v>#N/A</v>
      </c>
      <c r="L118" s="77">
        <v>2.5510000000000001E-2</v>
      </c>
      <c r="M118" s="75" t="e">
        <f t="shared" si="7"/>
        <v>#N/A</v>
      </c>
      <c r="N118" s="75" t="e">
        <f t="shared" ref="N118:N149" si="8">M118+LN(1+V.TOTAL_VA)</f>
        <v>#N/A</v>
      </c>
      <c r="O118" s="77">
        <v>2.656E-2</v>
      </c>
    </row>
    <row r="119" spans="7:15" x14ac:dyDescent="0.35">
      <c r="G119" s="7">
        <v>98</v>
      </c>
      <c r="H119" s="75">
        <v>0</v>
      </c>
      <c r="I119" s="75" t="e">
        <v>#N/A</v>
      </c>
      <c r="J119" s="75" t="e" cm="1">
        <f t="array" ref="J119">_xlfn.LET(_xlpm.m, G119,
     _xlpm.rfr, I119,
     _xlpm.sm_down, INDEX(R.IRR_SM_DOWN, _xlpm.m),
     _xlpm.bm_down, INDEX(R.IRR_BM_DOWN, _xlpm.m),
     _xlpm.rfr * (1 - _xlpm.sm_down) - _xlpm.bm_down)</f>
        <v>#N/A</v>
      </c>
      <c r="K119" s="75" t="e">
        <f t="shared" si="6"/>
        <v>#N/A</v>
      </c>
      <c r="L119" s="77">
        <v>2.5579999999999999E-2</v>
      </c>
      <c r="M119" s="75" t="e">
        <f t="shared" ref="M119:M150" si="9">G119*K119-G118*K118</f>
        <v>#N/A</v>
      </c>
      <c r="N119" s="75" t="e">
        <f t="shared" si="8"/>
        <v>#N/A</v>
      </c>
      <c r="O119" s="77">
        <v>2.6610000000000002E-2</v>
      </c>
    </row>
    <row r="120" spans="7:15" x14ac:dyDescent="0.35">
      <c r="G120" s="2">
        <v>99</v>
      </c>
      <c r="H120" s="75">
        <v>0</v>
      </c>
      <c r="I120" s="75" t="e">
        <v>#N/A</v>
      </c>
      <c r="J120" s="75" t="e" cm="1">
        <f t="array" ref="J120">_xlfn.LET(_xlpm.m, G120,
     _xlpm.rfr, I120,
     _xlpm.sm_down, INDEX(R.IRR_SM_DOWN, _xlpm.m),
     _xlpm.bm_down, INDEX(R.IRR_BM_DOWN, _xlpm.m),
     _xlpm.rfr * (1 - _xlpm.sm_down) - _xlpm.bm_down)</f>
        <v>#N/A</v>
      </c>
      <c r="K120" s="75" t="e">
        <f t="shared" si="6"/>
        <v>#N/A</v>
      </c>
      <c r="L120" s="77">
        <v>2.563E-2</v>
      </c>
      <c r="M120" s="75" t="e">
        <f t="shared" si="9"/>
        <v>#N/A</v>
      </c>
      <c r="N120" s="75" t="e">
        <f t="shared" si="8"/>
        <v>#N/A</v>
      </c>
      <c r="O120" s="77">
        <v>2.666E-2</v>
      </c>
    </row>
    <row r="121" spans="7:15" x14ac:dyDescent="0.35">
      <c r="G121" s="2">
        <v>100</v>
      </c>
      <c r="H121" s="75">
        <v>0</v>
      </c>
      <c r="I121" s="75" t="e">
        <v>#N/A</v>
      </c>
      <c r="J121" s="75" t="e" cm="1">
        <f t="array" ref="J121">_xlfn.LET(_xlpm.m, G121,
     _xlpm.rfr, I121,
     _xlpm.sm_down, INDEX(R.IRR_SM_DOWN, _xlpm.m),
     _xlpm.bm_down, INDEX(R.IRR_BM_DOWN, _xlpm.m),
     _xlpm.rfr * (1 - _xlpm.sm_down) - _xlpm.bm_down)</f>
        <v>#N/A</v>
      </c>
      <c r="K121" s="75" t="e">
        <f t="shared" si="6"/>
        <v>#N/A</v>
      </c>
      <c r="L121" s="77">
        <v>2.5690000000000001E-2</v>
      </c>
      <c r="M121" s="75" t="e">
        <f t="shared" si="9"/>
        <v>#N/A</v>
      </c>
      <c r="N121" s="75" t="e">
        <f t="shared" si="8"/>
        <v>#N/A</v>
      </c>
      <c r="O121" s="77">
        <v>2.6710000000000001E-2</v>
      </c>
    </row>
    <row r="122" spans="7:15" x14ac:dyDescent="0.35">
      <c r="G122" s="7">
        <v>101</v>
      </c>
      <c r="H122" s="75">
        <v>0</v>
      </c>
      <c r="I122" s="75" t="e">
        <v>#N/A</v>
      </c>
      <c r="J122" s="75" t="e" cm="1">
        <f t="array" ref="J122">_xlfn.LET(_xlpm.m, G122,
     _xlpm.rfr, I122,
     _xlpm.sm_down, INDEX(R.IRR_SM_DOWN, _xlpm.m),
     _xlpm.bm_down, INDEX(R.IRR_BM_DOWN, _xlpm.m),
     _xlpm.rfr * (1 - _xlpm.sm_down) - _xlpm.bm_down)</f>
        <v>#N/A</v>
      </c>
      <c r="K122" s="75" t="e">
        <f t="shared" si="6"/>
        <v>#N/A</v>
      </c>
      <c r="L122" s="77">
        <v>2.5749999999999999E-2</v>
      </c>
      <c r="M122" s="75" t="e">
        <f t="shared" si="9"/>
        <v>#N/A</v>
      </c>
      <c r="N122" s="75" t="e">
        <f t="shared" si="8"/>
        <v>#N/A</v>
      </c>
      <c r="O122" s="77">
        <v>2.6749999999999999E-2</v>
      </c>
    </row>
    <row r="123" spans="7:15" x14ac:dyDescent="0.35">
      <c r="G123" s="7">
        <v>102</v>
      </c>
      <c r="H123" s="75">
        <v>0</v>
      </c>
      <c r="I123" s="75" t="e">
        <v>#N/A</v>
      </c>
      <c r="J123" s="75" t="e" cm="1">
        <f t="array" ref="J123">_xlfn.LET(_xlpm.m, G123,
     _xlpm.rfr, I123,
     _xlpm.sm_down, INDEX(R.IRR_SM_DOWN, _xlpm.m),
     _xlpm.bm_down, INDEX(R.IRR_BM_DOWN, _xlpm.m),
     _xlpm.rfr * (1 - _xlpm.sm_down) - _xlpm.bm_down)</f>
        <v>#N/A</v>
      </c>
      <c r="K123" s="75" t="e">
        <f t="shared" si="6"/>
        <v>#N/A</v>
      </c>
      <c r="L123" s="77">
        <v>2.581E-2</v>
      </c>
      <c r="M123" s="75" t="e">
        <f t="shared" si="9"/>
        <v>#N/A</v>
      </c>
      <c r="N123" s="75" t="e">
        <f t="shared" si="8"/>
        <v>#N/A</v>
      </c>
      <c r="O123" s="77">
        <v>2.6800000000000001E-2</v>
      </c>
    </row>
    <row r="124" spans="7:15" x14ac:dyDescent="0.35">
      <c r="G124" s="7">
        <v>103</v>
      </c>
      <c r="H124" s="75">
        <v>0</v>
      </c>
      <c r="I124" s="75" t="e">
        <v>#N/A</v>
      </c>
      <c r="J124" s="75" t="e" cm="1">
        <f t="array" ref="J124">_xlfn.LET(_xlpm.m, G124,
     _xlpm.rfr, I124,
     _xlpm.sm_down, INDEX(R.IRR_SM_DOWN, _xlpm.m),
     _xlpm.bm_down, INDEX(R.IRR_BM_DOWN, _xlpm.m),
     _xlpm.rfr * (1 - _xlpm.sm_down) - _xlpm.bm_down)</f>
        <v>#N/A</v>
      </c>
      <c r="K124" s="75" t="e">
        <f t="shared" si="6"/>
        <v>#N/A</v>
      </c>
      <c r="L124" s="77">
        <v>2.5860000000000001E-2</v>
      </c>
      <c r="M124" s="75" t="e">
        <f t="shared" si="9"/>
        <v>#N/A</v>
      </c>
      <c r="N124" s="75" t="e">
        <f t="shared" si="8"/>
        <v>#N/A</v>
      </c>
      <c r="O124" s="77">
        <v>2.6849999999999999E-2</v>
      </c>
    </row>
    <row r="125" spans="7:15" x14ac:dyDescent="0.35">
      <c r="G125" s="2">
        <v>104</v>
      </c>
      <c r="H125" s="75">
        <v>0</v>
      </c>
      <c r="I125" s="75" t="e">
        <v>#N/A</v>
      </c>
      <c r="J125" s="75" t="e" cm="1">
        <f t="array" ref="J125">_xlfn.LET(_xlpm.m, G125,
     _xlpm.rfr, I125,
     _xlpm.sm_down, INDEX(R.IRR_SM_DOWN, _xlpm.m),
     _xlpm.bm_down, INDEX(R.IRR_BM_DOWN, _xlpm.m),
     _xlpm.rfr * (1 - _xlpm.sm_down) - _xlpm.bm_down)</f>
        <v>#N/A</v>
      </c>
      <c r="K125" s="75" t="e">
        <f t="shared" si="6"/>
        <v>#N/A</v>
      </c>
      <c r="L125" s="77">
        <v>2.5919999999999999E-2</v>
      </c>
      <c r="M125" s="75" t="e">
        <f t="shared" si="9"/>
        <v>#N/A</v>
      </c>
      <c r="N125" s="75" t="e">
        <f t="shared" si="8"/>
        <v>#N/A</v>
      </c>
      <c r="O125" s="77">
        <v>2.6890000000000001E-2</v>
      </c>
    </row>
    <row r="126" spans="7:15" x14ac:dyDescent="0.35">
      <c r="G126" s="2">
        <v>105</v>
      </c>
      <c r="H126" s="75">
        <v>0</v>
      </c>
      <c r="I126" s="75" t="e">
        <v>#N/A</v>
      </c>
      <c r="J126" s="75" t="e" cm="1">
        <f t="array" ref="J126">_xlfn.LET(_xlpm.m, G126,
     _xlpm.rfr, I126,
     _xlpm.sm_down, INDEX(R.IRR_SM_DOWN, _xlpm.m),
     _xlpm.bm_down, INDEX(R.IRR_BM_DOWN, _xlpm.m),
     _xlpm.rfr * (1 - _xlpm.sm_down) - _xlpm.bm_down)</f>
        <v>#N/A</v>
      </c>
      <c r="K126" s="75" t="e">
        <f t="shared" si="6"/>
        <v>#N/A</v>
      </c>
      <c r="L126" s="77">
        <v>2.597E-2</v>
      </c>
      <c r="M126" s="75" t="e">
        <f t="shared" si="9"/>
        <v>#N/A</v>
      </c>
      <c r="N126" s="75" t="e">
        <f t="shared" si="8"/>
        <v>#N/A</v>
      </c>
      <c r="O126" s="77">
        <v>2.6929999999999999E-2</v>
      </c>
    </row>
    <row r="127" spans="7:15" x14ac:dyDescent="0.35">
      <c r="G127" s="7">
        <v>106</v>
      </c>
      <c r="H127" s="75">
        <v>0</v>
      </c>
      <c r="I127" s="75" t="e">
        <v>#N/A</v>
      </c>
      <c r="J127" s="75" t="e" cm="1">
        <f t="array" ref="J127">_xlfn.LET(_xlpm.m, G127,
     _xlpm.rfr, I127,
     _xlpm.sm_down, INDEX(R.IRR_SM_DOWN, _xlpm.m),
     _xlpm.bm_down, INDEX(R.IRR_BM_DOWN, _xlpm.m),
     _xlpm.rfr * (1 - _xlpm.sm_down) - _xlpm.bm_down)</f>
        <v>#N/A</v>
      </c>
      <c r="K127" s="75" t="e">
        <f t="shared" si="6"/>
        <v>#N/A</v>
      </c>
      <c r="L127" s="77">
        <v>2.6020000000000001E-2</v>
      </c>
      <c r="M127" s="75" t="e">
        <f t="shared" si="9"/>
        <v>#N/A</v>
      </c>
      <c r="N127" s="75" t="e">
        <f t="shared" si="8"/>
        <v>#N/A</v>
      </c>
      <c r="O127" s="77">
        <v>2.6980000000000001E-2</v>
      </c>
    </row>
    <row r="128" spans="7:15" x14ac:dyDescent="0.35">
      <c r="G128" s="7">
        <v>107</v>
      </c>
      <c r="H128" s="75">
        <v>0</v>
      </c>
      <c r="I128" s="75" t="e">
        <v>#N/A</v>
      </c>
      <c r="J128" s="75" t="e" cm="1">
        <f t="array" ref="J128">_xlfn.LET(_xlpm.m, G128,
     _xlpm.rfr, I128,
     _xlpm.sm_down, INDEX(R.IRR_SM_DOWN, _xlpm.m),
     _xlpm.bm_down, INDEX(R.IRR_BM_DOWN, _xlpm.m),
     _xlpm.rfr * (1 - _xlpm.sm_down) - _xlpm.bm_down)</f>
        <v>#N/A</v>
      </c>
      <c r="K128" s="75" t="e">
        <f t="shared" si="6"/>
        <v>#N/A</v>
      </c>
      <c r="L128" s="77">
        <v>2.6069999999999999E-2</v>
      </c>
      <c r="M128" s="75" t="e">
        <f t="shared" si="9"/>
        <v>#N/A</v>
      </c>
      <c r="N128" s="75" t="e">
        <f t="shared" si="8"/>
        <v>#N/A</v>
      </c>
      <c r="O128" s="77">
        <v>2.7019999999999999E-2</v>
      </c>
    </row>
    <row r="129" spans="7:15" x14ac:dyDescent="0.35">
      <c r="G129" s="7">
        <v>108</v>
      </c>
      <c r="H129" s="75">
        <v>0</v>
      </c>
      <c r="I129" s="75" t="e">
        <v>#N/A</v>
      </c>
      <c r="J129" s="75" t="e" cm="1">
        <f t="array" ref="J129">_xlfn.LET(_xlpm.m, G129,
     _xlpm.rfr, I129,
     _xlpm.sm_down, INDEX(R.IRR_SM_DOWN, _xlpm.m),
     _xlpm.bm_down, INDEX(R.IRR_BM_DOWN, _xlpm.m),
     _xlpm.rfr * (1 - _xlpm.sm_down) - _xlpm.bm_down)</f>
        <v>#N/A</v>
      </c>
      <c r="K129" s="75" t="e">
        <f t="shared" si="6"/>
        <v>#N/A</v>
      </c>
      <c r="L129" s="77">
        <v>2.6120000000000001E-2</v>
      </c>
      <c r="M129" s="75" t="e">
        <f t="shared" si="9"/>
        <v>#N/A</v>
      </c>
      <c r="N129" s="75" t="e">
        <f t="shared" si="8"/>
        <v>#N/A</v>
      </c>
      <c r="O129" s="77">
        <v>2.7060000000000001E-2</v>
      </c>
    </row>
    <row r="130" spans="7:15" x14ac:dyDescent="0.35">
      <c r="G130" s="2">
        <v>109</v>
      </c>
      <c r="H130" s="75">
        <v>0</v>
      </c>
      <c r="I130" s="75" t="e">
        <v>#N/A</v>
      </c>
      <c r="J130" s="75" t="e" cm="1">
        <f t="array" ref="J130">_xlfn.LET(_xlpm.m, G130,
     _xlpm.rfr, I130,
     _xlpm.sm_down, INDEX(R.IRR_SM_DOWN, _xlpm.m),
     _xlpm.bm_down, INDEX(R.IRR_BM_DOWN, _xlpm.m),
     _xlpm.rfr * (1 - _xlpm.sm_down) - _xlpm.bm_down)</f>
        <v>#N/A</v>
      </c>
      <c r="K130" s="75" t="e">
        <f t="shared" si="6"/>
        <v>#N/A</v>
      </c>
      <c r="L130" s="77">
        <v>2.6169999999999999E-2</v>
      </c>
      <c r="M130" s="75" t="e">
        <f t="shared" si="9"/>
        <v>#N/A</v>
      </c>
      <c r="N130" s="75" t="e">
        <f t="shared" si="8"/>
        <v>#N/A</v>
      </c>
      <c r="O130" s="77">
        <v>2.7099999999999999E-2</v>
      </c>
    </row>
    <row r="131" spans="7:15" x14ac:dyDescent="0.35">
      <c r="G131" s="2">
        <v>110</v>
      </c>
      <c r="H131" s="75">
        <v>0</v>
      </c>
      <c r="I131" s="75" t="e">
        <v>#N/A</v>
      </c>
      <c r="J131" s="75" t="e" cm="1">
        <f t="array" ref="J131">_xlfn.LET(_xlpm.m, G131,
     _xlpm.rfr, I131,
     _xlpm.sm_down, INDEX(R.IRR_SM_DOWN, _xlpm.m),
     _xlpm.bm_down, INDEX(R.IRR_BM_DOWN, _xlpm.m),
     _xlpm.rfr * (1 - _xlpm.sm_down) - _xlpm.bm_down)</f>
        <v>#N/A</v>
      </c>
      <c r="K131" s="75" t="e">
        <f t="shared" si="6"/>
        <v>#N/A</v>
      </c>
      <c r="L131" s="77">
        <v>2.622E-2</v>
      </c>
      <c r="M131" s="75" t="e">
        <f t="shared" si="9"/>
        <v>#N/A</v>
      </c>
      <c r="N131" s="75" t="e">
        <f t="shared" si="8"/>
        <v>#N/A</v>
      </c>
      <c r="O131" s="77">
        <v>2.7140000000000001E-2</v>
      </c>
    </row>
    <row r="132" spans="7:15" x14ac:dyDescent="0.35">
      <c r="G132" s="7">
        <v>111</v>
      </c>
      <c r="H132" s="75">
        <v>0</v>
      </c>
      <c r="I132" s="75" t="e">
        <v>#N/A</v>
      </c>
      <c r="J132" s="75" t="e" cm="1">
        <f t="array" ref="J132">_xlfn.LET(_xlpm.m, G132,
     _xlpm.rfr, I132,
     _xlpm.sm_down, INDEX(R.IRR_SM_DOWN, _xlpm.m),
     _xlpm.bm_down, INDEX(R.IRR_BM_DOWN, _xlpm.m),
     _xlpm.rfr * (1 - _xlpm.sm_down) - _xlpm.bm_down)</f>
        <v>#N/A</v>
      </c>
      <c r="K132" s="75" t="e">
        <f t="shared" si="6"/>
        <v>#N/A</v>
      </c>
      <c r="L132" s="77">
        <v>2.6270000000000002E-2</v>
      </c>
      <c r="M132" s="75" t="e">
        <f t="shared" si="9"/>
        <v>#N/A</v>
      </c>
      <c r="N132" s="75" t="e">
        <f t="shared" si="8"/>
        <v>#N/A</v>
      </c>
      <c r="O132" s="77">
        <v>2.7179999999999999E-2</v>
      </c>
    </row>
    <row r="133" spans="7:15" x14ac:dyDescent="0.35">
      <c r="G133" s="7">
        <v>112</v>
      </c>
      <c r="H133" s="75">
        <v>0</v>
      </c>
      <c r="I133" s="75" t="e">
        <v>#N/A</v>
      </c>
      <c r="J133" s="75" t="e" cm="1">
        <f t="array" ref="J133">_xlfn.LET(_xlpm.m, G133,
     _xlpm.rfr, I133,
     _xlpm.sm_down, INDEX(R.IRR_SM_DOWN, _xlpm.m),
     _xlpm.bm_down, INDEX(R.IRR_BM_DOWN, _xlpm.m),
     _xlpm.rfr * (1 - _xlpm.sm_down) - _xlpm.bm_down)</f>
        <v>#N/A</v>
      </c>
      <c r="K133" s="75" t="e">
        <f t="shared" si="6"/>
        <v>#N/A</v>
      </c>
      <c r="L133" s="77">
        <v>2.631E-2</v>
      </c>
      <c r="M133" s="75" t="e">
        <f t="shared" si="9"/>
        <v>#N/A</v>
      </c>
      <c r="N133" s="75" t="e">
        <f t="shared" si="8"/>
        <v>#N/A</v>
      </c>
      <c r="O133" s="77">
        <v>2.7220000000000001E-2</v>
      </c>
    </row>
    <row r="134" spans="7:15" x14ac:dyDescent="0.35">
      <c r="G134" s="7">
        <v>113</v>
      </c>
      <c r="H134" s="75">
        <v>0</v>
      </c>
      <c r="I134" s="75" t="e">
        <v>#N/A</v>
      </c>
      <c r="J134" s="75" t="e" cm="1">
        <f t="array" ref="J134">_xlfn.LET(_xlpm.m, G134,
     _xlpm.rfr, I134,
     _xlpm.sm_down, INDEX(R.IRR_SM_DOWN, _xlpm.m),
     _xlpm.bm_down, INDEX(R.IRR_BM_DOWN, _xlpm.m),
     _xlpm.rfr * (1 - _xlpm.sm_down) - _xlpm.bm_down)</f>
        <v>#N/A</v>
      </c>
      <c r="K134" s="75" t="e">
        <f t="shared" si="6"/>
        <v>#N/A</v>
      </c>
      <c r="L134" s="77">
        <v>2.6360000000000001E-2</v>
      </c>
      <c r="M134" s="75" t="e">
        <f t="shared" si="9"/>
        <v>#N/A</v>
      </c>
      <c r="N134" s="75" t="e">
        <f t="shared" si="8"/>
        <v>#N/A</v>
      </c>
      <c r="O134" s="77">
        <v>2.726E-2</v>
      </c>
    </row>
    <row r="135" spans="7:15" x14ac:dyDescent="0.35">
      <c r="G135" s="2">
        <v>114</v>
      </c>
      <c r="H135" s="75">
        <v>0</v>
      </c>
      <c r="I135" s="75" t="e">
        <v>#N/A</v>
      </c>
      <c r="J135" s="75" t="e" cm="1">
        <f t="array" ref="J135">_xlfn.LET(_xlpm.m, G135,
     _xlpm.rfr, I135,
     _xlpm.sm_down, INDEX(R.IRR_SM_DOWN, _xlpm.m),
     _xlpm.bm_down, INDEX(R.IRR_BM_DOWN, _xlpm.m),
     _xlpm.rfr * (1 - _xlpm.sm_down) - _xlpm.bm_down)</f>
        <v>#N/A</v>
      </c>
      <c r="K135" s="75" t="e">
        <f t="shared" si="6"/>
        <v>#N/A</v>
      </c>
      <c r="L135" s="77">
        <v>2.64E-2</v>
      </c>
      <c r="M135" s="75" t="e">
        <f t="shared" si="9"/>
        <v>#N/A</v>
      </c>
      <c r="N135" s="75" t="e">
        <f t="shared" si="8"/>
        <v>#N/A</v>
      </c>
      <c r="O135" s="77">
        <v>2.7289999999999998E-2</v>
      </c>
    </row>
    <row r="136" spans="7:15" x14ac:dyDescent="0.35">
      <c r="G136" s="2">
        <v>115</v>
      </c>
      <c r="H136" s="75">
        <v>0</v>
      </c>
      <c r="I136" s="75" t="e">
        <v>#N/A</v>
      </c>
      <c r="J136" s="75" t="e" cm="1">
        <f t="array" ref="J136">_xlfn.LET(_xlpm.m, G136,
     _xlpm.rfr, I136,
     _xlpm.sm_down, INDEX(R.IRR_SM_DOWN, _xlpm.m),
     _xlpm.bm_down, INDEX(R.IRR_BM_DOWN, _xlpm.m),
     _xlpm.rfr * (1 - _xlpm.sm_down) - _xlpm.bm_down)</f>
        <v>#N/A</v>
      </c>
      <c r="K136" s="75" t="e">
        <f t="shared" si="6"/>
        <v>#N/A</v>
      </c>
      <c r="L136" s="77">
        <v>2.6450000000000001E-2</v>
      </c>
      <c r="M136" s="75" t="e">
        <f t="shared" si="9"/>
        <v>#N/A</v>
      </c>
      <c r="N136" s="75" t="e">
        <f t="shared" si="8"/>
        <v>#N/A</v>
      </c>
      <c r="O136" s="77">
        <v>2.733E-2</v>
      </c>
    </row>
    <row r="137" spans="7:15" x14ac:dyDescent="0.35">
      <c r="G137" s="7">
        <v>116</v>
      </c>
      <c r="H137" s="75">
        <v>0</v>
      </c>
      <c r="I137" s="75" t="e">
        <v>#N/A</v>
      </c>
      <c r="J137" s="75" t="e" cm="1">
        <f t="array" ref="J137">_xlfn.LET(_xlpm.m, G137,
     _xlpm.rfr, I137,
     _xlpm.sm_down, INDEX(R.IRR_SM_DOWN, _xlpm.m),
     _xlpm.bm_down, INDEX(R.IRR_BM_DOWN, _xlpm.m),
     _xlpm.rfr * (1 - _xlpm.sm_down) - _xlpm.bm_down)</f>
        <v>#N/A</v>
      </c>
      <c r="K137" s="75" t="e">
        <f t="shared" si="6"/>
        <v>#N/A</v>
      </c>
      <c r="L137" s="77">
        <v>2.649E-2</v>
      </c>
      <c r="M137" s="75" t="e">
        <f t="shared" si="9"/>
        <v>#N/A</v>
      </c>
      <c r="N137" s="75" t="e">
        <f t="shared" si="8"/>
        <v>#N/A</v>
      </c>
      <c r="O137" s="77">
        <v>2.7369999999999998E-2</v>
      </c>
    </row>
    <row r="138" spans="7:15" x14ac:dyDescent="0.35">
      <c r="G138" s="7">
        <v>117</v>
      </c>
      <c r="H138" s="75">
        <v>0</v>
      </c>
      <c r="I138" s="75" t="e">
        <v>#N/A</v>
      </c>
      <c r="J138" s="75" t="e" cm="1">
        <f t="array" ref="J138">_xlfn.LET(_xlpm.m, G138,
     _xlpm.rfr, I138,
     _xlpm.sm_down, INDEX(R.IRR_SM_DOWN, _xlpm.m),
     _xlpm.bm_down, INDEX(R.IRR_BM_DOWN, _xlpm.m),
     _xlpm.rfr * (1 - _xlpm.sm_down) - _xlpm.bm_down)</f>
        <v>#N/A</v>
      </c>
      <c r="K138" s="75" t="e">
        <f t="shared" si="6"/>
        <v>#N/A</v>
      </c>
      <c r="L138" s="77">
        <v>2.6530000000000001E-2</v>
      </c>
      <c r="M138" s="75" t="e">
        <f t="shared" si="9"/>
        <v>#N/A</v>
      </c>
      <c r="N138" s="75" t="e">
        <f t="shared" si="8"/>
        <v>#N/A</v>
      </c>
      <c r="O138" s="77">
        <v>2.7400000000000001E-2</v>
      </c>
    </row>
    <row r="139" spans="7:15" x14ac:dyDescent="0.35">
      <c r="G139" s="7">
        <v>118</v>
      </c>
      <c r="H139" s="75">
        <v>0</v>
      </c>
      <c r="I139" s="75" t="e">
        <v>#N/A</v>
      </c>
      <c r="J139" s="75" t="e" cm="1">
        <f t="array" ref="J139">_xlfn.LET(_xlpm.m, G139,
     _xlpm.rfr, I139,
     _xlpm.sm_down, INDEX(R.IRR_SM_DOWN, _xlpm.m),
     _xlpm.bm_down, INDEX(R.IRR_BM_DOWN, _xlpm.m),
     _xlpm.rfr * (1 - _xlpm.sm_down) - _xlpm.bm_down)</f>
        <v>#N/A</v>
      </c>
      <c r="K139" s="75" t="e">
        <f t="shared" si="6"/>
        <v>#N/A</v>
      </c>
      <c r="L139" s="77">
        <v>2.6579999999999999E-2</v>
      </c>
      <c r="M139" s="75" t="e">
        <f t="shared" si="9"/>
        <v>#N/A</v>
      </c>
      <c r="N139" s="75" t="e">
        <f t="shared" si="8"/>
        <v>#N/A</v>
      </c>
      <c r="O139" s="77">
        <v>2.7439999999999999E-2</v>
      </c>
    </row>
    <row r="140" spans="7:15" x14ac:dyDescent="0.35">
      <c r="G140" s="2">
        <v>119</v>
      </c>
      <c r="H140" s="75">
        <v>0</v>
      </c>
      <c r="I140" s="75" t="e">
        <v>#N/A</v>
      </c>
      <c r="J140" s="75" t="e" cm="1">
        <f t="array" ref="J140">_xlfn.LET(_xlpm.m, G140,
     _xlpm.rfr, I140,
     _xlpm.sm_down, INDEX(R.IRR_SM_DOWN, _xlpm.m),
     _xlpm.bm_down, INDEX(R.IRR_BM_DOWN, _xlpm.m),
     _xlpm.rfr * (1 - _xlpm.sm_down) - _xlpm.bm_down)</f>
        <v>#N/A</v>
      </c>
      <c r="K140" s="75" t="e">
        <f t="shared" si="6"/>
        <v>#N/A</v>
      </c>
      <c r="L140" s="77">
        <v>2.6620000000000001E-2</v>
      </c>
      <c r="M140" s="75" t="e">
        <f t="shared" si="9"/>
        <v>#N/A</v>
      </c>
      <c r="N140" s="75" t="e">
        <f t="shared" si="8"/>
        <v>#N/A</v>
      </c>
      <c r="O140" s="77">
        <v>2.7470000000000001E-2</v>
      </c>
    </row>
    <row r="141" spans="7:15" x14ac:dyDescent="0.35">
      <c r="G141" s="2">
        <v>120</v>
      </c>
      <c r="H141" s="75">
        <v>0</v>
      </c>
      <c r="I141" s="75" t="e">
        <v>#N/A</v>
      </c>
      <c r="J141" s="75" t="e" cm="1">
        <f t="array" ref="J141">_xlfn.LET(_xlpm.m, G141,
     _xlpm.rfr, I141,
     _xlpm.sm_down, INDEX(R.IRR_SM_DOWN, _xlpm.m),
     _xlpm.bm_down, INDEX(R.IRR_BM_DOWN, _xlpm.m),
     _xlpm.rfr * (1 - _xlpm.sm_down) - _xlpm.bm_down)</f>
        <v>#N/A</v>
      </c>
      <c r="K141" s="75" t="e">
        <f t="shared" si="6"/>
        <v>#N/A</v>
      </c>
      <c r="L141" s="77">
        <v>2.666E-2</v>
      </c>
      <c r="M141" s="75" t="e">
        <f t="shared" si="9"/>
        <v>#N/A</v>
      </c>
      <c r="N141" s="75" t="e">
        <f t="shared" si="8"/>
        <v>#N/A</v>
      </c>
      <c r="O141" s="77">
        <v>2.75E-2</v>
      </c>
    </row>
    <row r="142" spans="7:15" x14ac:dyDescent="0.35">
      <c r="G142" s="7">
        <v>121</v>
      </c>
      <c r="H142" s="75">
        <v>0</v>
      </c>
      <c r="I142" s="75" t="e">
        <v>#N/A</v>
      </c>
      <c r="J142" s="75" t="e" cm="1">
        <f t="array" ref="J142">_xlfn.LET(_xlpm.m, G142,
     _xlpm.rfr, I142,
     _xlpm.sm_down, INDEX(R.IRR_SM_DOWN, _xlpm.m),
     _xlpm.bm_down, INDEX(R.IRR_BM_DOWN, _xlpm.m),
     _xlpm.rfr * (1 - _xlpm.sm_down) - _xlpm.bm_down)</f>
        <v>#N/A</v>
      </c>
      <c r="K142" s="75" t="e">
        <f t="shared" si="6"/>
        <v>#N/A</v>
      </c>
      <c r="L142" s="77">
        <v>2.6700000000000002E-2</v>
      </c>
      <c r="M142" s="75" t="e">
        <f t="shared" si="9"/>
        <v>#N/A</v>
      </c>
      <c r="N142" s="75" t="e">
        <f t="shared" si="8"/>
        <v>#N/A</v>
      </c>
      <c r="O142" s="77">
        <v>2.7539999999999999E-2</v>
      </c>
    </row>
    <row r="143" spans="7:15" x14ac:dyDescent="0.35">
      <c r="G143" s="7">
        <v>122</v>
      </c>
      <c r="H143" s="75">
        <v>0</v>
      </c>
      <c r="I143" s="75" t="e">
        <v>#N/A</v>
      </c>
      <c r="J143" s="75" t="e" cm="1">
        <f t="array" ref="J143">_xlfn.LET(_xlpm.m, G143,
     _xlpm.rfr, I143,
     _xlpm.sm_down, INDEX(R.IRR_SM_DOWN, _xlpm.m),
     _xlpm.bm_down, INDEX(R.IRR_BM_DOWN, _xlpm.m),
     _xlpm.rfr * (1 - _xlpm.sm_down) - _xlpm.bm_down)</f>
        <v>#N/A</v>
      </c>
      <c r="K143" s="75" t="e">
        <f t="shared" si="6"/>
        <v>#N/A</v>
      </c>
      <c r="L143" s="77">
        <v>2.674E-2</v>
      </c>
      <c r="M143" s="75" t="e">
        <f t="shared" si="9"/>
        <v>#N/A</v>
      </c>
      <c r="N143" s="75" t="e">
        <f t="shared" si="8"/>
        <v>#N/A</v>
      </c>
      <c r="O143" s="77">
        <v>2.7570000000000001E-2</v>
      </c>
    </row>
    <row r="144" spans="7:15" x14ac:dyDescent="0.35">
      <c r="G144" s="7">
        <v>123</v>
      </c>
      <c r="H144" s="75">
        <v>0</v>
      </c>
      <c r="I144" s="75" t="e">
        <v>#N/A</v>
      </c>
      <c r="J144" s="75" t="e" cm="1">
        <f t="array" ref="J144">_xlfn.LET(_xlpm.m, G144,
     _xlpm.rfr, I144,
     _xlpm.sm_down, INDEX(R.IRR_SM_DOWN, _xlpm.m),
     _xlpm.bm_down, INDEX(R.IRR_BM_DOWN, _xlpm.m),
     _xlpm.rfr * (1 - _xlpm.sm_down) - _xlpm.bm_down)</f>
        <v>#N/A</v>
      </c>
      <c r="K144" s="75" t="e">
        <f t="shared" si="6"/>
        <v>#N/A</v>
      </c>
      <c r="L144" s="77">
        <v>2.6780000000000002E-2</v>
      </c>
      <c r="M144" s="75" t="e">
        <f t="shared" si="9"/>
        <v>#N/A</v>
      </c>
      <c r="N144" s="75" t="e">
        <f t="shared" si="8"/>
        <v>#N/A</v>
      </c>
      <c r="O144" s="77">
        <v>2.76E-2</v>
      </c>
    </row>
    <row r="145" spans="7:15" x14ac:dyDescent="0.35">
      <c r="G145" s="2">
        <v>124</v>
      </c>
      <c r="H145" s="75">
        <v>0</v>
      </c>
      <c r="I145" s="75" t="e">
        <v>#N/A</v>
      </c>
      <c r="J145" s="75" t="e" cm="1">
        <f t="array" ref="J145">_xlfn.LET(_xlpm.m, G145,
     _xlpm.rfr, I145,
     _xlpm.sm_down, INDEX(R.IRR_SM_DOWN, _xlpm.m),
     _xlpm.bm_down, INDEX(R.IRR_BM_DOWN, _xlpm.m),
     _xlpm.rfr * (1 - _xlpm.sm_down) - _xlpm.bm_down)</f>
        <v>#N/A</v>
      </c>
      <c r="K145" s="75" t="e">
        <f t="shared" si="6"/>
        <v>#N/A</v>
      </c>
      <c r="L145" s="77">
        <v>2.681E-2</v>
      </c>
      <c r="M145" s="75" t="e">
        <f t="shared" si="9"/>
        <v>#N/A</v>
      </c>
      <c r="N145" s="75" t="e">
        <f t="shared" si="8"/>
        <v>#N/A</v>
      </c>
      <c r="O145" s="77">
        <v>2.7629999999999998E-2</v>
      </c>
    </row>
    <row r="146" spans="7:15" x14ac:dyDescent="0.35">
      <c r="G146" s="2">
        <v>125</v>
      </c>
      <c r="H146" s="75">
        <v>0</v>
      </c>
      <c r="I146" s="75" t="e">
        <v>#N/A</v>
      </c>
      <c r="J146" s="75" t="e" cm="1">
        <f t="array" ref="J146">_xlfn.LET(_xlpm.m, G146,
     _xlpm.rfr, I146,
     _xlpm.sm_down, INDEX(R.IRR_SM_DOWN, _xlpm.m),
     _xlpm.bm_down, INDEX(R.IRR_BM_DOWN, _xlpm.m),
     _xlpm.rfr * (1 - _xlpm.sm_down) - _xlpm.bm_down)</f>
        <v>#N/A</v>
      </c>
      <c r="K146" s="75" t="e">
        <f t="shared" si="6"/>
        <v>#N/A</v>
      </c>
      <c r="L146" s="77">
        <v>2.6849999999999999E-2</v>
      </c>
      <c r="M146" s="75" t="e">
        <f t="shared" si="9"/>
        <v>#N/A</v>
      </c>
      <c r="N146" s="75" t="e">
        <f t="shared" si="8"/>
        <v>#N/A</v>
      </c>
      <c r="O146" s="77">
        <v>2.7660000000000001E-2</v>
      </c>
    </row>
    <row r="147" spans="7:15" x14ac:dyDescent="0.35">
      <c r="G147" s="7">
        <v>126</v>
      </c>
      <c r="H147" s="75">
        <v>0</v>
      </c>
      <c r="I147" s="75" t="e">
        <v>#N/A</v>
      </c>
      <c r="J147" s="75" t="e" cm="1">
        <f t="array" ref="J147">_xlfn.LET(_xlpm.m, G147,
     _xlpm.rfr, I147,
     _xlpm.sm_down, INDEX(R.IRR_SM_DOWN, _xlpm.m),
     _xlpm.bm_down, INDEX(R.IRR_BM_DOWN, _xlpm.m),
     _xlpm.rfr * (1 - _xlpm.sm_down) - _xlpm.bm_down)</f>
        <v>#N/A</v>
      </c>
      <c r="K147" s="75" t="e">
        <f t="shared" si="6"/>
        <v>#N/A</v>
      </c>
      <c r="L147" s="77">
        <v>2.6890000000000001E-2</v>
      </c>
      <c r="M147" s="75" t="e">
        <f t="shared" si="9"/>
        <v>#N/A</v>
      </c>
      <c r="N147" s="75" t="e">
        <f t="shared" si="8"/>
        <v>#N/A</v>
      </c>
      <c r="O147" s="77">
        <v>2.7689999999999999E-2</v>
      </c>
    </row>
    <row r="148" spans="7:15" x14ac:dyDescent="0.35">
      <c r="G148" s="7">
        <v>127</v>
      </c>
      <c r="H148" s="75">
        <v>0</v>
      </c>
      <c r="I148" s="75" t="e">
        <v>#N/A</v>
      </c>
      <c r="J148" s="75" t="e" cm="1">
        <f t="array" ref="J148">_xlfn.LET(_xlpm.m, G148,
     _xlpm.rfr, I148,
     _xlpm.sm_down, INDEX(R.IRR_SM_DOWN, _xlpm.m),
     _xlpm.bm_down, INDEX(R.IRR_BM_DOWN, _xlpm.m),
     _xlpm.rfr * (1 - _xlpm.sm_down) - _xlpm.bm_down)</f>
        <v>#N/A</v>
      </c>
      <c r="K148" s="75" t="e">
        <f t="shared" si="6"/>
        <v>#N/A</v>
      </c>
      <c r="L148" s="77">
        <v>2.6919999999999999E-2</v>
      </c>
      <c r="M148" s="75" t="e">
        <f t="shared" si="9"/>
        <v>#N/A</v>
      </c>
      <c r="N148" s="75" t="e">
        <f t="shared" si="8"/>
        <v>#N/A</v>
      </c>
      <c r="O148" s="77">
        <v>2.7720000000000002E-2</v>
      </c>
    </row>
    <row r="149" spans="7:15" x14ac:dyDescent="0.35">
      <c r="G149" s="7">
        <v>128</v>
      </c>
      <c r="H149" s="75">
        <v>0</v>
      </c>
      <c r="I149" s="75" t="e">
        <v>#N/A</v>
      </c>
      <c r="J149" s="75" t="e" cm="1">
        <f t="array" ref="J149">_xlfn.LET(_xlpm.m, G149,
     _xlpm.rfr, I149,
     _xlpm.sm_down, INDEX(R.IRR_SM_DOWN, _xlpm.m),
     _xlpm.bm_down, INDEX(R.IRR_BM_DOWN, _xlpm.m),
     _xlpm.rfr * (1 - _xlpm.sm_down) - _xlpm.bm_down)</f>
        <v>#N/A</v>
      </c>
      <c r="K149" s="75" t="e">
        <f t="shared" si="6"/>
        <v>#N/A</v>
      </c>
      <c r="L149" s="77">
        <v>2.6960000000000001E-2</v>
      </c>
      <c r="M149" s="75" t="e">
        <f t="shared" si="9"/>
        <v>#N/A</v>
      </c>
      <c r="N149" s="75" t="e">
        <f t="shared" si="8"/>
        <v>#N/A</v>
      </c>
      <c r="O149" s="77">
        <v>2.775E-2</v>
      </c>
    </row>
    <row r="150" spans="7:15" x14ac:dyDescent="0.35">
      <c r="G150" s="2">
        <v>129</v>
      </c>
      <c r="H150" s="75">
        <v>0</v>
      </c>
      <c r="I150" s="75" t="e">
        <v>#N/A</v>
      </c>
      <c r="J150" s="75" t="e" cm="1">
        <f t="array" ref="J150">_xlfn.LET(_xlpm.m, G150,
     _xlpm.rfr, I150,
     _xlpm.sm_down, INDEX(R.IRR_SM_DOWN, _xlpm.m),
     _xlpm.bm_down, INDEX(R.IRR_BM_DOWN, _xlpm.m),
     _xlpm.rfr * (1 - _xlpm.sm_down) - _xlpm.bm_down)</f>
        <v>#N/A</v>
      </c>
      <c r="K150" s="75" t="e">
        <f t="shared" si="6"/>
        <v>#N/A</v>
      </c>
      <c r="L150" s="77">
        <v>2.7E-2</v>
      </c>
      <c r="M150" s="75" t="e">
        <f t="shared" si="9"/>
        <v>#N/A</v>
      </c>
      <c r="N150" s="75" t="e">
        <f t="shared" ref="N150:N171" si="10">M150+LN(1+V.TOTAL_VA)</f>
        <v>#N/A</v>
      </c>
      <c r="O150" s="77">
        <v>2.7779999999999999E-2</v>
      </c>
    </row>
    <row r="151" spans="7:15" x14ac:dyDescent="0.35">
      <c r="G151" s="2">
        <v>130</v>
      </c>
      <c r="H151" s="75">
        <v>0</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2.7029999999999998E-2</v>
      </c>
      <c r="M151" s="75" t="e">
        <f t="shared" ref="M151:M171" si="12">G151*K151-G150*K150</f>
        <v>#N/A</v>
      </c>
      <c r="N151" s="75" t="e">
        <f t="shared" si="10"/>
        <v>#N/A</v>
      </c>
      <c r="O151" s="77">
        <v>2.7810000000000001E-2</v>
      </c>
    </row>
    <row r="152" spans="7:15" x14ac:dyDescent="0.35">
      <c r="G152" s="7">
        <v>131</v>
      </c>
      <c r="H152" s="75">
        <v>0</v>
      </c>
      <c r="I152" s="75" t="e">
        <v>#N/A</v>
      </c>
      <c r="J152" s="75" t="e" cm="1">
        <f t="array" ref="J152">_xlfn.LET(_xlpm.m, G152,
     _xlpm.rfr, I152,
     _xlpm.sm_down, INDEX(R.IRR_SM_DOWN, _xlpm.m),
     _xlpm.bm_down, INDEX(R.IRR_BM_DOWN, _xlpm.m),
     _xlpm.rfr * (1 - _xlpm.sm_down) - _xlpm.bm_down)</f>
        <v>#N/A</v>
      </c>
      <c r="K152" s="75" t="e">
        <f t="shared" si="11"/>
        <v>#N/A</v>
      </c>
      <c r="L152" s="77">
        <v>2.7060000000000001E-2</v>
      </c>
      <c r="M152" s="75" t="e">
        <f t="shared" si="12"/>
        <v>#N/A</v>
      </c>
      <c r="N152" s="75" t="e">
        <f t="shared" si="10"/>
        <v>#N/A</v>
      </c>
      <c r="O152" s="77">
        <v>2.784E-2</v>
      </c>
    </row>
    <row r="153" spans="7:15" x14ac:dyDescent="0.35">
      <c r="G153" s="7">
        <v>132</v>
      </c>
      <c r="H153" s="75">
        <v>0</v>
      </c>
      <c r="I153" s="75" t="e">
        <v>#N/A</v>
      </c>
      <c r="J153" s="75" t="e" cm="1">
        <f t="array" ref="J153">_xlfn.LET(_xlpm.m, G153,
     _xlpm.rfr, I153,
     _xlpm.sm_down, INDEX(R.IRR_SM_DOWN, _xlpm.m),
     _xlpm.bm_down, INDEX(R.IRR_BM_DOWN, _xlpm.m),
     _xlpm.rfr * (1 - _xlpm.sm_down) - _xlpm.bm_down)</f>
        <v>#N/A</v>
      </c>
      <c r="K153" s="75" t="e">
        <f t="shared" si="11"/>
        <v>#N/A</v>
      </c>
      <c r="L153" s="77">
        <v>2.7099999999999999E-2</v>
      </c>
      <c r="M153" s="75" t="e">
        <f t="shared" si="12"/>
        <v>#N/A</v>
      </c>
      <c r="N153" s="75" t="e">
        <f t="shared" si="10"/>
        <v>#N/A</v>
      </c>
      <c r="O153" s="77">
        <v>2.7869999999999999E-2</v>
      </c>
    </row>
    <row r="154" spans="7:15" x14ac:dyDescent="0.35">
      <c r="G154" s="7">
        <v>133</v>
      </c>
      <c r="H154" s="75">
        <v>0</v>
      </c>
      <c r="I154" s="75" t="e">
        <v>#N/A</v>
      </c>
      <c r="J154" s="75" t="e" cm="1">
        <f t="array" ref="J154">_xlfn.LET(_xlpm.m, G154,
     _xlpm.rfr, I154,
     _xlpm.sm_down, INDEX(R.IRR_SM_DOWN, _xlpm.m),
     _xlpm.bm_down, INDEX(R.IRR_BM_DOWN, _xlpm.m),
     _xlpm.rfr * (1 - _xlpm.sm_down) - _xlpm.bm_down)</f>
        <v>#N/A</v>
      </c>
      <c r="K154" s="75" t="e">
        <f t="shared" si="11"/>
        <v>#N/A</v>
      </c>
      <c r="L154" s="77">
        <v>2.7130000000000001E-2</v>
      </c>
      <c r="M154" s="75" t="e">
        <f t="shared" si="12"/>
        <v>#N/A</v>
      </c>
      <c r="N154" s="75" t="e">
        <f t="shared" si="10"/>
        <v>#N/A</v>
      </c>
      <c r="O154" s="77">
        <v>2.7890000000000002E-2</v>
      </c>
    </row>
    <row r="155" spans="7:15" x14ac:dyDescent="0.35">
      <c r="G155" s="2">
        <v>134</v>
      </c>
      <c r="H155" s="75">
        <v>0</v>
      </c>
      <c r="I155" s="75" t="e">
        <v>#N/A</v>
      </c>
      <c r="J155" s="75" t="e" cm="1">
        <f t="array" ref="J155">_xlfn.LET(_xlpm.m, G155,
     _xlpm.rfr, I155,
     _xlpm.sm_down, INDEX(R.IRR_SM_DOWN, _xlpm.m),
     _xlpm.bm_down, INDEX(R.IRR_BM_DOWN, _xlpm.m),
     _xlpm.rfr * (1 - _xlpm.sm_down) - _xlpm.bm_down)</f>
        <v>#N/A</v>
      </c>
      <c r="K155" s="75" t="e">
        <f t="shared" si="11"/>
        <v>#N/A</v>
      </c>
      <c r="L155" s="77">
        <v>2.716E-2</v>
      </c>
      <c r="M155" s="75" t="e">
        <f t="shared" si="12"/>
        <v>#N/A</v>
      </c>
      <c r="N155" s="75" t="e">
        <f t="shared" si="10"/>
        <v>#N/A</v>
      </c>
      <c r="O155" s="77">
        <v>2.792E-2</v>
      </c>
    </row>
    <row r="156" spans="7:15" x14ac:dyDescent="0.35">
      <c r="G156" s="2">
        <v>135</v>
      </c>
      <c r="H156" s="75">
        <v>0</v>
      </c>
      <c r="I156" s="75" t="e">
        <v>#N/A</v>
      </c>
      <c r="J156" s="75" t="e" cm="1">
        <f t="array" ref="J156">_xlfn.LET(_xlpm.m, G156,
     _xlpm.rfr, I156,
     _xlpm.sm_down, INDEX(R.IRR_SM_DOWN, _xlpm.m),
     _xlpm.bm_down, INDEX(R.IRR_BM_DOWN, _xlpm.m),
     _xlpm.rfr * (1 - _xlpm.sm_down) - _xlpm.bm_down)</f>
        <v>#N/A</v>
      </c>
      <c r="K156" s="75" t="e">
        <f t="shared" si="11"/>
        <v>#N/A</v>
      </c>
      <c r="L156" s="77">
        <v>2.7199999999999998E-2</v>
      </c>
      <c r="M156" s="75" t="e">
        <f t="shared" si="12"/>
        <v>#N/A</v>
      </c>
      <c r="N156" s="75" t="e">
        <f t="shared" si="10"/>
        <v>#N/A</v>
      </c>
      <c r="O156" s="77">
        <v>2.7949999999999999E-2</v>
      </c>
    </row>
    <row r="157" spans="7:15" x14ac:dyDescent="0.35">
      <c r="G157" s="7">
        <v>136</v>
      </c>
      <c r="H157" s="75">
        <v>0</v>
      </c>
      <c r="I157" s="75" t="e">
        <v>#N/A</v>
      </c>
      <c r="J157" s="75" t="e" cm="1">
        <f t="array" ref="J157">_xlfn.LET(_xlpm.m, G157,
     _xlpm.rfr, I157,
     _xlpm.sm_down, INDEX(R.IRR_SM_DOWN, _xlpm.m),
     _xlpm.bm_down, INDEX(R.IRR_BM_DOWN, _xlpm.m),
     _xlpm.rfr * (1 - _xlpm.sm_down) - _xlpm.bm_down)</f>
        <v>#N/A</v>
      </c>
      <c r="K157" s="75" t="e">
        <f t="shared" si="11"/>
        <v>#N/A</v>
      </c>
      <c r="L157" s="77">
        <v>2.7230000000000001E-2</v>
      </c>
      <c r="M157" s="75" t="e">
        <f t="shared" si="12"/>
        <v>#N/A</v>
      </c>
      <c r="N157" s="75" t="e">
        <f t="shared" si="10"/>
        <v>#N/A</v>
      </c>
      <c r="O157" s="77">
        <v>2.7969999999999998E-2</v>
      </c>
    </row>
    <row r="158" spans="7:15" x14ac:dyDescent="0.35">
      <c r="G158" s="7">
        <v>137</v>
      </c>
      <c r="H158" s="75">
        <v>0</v>
      </c>
      <c r="I158" s="75" t="e">
        <v>#N/A</v>
      </c>
      <c r="J158" s="75" t="e" cm="1">
        <f t="array" ref="J158">_xlfn.LET(_xlpm.m, G158,
     _xlpm.rfr, I158,
     _xlpm.sm_down, INDEX(R.IRR_SM_DOWN, _xlpm.m),
     _xlpm.bm_down, INDEX(R.IRR_BM_DOWN, _xlpm.m),
     _xlpm.rfr * (1 - _xlpm.sm_down) - _xlpm.bm_down)</f>
        <v>#N/A</v>
      </c>
      <c r="K158" s="75" t="e">
        <f t="shared" si="11"/>
        <v>#N/A</v>
      </c>
      <c r="L158" s="77">
        <v>2.726E-2</v>
      </c>
      <c r="M158" s="75" t="e">
        <f t="shared" si="12"/>
        <v>#N/A</v>
      </c>
      <c r="N158" s="75" t="e">
        <f t="shared" si="10"/>
        <v>#N/A</v>
      </c>
      <c r="O158" s="77">
        <v>2.8000000000000001E-2</v>
      </c>
    </row>
    <row r="159" spans="7:15" x14ac:dyDescent="0.35">
      <c r="G159" s="7">
        <v>138</v>
      </c>
      <c r="H159" s="75">
        <v>0</v>
      </c>
      <c r="I159" s="75" t="e">
        <v>#N/A</v>
      </c>
      <c r="J159" s="75" t="e" cm="1">
        <f t="array" ref="J159">_xlfn.LET(_xlpm.m, G159,
     _xlpm.rfr, I159,
     _xlpm.sm_down, INDEX(R.IRR_SM_DOWN, _xlpm.m),
     _xlpm.bm_down, INDEX(R.IRR_BM_DOWN, _xlpm.m),
     _xlpm.rfr * (1 - _xlpm.sm_down) - _xlpm.bm_down)</f>
        <v>#N/A</v>
      </c>
      <c r="K159" s="75" t="e">
        <f t="shared" si="11"/>
        <v>#N/A</v>
      </c>
      <c r="L159" s="77">
        <v>2.7289999999999998E-2</v>
      </c>
      <c r="M159" s="75" t="e">
        <f t="shared" si="12"/>
        <v>#N/A</v>
      </c>
      <c r="N159" s="75" t="e">
        <f t="shared" si="10"/>
        <v>#N/A</v>
      </c>
      <c r="O159" s="77">
        <v>2.802E-2</v>
      </c>
    </row>
    <row r="160" spans="7:15" x14ac:dyDescent="0.35">
      <c r="G160" s="2">
        <v>139</v>
      </c>
      <c r="H160" s="75">
        <v>0</v>
      </c>
      <c r="I160" s="75" t="e">
        <v>#N/A</v>
      </c>
      <c r="J160" s="75" t="e" cm="1">
        <f t="array" ref="J160">_xlfn.LET(_xlpm.m, G160,
     _xlpm.rfr, I160,
     _xlpm.sm_down, INDEX(R.IRR_SM_DOWN, _xlpm.m),
     _xlpm.bm_down, INDEX(R.IRR_BM_DOWN, _xlpm.m),
     _xlpm.rfr * (1 - _xlpm.sm_down) - _xlpm.bm_down)</f>
        <v>#N/A</v>
      </c>
      <c r="K160" s="75" t="e">
        <f t="shared" si="11"/>
        <v>#N/A</v>
      </c>
      <c r="L160" s="77">
        <v>2.7320000000000001E-2</v>
      </c>
      <c r="M160" s="75" t="e">
        <f t="shared" si="12"/>
        <v>#N/A</v>
      </c>
      <c r="N160" s="75" t="e">
        <f t="shared" si="10"/>
        <v>#N/A</v>
      </c>
      <c r="O160" s="77">
        <v>2.8049999999999999E-2</v>
      </c>
    </row>
    <row r="161" spans="7:15" x14ac:dyDescent="0.35">
      <c r="G161" s="2">
        <v>140</v>
      </c>
      <c r="H161" s="75">
        <v>0</v>
      </c>
      <c r="I161" s="75" t="e">
        <v>#N/A</v>
      </c>
      <c r="J161" s="75" t="e" cm="1">
        <f t="array" ref="J161">_xlfn.LET(_xlpm.m, G161,
     _xlpm.rfr, I161,
     _xlpm.sm_down, INDEX(R.IRR_SM_DOWN, _xlpm.m),
     _xlpm.bm_down, INDEX(R.IRR_BM_DOWN, _xlpm.m),
     _xlpm.rfr * (1 - _xlpm.sm_down) - _xlpm.bm_down)</f>
        <v>#N/A</v>
      </c>
      <c r="K161" s="75" t="e">
        <f t="shared" si="11"/>
        <v>#N/A</v>
      </c>
      <c r="L161" s="77">
        <v>2.7349999999999999E-2</v>
      </c>
      <c r="M161" s="75" t="e">
        <f t="shared" si="12"/>
        <v>#N/A</v>
      </c>
      <c r="N161" s="75" t="e">
        <f t="shared" si="10"/>
        <v>#N/A</v>
      </c>
      <c r="O161" s="77">
        <v>2.8070000000000001E-2</v>
      </c>
    </row>
    <row r="162" spans="7:15" x14ac:dyDescent="0.35">
      <c r="G162" s="7">
        <v>141</v>
      </c>
      <c r="H162" s="75">
        <v>0</v>
      </c>
      <c r="I162" s="75" t="e">
        <v>#N/A</v>
      </c>
      <c r="J162" s="75" t="e" cm="1">
        <f t="array" ref="J162">_xlfn.LET(_xlpm.m, G162,
     _xlpm.rfr, I162,
     _xlpm.sm_down, INDEX(R.IRR_SM_DOWN, _xlpm.m),
     _xlpm.bm_down, INDEX(R.IRR_BM_DOWN, _xlpm.m),
     _xlpm.rfr * (1 - _xlpm.sm_down) - _xlpm.bm_down)</f>
        <v>#N/A</v>
      </c>
      <c r="K162" s="75" t="e">
        <f t="shared" si="11"/>
        <v>#N/A</v>
      </c>
      <c r="L162" s="77">
        <v>2.7380000000000002E-2</v>
      </c>
      <c r="M162" s="75" t="e">
        <f t="shared" si="12"/>
        <v>#N/A</v>
      </c>
      <c r="N162" s="75" t="e">
        <f t="shared" si="10"/>
        <v>#N/A</v>
      </c>
      <c r="O162" s="77">
        <v>2.81E-2</v>
      </c>
    </row>
    <row r="163" spans="7:15" x14ac:dyDescent="0.35">
      <c r="G163" s="7">
        <v>142</v>
      </c>
      <c r="H163" s="75">
        <v>0</v>
      </c>
      <c r="I163" s="75" t="e">
        <v>#N/A</v>
      </c>
      <c r="J163" s="75" t="e" cm="1">
        <f t="array" ref="J163">_xlfn.LET(_xlpm.m, G163,
     _xlpm.rfr, I163,
     _xlpm.sm_down, INDEX(R.IRR_SM_DOWN, _xlpm.m),
     _xlpm.bm_down, INDEX(R.IRR_BM_DOWN, _xlpm.m),
     _xlpm.rfr * (1 - _xlpm.sm_down) - _xlpm.bm_down)</f>
        <v>#N/A</v>
      </c>
      <c r="K163" s="75" t="e">
        <f t="shared" si="11"/>
        <v>#N/A</v>
      </c>
      <c r="L163" s="77">
        <v>2.741E-2</v>
      </c>
      <c r="M163" s="75" t="e">
        <f t="shared" si="12"/>
        <v>#N/A</v>
      </c>
      <c r="N163" s="75" t="e">
        <f t="shared" si="10"/>
        <v>#N/A</v>
      </c>
      <c r="O163" s="77">
        <v>2.8119999999999999E-2</v>
      </c>
    </row>
    <row r="164" spans="7:15" x14ac:dyDescent="0.35">
      <c r="G164" s="7">
        <v>143</v>
      </c>
      <c r="H164" s="75">
        <v>0</v>
      </c>
      <c r="I164" s="75" t="e">
        <v>#N/A</v>
      </c>
      <c r="J164" s="75" t="e" cm="1">
        <f t="array" ref="J164">_xlfn.LET(_xlpm.m, G164,
     _xlpm.rfr, I164,
     _xlpm.sm_down, INDEX(R.IRR_SM_DOWN, _xlpm.m),
     _xlpm.bm_down, INDEX(R.IRR_BM_DOWN, _xlpm.m),
     _xlpm.rfr * (1 - _xlpm.sm_down) - _xlpm.bm_down)</f>
        <v>#N/A</v>
      </c>
      <c r="K164" s="75" t="e">
        <f t="shared" si="11"/>
        <v>#N/A</v>
      </c>
      <c r="L164" s="77">
        <v>2.7439999999999999E-2</v>
      </c>
      <c r="M164" s="75" t="e">
        <f t="shared" si="12"/>
        <v>#N/A</v>
      </c>
      <c r="N164" s="75" t="e">
        <f t="shared" si="10"/>
        <v>#N/A</v>
      </c>
      <c r="O164" s="77">
        <v>2.8150000000000001E-2</v>
      </c>
    </row>
    <row r="165" spans="7:15" x14ac:dyDescent="0.35">
      <c r="G165" s="2">
        <v>144</v>
      </c>
      <c r="H165" s="75">
        <v>0</v>
      </c>
      <c r="I165" s="75" t="e">
        <v>#N/A</v>
      </c>
      <c r="J165" s="75" t="e" cm="1">
        <f t="array" ref="J165">_xlfn.LET(_xlpm.m, G165,
     _xlpm.rfr, I165,
     _xlpm.sm_down, INDEX(R.IRR_SM_DOWN, _xlpm.m),
     _xlpm.bm_down, INDEX(R.IRR_BM_DOWN, _xlpm.m),
     _xlpm.rfr * (1 - _xlpm.sm_down) - _xlpm.bm_down)</f>
        <v>#N/A</v>
      </c>
      <c r="K165" s="75" t="e">
        <f t="shared" si="11"/>
        <v>#N/A</v>
      </c>
      <c r="L165" s="77">
        <v>2.7459999999999998E-2</v>
      </c>
      <c r="M165" s="75" t="e">
        <f t="shared" si="12"/>
        <v>#N/A</v>
      </c>
      <c r="N165" s="75" t="e">
        <f t="shared" si="10"/>
        <v>#N/A</v>
      </c>
      <c r="O165" s="77">
        <v>2.8170000000000001E-2</v>
      </c>
    </row>
    <row r="166" spans="7:15" x14ac:dyDescent="0.35">
      <c r="G166" s="2">
        <v>145</v>
      </c>
      <c r="H166" s="75">
        <v>0</v>
      </c>
      <c r="I166" s="75" t="e">
        <v>#N/A</v>
      </c>
      <c r="J166" s="75" t="e" cm="1">
        <f t="array" ref="J166">_xlfn.LET(_xlpm.m, G166,
     _xlpm.rfr, I166,
     _xlpm.sm_down, INDEX(R.IRR_SM_DOWN, _xlpm.m),
     _xlpm.bm_down, INDEX(R.IRR_BM_DOWN, _xlpm.m),
     _xlpm.rfr * (1 - _xlpm.sm_down) - _xlpm.bm_down)</f>
        <v>#N/A</v>
      </c>
      <c r="K166" s="75" t="e">
        <f t="shared" si="11"/>
        <v>#N/A</v>
      </c>
      <c r="L166" s="77">
        <v>2.7490000000000001E-2</v>
      </c>
      <c r="M166" s="75" t="e">
        <f t="shared" si="12"/>
        <v>#N/A</v>
      </c>
      <c r="N166" s="75" t="e">
        <f t="shared" si="10"/>
        <v>#N/A</v>
      </c>
      <c r="O166" s="77">
        <v>2.819E-2</v>
      </c>
    </row>
    <row r="167" spans="7:15" x14ac:dyDescent="0.35">
      <c r="G167" s="7">
        <v>146</v>
      </c>
      <c r="H167" s="75">
        <v>0</v>
      </c>
      <c r="I167" s="75" t="e">
        <v>#N/A</v>
      </c>
      <c r="J167" s="75" t="e" cm="1">
        <f t="array" ref="J167">_xlfn.LET(_xlpm.m, G167,
     _xlpm.rfr, I167,
     _xlpm.sm_down, INDEX(R.IRR_SM_DOWN, _xlpm.m),
     _xlpm.bm_down, INDEX(R.IRR_BM_DOWN, _xlpm.m),
     _xlpm.rfr * (1 - _xlpm.sm_down) - _xlpm.bm_down)</f>
        <v>#N/A</v>
      </c>
      <c r="K167" s="75" t="e">
        <f t="shared" si="11"/>
        <v>#N/A</v>
      </c>
      <c r="L167" s="77">
        <v>2.7519999999999999E-2</v>
      </c>
      <c r="M167" s="75" t="e">
        <f t="shared" si="12"/>
        <v>#N/A</v>
      </c>
      <c r="N167" s="75" t="e">
        <f t="shared" si="10"/>
        <v>#N/A</v>
      </c>
      <c r="O167" s="77">
        <v>2.8209999999999999E-2</v>
      </c>
    </row>
    <row r="168" spans="7:15" x14ac:dyDescent="0.35">
      <c r="G168" s="7">
        <v>147</v>
      </c>
      <c r="H168" s="75">
        <v>0</v>
      </c>
      <c r="I168" s="75" t="e">
        <v>#N/A</v>
      </c>
      <c r="J168" s="75" t="e" cm="1">
        <f t="array" ref="J168">_xlfn.LET(_xlpm.m, G168,
     _xlpm.rfr, I168,
     _xlpm.sm_down, INDEX(R.IRR_SM_DOWN, _xlpm.m),
     _xlpm.bm_down, INDEX(R.IRR_BM_DOWN, _xlpm.m),
     _xlpm.rfr * (1 - _xlpm.sm_down) - _xlpm.bm_down)</f>
        <v>#N/A</v>
      </c>
      <c r="K168" s="75" t="e">
        <f t="shared" si="11"/>
        <v>#N/A</v>
      </c>
      <c r="L168" s="77">
        <v>2.7550000000000002E-2</v>
      </c>
      <c r="M168" s="75" t="e">
        <f t="shared" si="12"/>
        <v>#N/A</v>
      </c>
      <c r="N168" s="75" t="e">
        <f t="shared" si="10"/>
        <v>#N/A</v>
      </c>
      <c r="O168" s="77">
        <v>2.8240000000000001E-2</v>
      </c>
    </row>
    <row r="169" spans="7:15" x14ac:dyDescent="0.35">
      <c r="G169" s="7">
        <v>148</v>
      </c>
      <c r="H169" s="75">
        <v>0</v>
      </c>
      <c r="I169" s="75" t="e">
        <v>#N/A</v>
      </c>
      <c r="J169" s="75" t="e" cm="1">
        <f t="array" ref="J169">_xlfn.LET(_xlpm.m, G169,
     _xlpm.rfr, I169,
     _xlpm.sm_down, INDEX(R.IRR_SM_DOWN, _xlpm.m),
     _xlpm.bm_down, INDEX(R.IRR_BM_DOWN, _xlpm.m),
     _xlpm.rfr * (1 - _xlpm.sm_down) - _xlpm.bm_down)</f>
        <v>#N/A</v>
      </c>
      <c r="K169" s="75" t="e">
        <f t="shared" si="11"/>
        <v>#N/A</v>
      </c>
      <c r="L169" s="77">
        <v>2.7570000000000001E-2</v>
      </c>
      <c r="M169" s="75" t="e">
        <f t="shared" si="12"/>
        <v>#N/A</v>
      </c>
      <c r="N169" s="75" t="e">
        <f t="shared" si="10"/>
        <v>#N/A</v>
      </c>
      <c r="O169" s="77">
        <v>2.826E-2</v>
      </c>
    </row>
    <row r="170" spans="7:15" x14ac:dyDescent="0.35">
      <c r="G170" s="2">
        <v>149</v>
      </c>
      <c r="H170" s="75">
        <v>0</v>
      </c>
      <c r="I170" s="75" t="e">
        <v>#N/A</v>
      </c>
      <c r="J170" s="75" t="e" cm="1">
        <f t="array" ref="J170">_xlfn.LET(_xlpm.m, G170,
     _xlpm.rfr, I170,
     _xlpm.sm_down, INDEX(R.IRR_SM_DOWN, _xlpm.m),
     _xlpm.bm_down, INDEX(R.IRR_BM_DOWN, _xlpm.m),
     _xlpm.rfr * (1 - _xlpm.sm_down) - _xlpm.bm_down)</f>
        <v>#N/A</v>
      </c>
      <c r="K170" s="75" t="e">
        <f t="shared" si="11"/>
        <v>#N/A</v>
      </c>
      <c r="L170" s="77">
        <v>2.76E-2</v>
      </c>
      <c r="M170" s="75" t="e">
        <f t="shared" si="12"/>
        <v>#N/A</v>
      </c>
      <c r="N170" s="75" t="e">
        <f t="shared" si="10"/>
        <v>#N/A</v>
      </c>
      <c r="O170" s="77">
        <v>2.828E-2</v>
      </c>
    </row>
    <row r="171" spans="7:15" x14ac:dyDescent="0.35">
      <c r="G171" s="2">
        <v>150</v>
      </c>
      <c r="H171" s="75">
        <v>0</v>
      </c>
      <c r="I171" s="75" t="e">
        <v>#N/A</v>
      </c>
      <c r="J171" s="75" t="e" cm="1">
        <f t="array" ref="J171">_xlfn.LET(_xlpm.m, G171,
     _xlpm.rfr, I171,
     _xlpm.sm_down, INDEX(R.IRR_SM_DOWN, _xlpm.m),
     _xlpm.bm_down, INDEX(R.IRR_BM_DOWN, _xlpm.m),
     _xlpm.rfr * (1 - _xlpm.sm_down) - _xlpm.bm_down)</f>
        <v>#N/A</v>
      </c>
      <c r="K171" s="75" t="e">
        <f t="shared" si="11"/>
        <v>#N/A</v>
      </c>
      <c r="L171" s="78">
        <v>2.7619999999999999E-2</v>
      </c>
      <c r="M171" s="75" t="e">
        <f t="shared" si="12"/>
        <v>#N/A</v>
      </c>
      <c r="N171" s="75" t="e">
        <f t="shared" si="10"/>
        <v>#N/A</v>
      </c>
      <c r="O171" s="77">
        <v>2.8299999999999999E-2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2.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4.xml><?xml version="1.0" encoding="utf-8"?>
<?mso-contentType ?>
<FormTemplates>
  <Display>DocumentLibraryForm</Display>
  <Edit>DocumentLibraryForm</Edit>
  <New>DocumentLibraryForm</New>
  <MobileDisplayFormUrl/>
  <MobileEditFormUrl/>
  <MobileNewFormUrl/>
</FormTemplates>
</file>

<file path=customXml/item5.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NFListDisplayForm</Display>
  <Edit>NFListEditForm</Edit>
  <New>NFListEditForm</New>
</FormTemplates>
</file>

<file path=customXml/itemProps1.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2.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3.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4.xml><?xml version="1.0" encoding="utf-8"?>
<ds:datastoreItem xmlns:ds="http://schemas.openxmlformats.org/officeDocument/2006/customXml" ds:itemID="{936CC846-DB8B-493B-9453-657DF7E2256C}">
  <ds:schemaRefs/>
</ds:datastoreItem>
</file>

<file path=customXml/itemProps5.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4A857837-3ADF-4A3B-974E-61F1E0ADCAE9}">
  <ds:schemaRefs>
    <ds:schemaRef ds:uri="http://schemas.microsoft.com/sharepoint/v3/contenttype/forms"/>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2026-10-14T08:46:23Z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