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EIOPA_constant_forward_methodology/Examples/Phasing_in/"/>
    </mc:Choice>
  </mc:AlternateContent>
  <xr:revisionPtr revIDLastSave="584" documentId="8_{8F8E5303-C9E5-47D0-B341-54F7541C8997}" xr6:coauthVersionLast="47" xr6:coauthVersionMax="47" xr10:uidLastSave="{8A93CB77-0BA3-4ED1-983D-1C201F955787}"/>
  <bookViews>
    <workbookView xWindow="-110" yWindow="-110" windowWidth="25820" windowHeight="15500" xr2:uid="{41D49419-366A-4C57-8A7E-EEEDBB9A2389}"/>
  </bookViews>
  <sheets>
    <sheet name="EUR_Phasing_in" sheetId="1" r:id="rId1"/>
  </sheets>
  <definedNames>
    <definedName name="R.BASECURVE">EUR_Phasing_in!$J$25:$J$174</definedName>
    <definedName name="R.BOOTSTRAPPED_CURVE">EUR_Phasing_in!$K$25:$K$174</definedName>
    <definedName name="R.DLT">EUR_Phasing_in!$H$25:$H$174</definedName>
    <definedName name="R.MATURITY">EUR_Phasing_in!$G$25:$G$174</definedName>
    <definedName name="V.ALPHA">EUR_Phasing_in!$H$15</definedName>
    <definedName name="V.COUPON_FREQ">EUR_Phasing_in!$H$12</definedName>
    <definedName name="V.CRA">EUR_Phasing_in!$H$16</definedName>
    <definedName name="V.EXTRAPOLATION_SELECTED">EUR_Phasing_in!$H$10</definedName>
    <definedName name="V.FSP">EUR_Phasing_in!$H$13</definedName>
    <definedName name="V.INSTRUMENT">EUR_Phasing_in!$H$11</definedName>
    <definedName name="V.LLFR">EUR_Phasing_in!$L$22</definedName>
    <definedName name="V.UFR">EUR_Phasing_in!$H$14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51" i="1" l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O151" i="1" l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23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P151" i="1" l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1" i="1" l="1"/>
  <c r="Q1" i="1"/>
  <c r="F151" i="1" l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 l="1"/>
  <c r="F1" i="1"/>
</calcChain>
</file>

<file path=xl/sharedStrings.xml><?xml version="1.0" encoding="utf-8"?>
<sst xmlns="http://schemas.openxmlformats.org/spreadsheetml/2006/main" count="9" uniqueCount="8">
  <si>
    <t>Bootstrapped Zero Rate CC</t>
  </si>
  <si>
    <t>Extrapolated Zero Rate AC / Basic RFR</t>
  </si>
  <si>
    <t>Basic RFR</t>
  </si>
  <si>
    <t>Maturity</t>
  </si>
  <si>
    <t>Smith-Wilson</t>
  </si>
  <si>
    <t>Constant forward</t>
  </si>
  <si>
    <t>Constant forward Phasing-in</t>
  </si>
  <si>
    <t>Phasing in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</si>
</sst>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0.0000000000000000%"/>
    <numFmt numFmtId="166" formatCode="0.0000000000000"/>
    <numFmt numFmtId="170" formatCode="_(* #,##0.000000_);_(* \(#,##0.0000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1EAF3"/>
        <bgColor rgb="FF000000"/>
      </patternFill>
    </fill>
    <fill>
      <patternFill patternType="solid">
        <fgColor rgb="FFD3DFED"/>
        <bgColor rgb="FF000000"/>
      </patternFill>
    </fill>
  </fills>
  <borders count="5">
    <border>
      <left/>
      <right/>
      <top/>
      <bottom/>
      <diagonal/>
    </border>
    <border>
      <left style="thin">
        <color rgb="FFE1EAF3"/>
      </left>
      <right/>
      <top style="thin">
        <color rgb="FFE1EAF3"/>
      </top>
      <bottom style="thin">
        <color rgb="FFE1EAF3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/>
      <diagonal/>
    </border>
    <border>
      <left style="thin">
        <color rgb="FF156082"/>
      </left>
      <right style="thin">
        <color rgb="FF156082"/>
      </right>
      <top/>
      <bottom/>
      <diagonal/>
    </border>
    <border>
      <left style="thin">
        <color rgb="FF156082"/>
      </left>
      <right style="thin">
        <color rgb="FF156082"/>
      </right>
      <top/>
      <bottom style="thin">
        <color rgb="FF15608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right" wrapText="1"/>
    </xf>
    <xf numFmtId="164" fontId="3" fillId="3" borderId="1" xfId="1" applyNumberFormat="1" applyFont="1" applyFill="1" applyBorder="1"/>
    <xf numFmtId="164" fontId="3" fillId="3" borderId="1" xfId="1" applyNumberFormat="1" applyFont="1" applyFill="1" applyBorder="1" applyAlignment="1">
      <alignment horizontal="right"/>
    </xf>
    <xf numFmtId="164" fontId="3" fillId="4" borderId="2" xfId="1" applyNumberFormat="1" applyFont="1" applyFill="1" applyBorder="1"/>
    <xf numFmtId="164" fontId="3" fillId="4" borderId="3" xfId="1" applyNumberFormat="1" applyFont="1" applyFill="1" applyBorder="1"/>
    <xf numFmtId="164" fontId="3" fillId="4" borderId="4" xfId="1" applyNumberFormat="1" applyFont="1" applyFill="1" applyBorder="1"/>
    <xf numFmtId="165" fontId="0" fillId="0" borderId="0" xfId="0" applyNumberFormat="1"/>
    <xf numFmtId="166" fontId="0" fillId="0" borderId="0" xfId="0" applyNumberFormat="1"/>
    <xf numFmtId="170" fontId="0" fillId="0" borderId="0" xfId="2" applyNumberFormat="1" applyFont="1"/>
    <xf numFmtId="43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</a:t>
            </a:r>
            <a:r>
              <a:rPr lang="en-GB" baseline="0"/>
              <a:t> curve (Constant forward and Phased-in constant forward)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EUR_Phasing_in!$M$1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EUR_Phasing_in!$K$2:$K$81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EUR_Phasing_in!$M$2:$M$81</c:f>
              <c:numCache>
                <c:formatCode>General</c:formatCode>
                <c:ptCount val="80"/>
                <c:pt idx="0">
                  <c:v>3.2710000000000003E-2</c:v>
                </c:pt>
                <c:pt idx="1">
                  <c:v>3.4389999999999997E-2</c:v>
                </c:pt>
                <c:pt idx="2">
                  <c:v>3.4700000000000002E-2</c:v>
                </c:pt>
                <c:pt idx="3">
                  <c:v>3.4819999999999997E-2</c:v>
                </c:pt>
                <c:pt idx="4">
                  <c:v>3.4880000000000001E-2</c:v>
                </c:pt>
                <c:pt idx="5">
                  <c:v>3.4970000000000001E-2</c:v>
                </c:pt>
                <c:pt idx="6">
                  <c:v>3.5119999999999998E-2</c:v>
                </c:pt>
                <c:pt idx="7">
                  <c:v>3.5319999999999997E-2</c:v>
                </c:pt>
                <c:pt idx="8">
                  <c:v>3.5529999999999999E-2</c:v>
                </c:pt>
                <c:pt idx="9">
                  <c:v>3.5770000000000003E-2</c:v>
                </c:pt>
                <c:pt idx="10">
                  <c:v>3.5970000000000002E-2</c:v>
                </c:pt>
                <c:pt idx="11">
                  <c:v>3.6159999999999998E-2</c:v>
                </c:pt>
                <c:pt idx="12">
                  <c:v>3.6299999999999999E-2</c:v>
                </c:pt>
                <c:pt idx="13">
                  <c:v>3.6389999999999999E-2</c:v>
                </c:pt>
                <c:pt idx="14">
                  <c:v>3.6429999999999997E-2</c:v>
                </c:pt>
                <c:pt idx="15">
                  <c:v>3.6310000000000002E-2</c:v>
                </c:pt>
                <c:pt idx="16">
                  <c:v>3.6209999999999999E-2</c:v>
                </c:pt>
                <c:pt idx="17">
                  <c:v>3.6119999999999999E-2</c:v>
                </c:pt>
                <c:pt idx="18">
                  <c:v>3.6040000000000003E-2</c:v>
                </c:pt>
                <c:pt idx="19">
                  <c:v>3.5970000000000002E-2</c:v>
                </c:pt>
                <c:pt idx="20">
                  <c:v>3.5900000000000001E-2</c:v>
                </c:pt>
                <c:pt idx="21">
                  <c:v>3.5830000000000001E-2</c:v>
                </c:pt>
                <c:pt idx="22">
                  <c:v>3.576E-2</c:v>
                </c:pt>
                <c:pt idx="23">
                  <c:v>3.569E-2</c:v>
                </c:pt>
                <c:pt idx="24">
                  <c:v>3.5619999999999999E-2</c:v>
                </c:pt>
                <c:pt idx="25">
                  <c:v>3.5549999999999998E-2</c:v>
                </c:pt>
                <c:pt idx="26">
                  <c:v>3.5490000000000001E-2</c:v>
                </c:pt>
                <c:pt idx="27">
                  <c:v>3.542E-2</c:v>
                </c:pt>
                <c:pt idx="28">
                  <c:v>3.5360000000000003E-2</c:v>
                </c:pt>
                <c:pt idx="29">
                  <c:v>3.5299999999999998E-2</c:v>
                </c:pt>
                <c:pt idx="30">
                  <c:v>3.524E-2</c:v>
                </c:pt>
                <c:pt idx="31">
                  <c:v>3.5189999999999999E-2</c:v>
                </c:pt>
                <c:pt idx="32">
                  <c:v>3.5130000000000002E-2</c:v>
                </c:pt>
                <c:pt idx="33">
                  <c:v>3.508E-2</c:v>
                </c:pt>
                <c:pt idx="34">
                  <c:v>3.5029999999999999E-2</c:v>
                </c:pt>
                <c:pt idx="35">
                  <c:v>3.4979999999999997E-2</c:v>
                </c:pt>
                <c:pt idx="36">
                  <c:v>3.4939999999999999E-2</c:v>
                </c:pt>
                <c:pt idx="37">
                  <c:v>3.4889999999999997E-2</c:v>
                </c:pt>
                <c:pt idx="38">
                  <c:v>3.4849999999999999E-2</c:v>
                </c:pt>
                <c:pt idx="39">
                  <c:v>3.4810000000000001E-2</c:v>
                </c:pt>
                <c:pt idx="40">
                  <c:v>3.4770000000000002E-2</c:v>
                </c:pt>
                <c:pt idx="41">
                  <c:v>3.4729999999999997E-2</c:v>
                </c:pt>
                <c:pt idx="42">
                  <c:v>3.4689999999999999E-2</c:v>
                </c:pt>
                <c:pt idx="43">
                  <c:v>3.465E-2</c:v>
                </c:pt>
                <c:pt idx="44">
                  <c:v>3.4619999999999998E-2</c:v>
                </c:pt>
                <c:pt idx="45">
                  <c:v>3.4590000000000003E-2</c:v>
                </c:pt>
                <c:pt idx="46">
                  <c:v>3.4549999999999997E-2</c:v>
                </c:pt>
                <c:pt idx="47">
                  <c:v>3.4520000000000002E-2</c:v>
                </c:pt>
                <c:pt idx="48">
                  <c:v>3.449E-2</c:v>
                </c:pt>
                <c:pt idx="49">
                  <c:v>3.4470000000000001E-2</c:v>
                </c:pt>
                <c:pt idx="50">
                  <c:v>3.4439999999999998E-2</c:v>
                </c:pt>
                <c:pt idx="51">
                  <c:v>3.4410000000000003E-2</c:v>
                </c:pt>
                <c:pt idx="52">
                  <c:v>3.4389999999999997E-2</c:v>
                </c:pt>
                <c:pt idx="53">
                  <c:v>3.4360000000000002E-2</c:v>
                </c:pt>
                <c:pt idx="54">
                  <c:v>3.4340000000000002E-2</c:v>
                </c:pt>
                <c:pt idx="55">
                  <c:v>3.431E-2</c:v>
                </c:pt>
                <c:pt idx="56">
                  <c:v>3.4290000000000001E-2</c:v>
                </c:pt>
                <c:pt idx="57">
                  <c:v>3.4270000000000002E-2</c:v>
                </c:pt>
                <c:pt idx="58">
                  <c:v>3.4250000000000003E-2</c:v>
                </c:pt>
                <c:pt idx="59">
                  <c:v>3.4229999999999997E-2</c:v>
                </c:pt>
                <c:pt idx="60">
                  <c:v>3.4209999999999997E-2</c:v>
                </c:pt>
                <c:pt idx="61">
                  <c:v>3.4189999999999998E-2</c:v>
                </c:pt>
                <c:pt idx="62">
                  <c:v>3.4169999999999999E-2</c:v>
                </c:pt>
                <c:pt idx="63">
                  <c:v>3.415E-2</c:v>
                </c:pt>
                <c:pt idx="64">
                  <c:v>3.4130000000000001E-2</c:v>
                </c:pt>
                <c:pt idx="65">
                  <c:v>3.4119999999999998E-2</c:v>
                </c:pt>
                <c:pt idx="66">
                  <c:v>3.4099999999999998E-2</c:v>
                </c:pt>
                <c:pt idx="67">
                  <c:v>3.4079999999999999E-2</c:v>
                </c:pt>
                <c:pt idx="68">
                  <c:v>3.4070000000000003E-2</c:v>
                </c:pt>
                <c:pt idx="69">
                  <c:v>3.4049999999999997E-2</c:v>
                </c:pt>
                <c:pt idx="70">
                  <c:v>3.4040000000000001E-2</c:v>
                </c:pt>
                <c:pt idx="71">
                  <c:v>3.4020000000000002E-2</c:v>
                </c:pt>
                <c:pt idx="72">
                  <c:v>3.4009999999999999E-2</c:v>
                </c:pt>
                <c:pt idx="73">
                  <c:v>3.4000000000000002E-2</c:v>
                </c:pt>
                <c:pt idx="74">
                  <c:v>3.3980000000000003E-2</c:v>
                </c:pt>
                <c:pt idx="75">
                  <c:v>3.397E-2</c:v>
                </c:pt>
                <c:pt idx="76">
                  <c:v>3.3959999999999997E-2</c:v>
                </c:pt>
                <c:pt idx="77">
                  <c:v>3.3950000000000001E-2</c:v>
                </c:pt>
                <c:pt idx="78">
                  <c:v>3.3930000000000002E-2</c:v>
                </c:pt>
                <c:pt idx="79">
                  <c:v>3.3919999999999999E-2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8-4D9E-8CE9-75BBE0BD2451}"/>
            </c:ext>
          </c:extLst>
        </c:ser>
        <c:ser>
          <c:idx val="1"/>
          <c:order val="1"/>
          <c:tx>
            <c:strRef>
              <c:f>EUR_Phasing_in!$N$1</c:f>
              <c:strCache>
                <c:ptCount val="1"/>
                <c:pt idx="0">
                  <c:v>Constant forward Phasing-in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EUR_Phasing_in!$K$2:$K$81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EUR_Phasing_in!$N$2:$N$81</c:f>
              <c:numCache>
                <c:formatCode>General</c:formatCode>
                <c:ptCount val="80"/>
                <c:pt idx="0">
                  <c:v>3.2710000000000003E-2</c:v>
                </c:pt>
                <c:pt idx="1">
                  <c:v>3.4389999999999997E-2</c:v>
                </c:pt>
                <c:pt idx="2">
                  <c:v>3.4700000000000002E-2</c:v>
                </c:pt>
                <c:pt idx="3">
                  <c:v>3.4819999999999997E-2</c:v>
                </c:pt>
                <c:pt idx="4">
                  <c:v>3.4880000000000001E-2</c:v>
                </c:pt>
                <c:pt idx="5">
                  <c:v>3.4970000000000001E-2</c:v>
                </c:pt>
                <c:pt idx="6">
                  <c:v>3.5119999999999998E-2</c:v>
                </c:pt>
                <c:pt idx="7">
                  <c:v>3.5319999999999997E-2</c:v>
                </c:pt>
                <c:pt idx="8">
                  <c:v>3.5529999999999999E-2</c:v>
                </c:pt>
                <c:pt idx="9">
                  <c:v>3.5770000000000003E-2</c:v>
                </c:pt>
                <c:pt idx="10">
                  <c:v>3.5970000000000002E-2</c:v>
                </c:pt>
                <c:pt idx="11">
                  <c:v>3.6159999999999998E-2</c:v>
                </c:pt>
                <c:pt idx="12">
                  <c:v>3.6299999999999999E-2</c:v>
                </c:pt>
                <c:pt idx="13">
                  <c:v>3.6389999999999999E-2</c:v>
                </c:pt>
                <c:pt idx="14">
                  <c:v>3.6429999999999997E-2</c:v>
                </c:pt>
                <c:pt idx="15">
                  <c:v>3.6310000000000002E-2</c:v>
                </c:pt>
                <c:pt idx="16">
                  <c:v>3.6209999999999999E-2</c:v>
                </c:pt>
                <c:pt idx="17">
                  <c:v>3.6119999999999999E-2</c:v>
                </c:pt>
                <c:pt idx="18">
                  <c:v>3.6040000000000003E-2</c:v>
                </c:pt>
                <c:pt idx="19">
                  <c:v>3.5970000000000002E-2</c:v>
                </c:pt>
                <c:pt idx="20">
                  <c:v>3.5900000000000001E-2</c:v>
                </c:pt>
                <c:pt idx="21">
                  <c:v>3.5819999999999998E-2</c:v>
                </c:pt>
                <c:pt idx="22">
                  <c:v>3.5740000000000001E-2</c:v>
                </c:pt>
                <c:pt idx="23">
                  <c:v>3.5659999999999997E-2</c:v>
                </c:pt>
                <c:pt idx="24">
                  <c:v>3.5580000000000001E-2</c:v>
                </c:pt>
                <c:pt idx="25">
                  <c:v>3.5499999999999997E-2</c:v>
                </c:pt>
                <c:pt idx="26">
                  <c:v>3.542E-2</c:v>
                </c:pt>
                <c:pt idx="27">
                  <c:v>3.5349999999999999E-2</c:v>
                </c:pt>
                <c:pt idx="28">
                  <c:v>3.5279999999999999E-2</c:v>
                </c:pt>
                <c:pt idx="29">
                  <c:v>3.5209999999999998E-2</c:v>
                </c:pt>
                <c:pt idx="30">
                  <c:v>3.5139999999999998E-2</c:v>
                </c:pt>
                <c:pt idx="31">
                  <c:v>3.508E-2</c:v>
                </c:pt>
                <c:pt idx="32">
                  <c:v>3.5020000000000003E-2</c:v>
                </c:pt>
                <c:pt idx="33">
                  <c:v>3.4970000000000001E-2</c:v>
                </c:pt>
                <c:pt idx="34">
                  <c:v>3.4909999999999997E-2</c:v>
                </c:pt>
                <c:pt idx="35">
                  <c:v>3.4860000000000002E-2</c:v>
                </c:pt>
                <c:pt idx="36">
                  <c:v>3.4810000000000001E-2</c:v>
                </c:pt>
                <c:pt idx="37">
                  <c:v>3.4770000000000002E-2</c:v>
                </c:pt>
                <c:pt idx="38">
                  <c:v>3.4720000000000001E-2</c:v>
                </c:pt>
                <c:pt idx="39">
                  <c:v>3.4680000000000002E-2</c:v>
                </c:pt>
                <c:pt idx="40">
                  <c:v>3.4639999999999997E-2</c:v>
                </c:pt>
                <c:pt idx="41">
                  <c:v>3.4599999999999999E-2</c:v>
                </c:pt>
                <c:pt idx="42">
                  <c:v>3.456E-2</c:v>
                </c:pt>
                <c:pt idx="43">
                  <c:v>3.4529999999999998E-2</c:v>
                </c:pt>
                <c:pt idx="44">
                  <c:v>3.449E-2</c:v>
                </c:pt>
                <c:pt idx="45">
                  <c:v>3.4459999999999998E-2</c:v>
                </c:pt>
                <c:pt idx="46">
                  <c:v>3.4430000000000002E-2</c:v>
                </c:pt>
                <c:pt idx="47">
                  <c:v>3.44E-2</c:v>
                </c:pt>
                <c:pt idx="48">
                  <c:v>3.4369999999999998E-2</c:v>
                </c:pt>
                <c:pt idx="49">
                  <c:v>3.4349999999999999E-2</c:v>
                </c:pt>
                <c:pt idx="50">
                  <c:v>3.4320000000000003E-2</c:v>
                </c:pt>
                <c:pt idx="51">
                  <c:v>3.4290000000000001E-2</c:v>
                </c:pt>
                <c:pt idx="52">
                  <c:v>3.4270000000000002E-2</c:v>
                </c:pt>
                <c:pt idx="53">
                  <c:v>3.4250000000000003E-2</c:v>
                </c:pt>
                <c:pt idx="54">
                  <c:v>3.422E-2</c:v>
                </c:pt>
                <c:pt idx="55">
                  <c:v>3.4200000000000001E-2</c:v>
                </c:pt>
                <c:pt idx="56">
                  <c:v>3.4180000000000002E-2</c:v>
                </c:pt>
                <c:pt idx="57">
                  <c:v>3.4160000000000003E-2</c:v>
                </c:pt>
                <c:pt idx="58">
                  <c:v>3.4139999999999997E-2</c:v>
                </c:pt>
                <c:pt idx="59">
                  <c:v>3.4119999999999998E-2</c:v>
                </c:pt>
                <c:pt idx="60">
                  <c:v>3.4099999999999998E-2</c:v>
                </c:pt>
                <c:pt idx="61">
                  <c:v>3.4090000000000002E-2</c:v>
                </c:pt>
                <c:pt idx="62">
                  <c:v>3.4070000000000003E-2</c:v>
                </c:pt>
                <c:pt idx="63">
                  <c:v>3.4049999999999997E-2</c:v>
                </c:pt>
                <c:pt idx="64">
                  <c:v>3.4040000000000001E-2</c:v>
                </c:pt>
                <c:pt idx="65">
                  <c:v>3.4020000000000002E-2</c:v>
                </c:pt>
                <c:pt idx="66">
                  <c:v>3.4000000000000002E-2</c:v>
                </c:pt>
                <c:pt idx="67">
                  <c:v>3.3989999999999999E-2</c:v>
                </c:pt>
                <c:pt idx="68">
                  <c:v>3.3980000000000003E-2</c:v>
                </c:pt>
                <c:pt idx="69">
                  <c:v>3.3959999999999997E-2</c:v>
                </c:pt>
                <c:pt idx="70">
                  <c:v>3.3950000000000001E-2</c:v>
                </c:pt>
                <c:pt idx="71">
                  <c:v>3.3930000000000002E-2</c:v>
                </c:pt>
                <c:pt idx="72">
                  <c:v>3.3919999999999999E-2</c:v>
                </c:pt>
                <c:pt idx="73">
                  <c:v>3.3910000000000003E-2</c:v>
                </c:pt>
                <c:pt idx="74">
                  <c:v>3.39E-2</c:v>
                </c:pt>
                <c:pt idx="75">
                  <c:v>3.3890000000000003E-2</c:v>
                </c:pt>
                <c:pt idx="76">
                  <c:v>3.3869999999999997E-2</c:v>
                </c:pt>
                <c:pt idx="77">
                  <c:v>3.3860000000000001E-2</c:v>
                </c:pt>
                <c:pt idx="78">
                  <c:v>3.3849999999999998E-2</c:v>
                </c:pt>
                <c:pt idx="79">
                  <c:v>3.3840000000000002E-2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8-4D9E-8CE9-75BBE0BD2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347593584"/>
        <c:scaling>
          <c:orientation val="minMax"/>
          <c:max val="3.6500000000000005E-2"/>
          <c:min val="3.25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8007123307962"/>
          <c:y val="0.1798913243952614"/>
          <c:w val="0.20091027527074293"/>
          <c:h val="0.1216224728665673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606424</xdr:colOff>
      <xdr:row>0</xdr:row>
      <xdr:rowOff>679450</xdr:rowOff>
    </xdr:from>
    <xdr:to>
      <xdr:col>29</xdr:col>
      <xdr:colOff>107949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7DAA8-1618-D63D-6CD0-2654D6E37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4843-015D-4680-949C-2ACEFFE79012}">
  <dimension ref="A1:R151"/>
  <sheetViews>
    <sheetView tabSelected="1" topLeftCell="K114" workbookViewId="0">
      <selection activeCell="K141" sqref="K14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4" max="14" width="23.81640625" bestFit="1" customWidth="1"/>
    <col min="15" max="15" width="10.26953125" bestFit="1" customWidth="1"/>
    <col min="16" max="16" width="15.453125" bestFit="1" customWidth="1"/>
  </cols>
  <sheetData>
    <row r="1" spans="1:17" ht="72.5" x14ac:dyDescent="0.35">
      <c r="A1" s="1" t="s">
        <v>0</v>
      </c>
      <c r="B1" s="1" t="s">
        <v>1</v>
      </c>
      <c r="C1" t="s">
        <v>0</v>
      </c>
      <c r="D1" t="s">
        <v>2</v>
      </c>
      <c r="F1" s="7">
        <f>SUM(F2:F151)</f>
        <v>7.7715611723760958E-16</v>
      </c>
      <c r="G1" s="7">
        <f>SUM(G2:G151)</f>
        <v>0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s="8">
        <f>MAX(P2:P151)</f>
        <v>1.6000000000000042E-4</v>
      </c>
      <c r="Q1" s="8">
        <f>MAX(P2:P51)</f>
        <v>1.6000000000000042E-4</v>
      </c>
    </row>
    <row r="2" spans="1:17" x14ac:dyDescent="0.35">
      <c r="A2" s="2">
        <v>3.2186415002651826E-2</v>
      </c>
      <c r="B2" s="4">
        <v>3.2710000000000003E-2</v>
      </c>
      <c r="C2">
        <v>3.2186415002651798E-2</v>
      </c>
      <c r="D2">
        <v>3.2710000000000003E-2</v>
      </c>
      <c r="F2" s="7">
        <f>IF(C2&lt;&gt;"",A2-C2,"")</f>
        <v>2.7755575615628914E-17</v>
      </c>
      <c r="G2" s="7">
        <f>B2-D2</f>
        <v>0</v>
      </c>
      <c r="K2">
        <v>1</v>
      </c>
      <c r="L2">
        <v>3.2710000000000003E-2</v>
      </c>
      <c r="M2">
        <f>D2</f>
        <v>3.2710000000000003E-2</v>
      </c>
      <c r="N2">
        <v>3.2710000000000003E-2</v>
      </c>
      <c r="O2" s="9">
        <f t="shared" ref="O2:O22" si="0">N2-M2</f>
        <v>0</v>
      </c>
      <c r="P2" s="8">
        <f>MAX(ABS(L2-M2))</f>
        <v>0</v>
      </c>
    </row>
    <row r="3" spans="1:17" x14ac:dyDescent="0.35">
      <c r="A3" s="2">
        <v>3.3811880988718762E-2</v>
      </c>
      <c r="B3" s="5">
        <v>3.4389999999999997E-2</v>
      </c>
      <c r="C3">
        <v>3.38118809887187E-2</v>
      </c>
      <c r="D3">
        <v>3.4389999999999997E-2</v>
      </c>
      <c r="F3" s="7">
        <f t="shared" ref="F3:F66" si="1">IF(C3&lt;&gt;"",A3-C3,"")</f>
        <v>6.2450045135165055E-17</v>
      </c>
      <c r="G3" s="7">
        <f t="shared" ref="G3:G66" si="2">B3-D3</f>
        <v>0</v>
      </c>
      <c r="K3">
        <v>2</v>
      </c>
      <c r="L3">
        <v>3.4389999999999997E-2</v>
      </c>
      <c r="M3">
        <f t="shared" ref="M3:M66" si="3">D3</f>
        <v>3.4389999999999997E-2</v>
      </c>
      <c r="N3">
        <v>3.4389999999999997E-2</v>
      </c>
      <c r="O3" s="9">
        <f t="shared" si="0"/>
        <v>0</v>
      </c>
      <c r="P3" s="8">
        <f t="shared" ref="P3:P66" si="4">MAX(ABS(L3-M3))</f>
        <v>0</v>
      </c>
    </row>
    <row r="4" spans="1:17" x14ac:dyDescent="0.35">
      <c r="A4" s="2">
        <v>3.4111529628767866E-2</v>
      </c>
      <c r="B4" s="5">
        <v>3.4700000000000002E-2</v>
      </c>
      <c r="C4">
        <v>3.4111529628767803E-2</v>
      </c>
      <c r="D4">
        <v>3.4700000000000002E-2</v>
      </c>
      <c r="F4" s="7">
        <f t="shared" si="1"/>
        <v>6.2450045135165055E-17</v>
      </c>
      <c r="G4" s="7">
        <f t="shared" si="2"/>
        <v>0</v>
      </c>
      <c r="K4">
        <v>3</v>
      </c>
      <c r="L4">
        <v>3.4700000000000002E-2</v>
      </c>
      <c r="M4">
        <f t="shared" si="3"/>
        <v>3.4700000000000002E-2</v>
      </c>
      <c r="N4">
        <v>3.4700000000000002E-2</v>
      </c>
      <c r="O4" s="9">
        <f t="shared" si="0"/>
        <v>0</v>
      </c>
      <c r="P4" s="8">
        <f t="shared" si="4"/>
        <v>0</v>
      </c>
    </row>
    <row r="5" spans="1:17" x14ac:dyDescent="0.35">
      <c r="A5" s="2">
        <v>3.4227498549227298E-2</v>
      </c>
      <c r="B5" s="5">
        <v>3.4819999999999997E-2</v>
      </c>
      <c r="C5">
        <v>3.4227498549227298E-2</v>
      </c>
      <c r="D5">
        <v>3.4819999999999997E-2</v>
      </c>
      <c r="F5" s="7">
        <f t="shared" si="1"/>
        <v>0</v>
      </c>
      <c r="G5" s="7">
        <f t="shared" si="2"/>
        <v>0</v>
      </c>
      <c r="K5">
        <v>4</v>
      </c>
      <c r="L5">
        <v>3.4819999999999997E-2</v>
      </c>
      <c r="M5">
        <f t="shared" si="3"/>
        <v>3.4819999999999997E-2</v>
      </c>
      <c r="N5">
        <v>3.4819999999999997E-2</v>
      </c>
      <c r="O5" s="9">
        <f t="shared" si="0"/>
        <v>0</v>
      </c>
      <c r="P5" s="8">
        <f t="shared" si="4"/>
        <v>0</v>
      </c>
    </row>
    <row r="6" spans="1:17" x14ac:dyDescent="0.35">
      <c r="A6" s="2">
        <v>3.4285477966550341E-2</v>
      </c>
      <c r="B6" s="5">
        <v>3.4880000000000001E-2</v>
      </c>
      <c r="C6">
        <v>3.42854779665503E-2</v>
      </c>
      <c r="D6">
        <v>3.4880000000000001E-2</v>
      </c>
      <c r="F6" s="7">
        <f t="shared" si="1"/>
        <v>4.163336342344337E-17</v>
      </c>
      <c r="G6" s="7">
        <f t="shared" si="2"/>
        <v>0</v>
      </c>
      <c r="K6">
        <v>5</v>
      </c>
      <c r="L6">
        <v>3.4880000000000001E-2</v>
      </c>
      <c r="M6">
        <f t="shared" si="3"/>
        <v>3.4880000000000001E-2</v>
      </c>
      <c r="N6">
        <v>3.4880000000000001E-2</v>
      </c>
      <c r="O6" s="9">
        <f t="shared" si="0"/>
        <v>0</v>
      </c>
      <c r="P6" s="8">
        <f t="shared" si="4"/>
        <v>0</v>
      </c>
    </row>
    <row r="7" spans="1:17" x14ac:dyDescent="0.35">
      <c r="A7" s="2">
        <v>3.4372440789998057E-2</v>
      </c>
      <c r="B7" s="5">
        <v>3.4970000000000001E-2</v>
      </c>
      <c r="C7">
        <v>3.4372440789998002E-2</v>
      </c>
      <c r="D7">
        <v>3.4970000000000001E-2</v>
      </c>
      <c r="F7" s="7">
        <f t="shared" si="1"/>
        <v>5.5511151231257827E-17</v>
      </c>
      <c r="G7" s="7">
        <f t="shared" si="2"/>
        <v>0</v>
      </c>
      <c r="K7">
        <v>6</v>
      </c>
      <c r="L7">
        <v>3.4970000000000001E-2</v>
      </c>
      <c r="M7">
        <f t="shared" si="3"/>
        <v>3.4970000000000001E-2</v>
      </c>
      <c r="N7">
        <v>3.4970000000000001E-2</v>
      </c>
      <c r="O7" s="9">
        <f t="shared" si="0"/>
        <v>0</v>
      </c>
      <c r="P7" s="8">
        <f t="shared" si="4"/>
        <v>0</v>
      </c>
    </row>
    <row r="8" spans="1:17" x14ac:dyDescent="0.35">
      <c r="A8" s="2">
        <v>3.4517362025560397E-2</v>
      </c>
      <c r="B8" s="5">
        <v>3.5119999999999998E-2</v>
      </c>
      <c r="C8">
        <v>3.4517362025560397E-2</v>
      </c>
      <c r="D8">
        <v>3.5119999999999998E-2</v>
      </c>
      <c r="F8" s="7">
        <f t="shared" si="1"/>
        <v>0</v>
      </c>
      <c r="G8" s="7">
        <f t="shared" si="2"/>
        <v>0</v>
      </c>
      <c r="K8">
        <v>7</v>
      </c>
      <c r="L8">
        <v>3.5119999999999998E-2</v>
      </c>
      <c r="M8">
        <f t="shared" si="3"/>
        <v>3.5119999999999998E-2</v>
      </c>
      <c r="N8">
        <v>3.5119999999999998E-2</v>
      </c>
      <c r="O8" s="9">
        <f t="shared" si="0"/>
        <v>0</v>
      </c>
      <c r="P8" s="8">
        <f t="shared" si="4"/>
        <v>0</v>
      </c>
    </row>
    <row r="9" spans="1:17" x14ac:dyDescent="0.35">
      <c r="A9" s="2">
        <v>3.471055767539527E-2</v>
      </c>
      <c r="B9" s="5">
        <v>3.5319999999999997E-2</v>
      </c>
      <c r="C9">
        <v>3.4710557675395201E-2</v>
      </c>
      <c r="D9">
        <v>3.5319999999999997E-2</v>
      </c>
      <c r="F9" s="7">
        <f t="shared" si="1"/>
        <v>6.9388939039072284E-17</v>
      </c>
      <c r="G9" s="7">
        <f t="shared" si="2"/>
        <v>0</v>
      </c>
      <c r="K9">
        <v>8</v>
      </c>
      <c r="L9">
        <v>3.5319999999999997E-2</v>
      </c>
      <c r="M9">
        <f t="shared" si="3"/>
        <v>3.5319999999999997E-2</v>
      </c>
      <c r="N9">
        <v>3.5319999999999997E-2</v>
      </c>
      <c r="O9" s="9">
        <f t="shared" si="0"/>
        <v>0</v>
      </c>
      <c r="P9" s="8">
        <f t="shared" si="4"/>
        <v>0</v>
      </c>
    </row>
    <row r="10" spans="1:17" x14ac:dyDescent="0.35">
      <c r="A10" s="2">
        <v>3.4913372945182916E-2</v>
      </c>
      <c r="B10" s="5">
        <v>3.5529999999999999E-2</v>
      </c>
      <c r="C10">
        <v>3.4913372945182902E-2</v>
      </c>
      <c r="D10">
        <v>3.5529999999999999E-2</v>
      </c>
      <c r="F10" s="7">
        <f t="shared" si="1"/>
        <v>1.3877787807814457E-17</v>
      </c>
      <c r="G10" s="7">
        <f t="shared" si="2"/>
        <v>0</v>
      </c>
      <c r="K10">
        <v>9</v>
      </c>
      <c r="L10">
        <v>3.5529999999999999E-2</v>
      </c>
      <c r="M10">
        <f t="shared" si="3"/>
        <v>3.5529999999999999E-2</v>
      </c>
      <c r="N10">
        <v>3.5529999999999999E-2</v>
      </c>
      <c r="O10" s="9">
        <f t="shared" si="0"/>
        <v>0</v>
      </c>
      <c r="P10" s="8">
        <f t="shared" si="4"/>
        <v>0</v>
      </c>
    </row>
    <row r="11" spans="1:17" x14ac:dyDescent="0.35">
      <c r="A11" s="2">
        <v>3.5145111467921368E-2</v>
      </c>
      <c r="B11" s="5">
        <v>3.5770000000000003E-2</v>
      </c>
      <c r="C11">
        <v>3.5145111467921299E-2</v>
      </c>
      <c r="D11">
        <v>3.5770000000000003E-2</v>
      </c>
      <c r="F11" s="7">
        <f t="shared" si="1"/>
        <v>6.9388939039072284E-17</v>
      </c>
      <c r="G11" s="7">
        <f t="shared" si="2"/>
        <v>0</v>
      </c>
      <c r="K11">
        <v>10</v>
      </c>
      <c r="L11">
        <v>3.5770000000000003E-2</v>
      </c>
      <c r="M11">
        <f t="shared" si="3"/>
        <v>3.5770000000000003E-2</v>
      </c>
      <c r="N11">
        <v>3.5770000000000003E-2</v>
      </c>
      <c r="O11" s="9">
        <f t="shared" si="0"/>
        <v>0</v>
      </c>
      <c r="P11" s="8">
        <f t="shared" si="4"/>
        <v>0</v>
      </c>
    </row>
    <row r="12" spans="1:17" x14ac:dyDescent="0.35">
      <c r="A12" s="2">
        <v>3.5338185889056531E-2</v>
      </c>
      <c r="B12" s="5">
        <v>3.5970000000000002E-2</v>
      </c>
      <c r="C12">
        <v>3.5338185889056503E-2</v>
      </c>
      <c r="D12">
        <v>3.5970000000000002E-2</v>
      </c>
      <c r="F12" s="7">
        <f t="shared" si="1"/>
        <v>2.7755575615628914E-17</v>
      </c>
      <c r="G12" s="7">
        <f t="shared" si="2"/>
        <v>0</v>
      </c>
      <c r="K12">
        <v>11</v>
      </c>
      <c r="L12">
        <v>3.5970000000000002E-2</v>
      </c>
      <c r="M12">
        <f t="shared" si="3"/>
        <v>3.5970000000000002E-2</v>
      </c>
      <c r="N12">
        <v>3.5970000000000002E-2</v>
      </c>
      <c r="O12" s="9">
        <f t="shared" si="0"/>
        <v>0</v>
      </c>
      <c r="P12" s="8">
        <f t="shared" si="4"/>
        <v>0</v>
      </c>
    </row>
    <row r="13" spans="1:17" x14ac:dyDescent="0.35">
      <c r="A13" s="2">
        <v>3.5521572067078559E-2</v>
      </c>
      <c r="B13" s="5">
        <v>3.6159999999999998E-2</v>
      </c>
      <c r="C13">
        <v>3.5521572067078497E-2</v>
      </c>
      <c r="D13">
        <v>3.6159999999999998E-2</v>
      </c>
      <c r="F13" s="7">
        <f t="shared" si="1"/>
        <v>6.2450045135165055E-17</v>
      </c>
      <c r="G13" s="7">
        <f t="shared" si="2"/>
        <v>0</v>
      </c>
      <c r="K13">
        <v>12</v>
      </c>
      <c r="L13">
        <v>3.6159999999999998E-2</v>
      </c>
      <c r="M13">
        <f t="shared" si="3"/>
        <v>3.6159999999999998E-2</v>
      </c>
      <c r="N13">
        <v>3.6159999999999998E-2</v>
      </c>
      <c r="O13" s="9">
        <f t="shared" si="0"/>
        <v>0</v>
      </c>
      <c r="P13" s="8">
        <f t="shared" si="4"/>
        <v>0</v>
      </c>
    </row>
    <row r="14" spans="1:17" x14ac:dyDescent="0.35">
      <c r="A14" s="2">
        <v>3.5656677208034705E-2</v>
      </c>
      <c r="B14" s="5">
        <v>3.6299999999999999E-2</v>
      </c>
      <c r="C14">
        <v>3.5656677208034698E-2</v>
      </c>
      <c r="D14">
        <v>3.6299999999999999E-2</v>
      </c>
      <c r="F14" s="7">
        <f t="shared" si="1"/>
        <v>6.9388939039072284E-18</v>
      </c>
      <c r="G14" s="7">
        <f t="shared" si="2"/>
        <v>0</v>
      </c>
      <c r="K14">
        <v>13</v>
      </c>
      <c r="L14">
        <v>3.6299999999999999E-2</v>
      </c>
      <c r="M14">
        <f t="shared" si="3"/>
        <v>3.6299999999999999E-2</v>
      </c>
      <c r="N14">
        <v>3.6299999999999999E-2</v>
      </c>
      <c r="O14" s="9">
        <f t="shared" si="0"/>
        <v>0</v>
      </c>
      <c r="P14" s="8">
        <f t="shared" si="4"/>
        <v>0</v>
      </c>
    </row>
    <row r="15" spans="1:17" x14ac:dyDescent="0.35">
      <c r="A15" s="2">
        <v>3.5743520875014798E-2</v>
      </c>
      <c r="B15" s="5">
        <v>3.6389999999999999E-2</v>
      </c>
      <c r="C15">
        <v>3.5743520875014798E-2</v>
      </c>
      <c r="D15">
        <v>3.6389999999999999E-2</v>
      </c>
      <c r="F15" s="7">
        <f t="shared" si="1"/>
        <v>0</v>
      </c>
      <c r="G15" s="7">
        <f t="shared" si="2"/>
        <v>0</v>
      </c>
      <c r="K15">
        <v>14</v>
      </c>
      <c r="L15">
        <v>3.6389999999999999E-2</v>
      </c>
      <c r="M15">
        <f t="shared" si="3"/>
        <v>3.6389999999999999E-2</v>
      </c>
      <c r="N15">
        <v>3.6389999999999999E-2</v>
      </c>
      <c r="O15" s="9">
        <f t="shared" si="0"/>
        <v>0</v>
      </c>
      <c r="P15" s="8">
        <f t="shared" si="4"/>
        <v>0</v>
      </c>
    </row>
    <row r="16" spans="1:17" x14ac:dyDescent="0.35">
      <c r="A16" s="2">
        <v>3.5782115639639803E-2</v>
      </c>
      <c r="B16" s="5">
        <v>3.6429999999999997E-2</v>
      </c>
      <c r="C16">
        <v>3.5782115639639803E-2</v>
      </c>
      <c r="D16">
        <v>3.6429999999999997E-2</v>
      </c>
      <c r="F16" s="7">
        <f t="shared" si="1"/>
        <v>0</v>
      </c>
      <c r="G16" s="7">
        <f t="shared" si="2"/>
        <v>0</v>
      </c>
      <c r="K16">
        <v>15</v>
      </c>
      <c r="L16">
        <v>3.6429999999999997E-2</v>
      </c>
      <c r="M16">
        <f t="shared" si="3"/>
        <v>3.6429999999999997E-2</v>
      </c>
      <c r="N16">
        <v>3.6429999999999997E-2</v>
      </c>
      <c r="O16" s="9">
        <f t="shared" si="0"/>
        <v>0</v>
      </c>
      <c r="P16" s="8">
        <f t="shared" si="4"/>
        <v>0</v>
      </c>
    </row>
    <row r="17" spans="1:18" x14ac:dyDescent="0.35">
      <c r="A17" s="2">
        <v>3.5671133201993978E-2</v>
      </c>
      <c r="B17" s="5">
        <v>3.6310000000000002E-2</v>
      </c>
      <c r="C17">
        <v>3.5671133201993901E-2</v>
      </c>
      <c r="D17">
        <v>3.6310000000000002E-2</v>
      </c>
      <c r="F17" s="7">
        <f t="shared" si="1"/>
        <v>7.6327832942979512E-17</v>
      </c>
      <c r="G17" s="7">
        <f t="shared" si="2"/>
        <v>0</v>
      </c>
      <c r="K17">
        <v>16</v>
      </c>
      <c r="L17">
        <v>3.6400000000000002E-2</v>
      </c>
      <c r="M17">
        <f t="shared" si="3"/>
        <v>3.6310000000000002E-2</v>
      </c>
      <c r="N17">
        <v>3.6310000000000002E-2</v>
      </c>
      <c r="O17" s="9">
        <f t="shared" si="0"/>
        <v>0</v>
      </c>
      <c r="P17" s="8">
        <f t="shared" si="4"/>
        <v>8.9999999999999802E-5</v>
      </c>
    </row>
    <row r="18" spans="1:18" x14ac:dyDescent="0.35">
      <c r="A18" s="2">
        <v>3.5573207521718254E-2</v>
      </c>
      <c r="B18" s="5">
        <v>3.6209999999999999E-2</v>
      </c>
      <c r="C18">
        <v>3.5573207521718199E-2</v>
      </c>
      <c r="D18">
        <v>3.6209999999999999E-2</v>
      </c>
      <c r="F18" s="7">
        <f t="shared" si="1"/>
        <v>5.5511151231257827E-17</v>
      </c>
      <c r="G18" s="7">
        <f t="shared" si="2"/>
        <v>0</v>
      </c>
      <c r="K18">
        <v>17</v>
      </c>
      <c r="L18">
        <v>3.6319999999999998E-2</v>
      </c>
      <c r="M18">
        <f t="shared" si="3"/>
        <v>3.6209999999999999E-2</v>
      </c>
      <c r="N18">
        <v>3.6209999999999999E-2</v>
      </c>
      <c r="O18" s="9">
        <f t="shared" si="0"/>
        <v>0</v>
      </c>
      <c r="P18" s="8">
        <f t="shared" si="4"/>
        <v>1.0999999999999899E-4</v>
      </c>
    </row>
    <row r="19" spans="1:18" x14ac:dyDescent="0.35">
      <c r="A19" s="2">
        <v>3.5486162472584279E-2</v>
      </c>
      <c r="B19" s="5">
        <v>3.6119999999999999E-2</v>
      </c>
      <c r="C19">
        <v>3.5486162472584203E-2</v>
      </c>
      <c r="D19">
        <v>3.6119999999999999E-2</v>
      </c>
      <c r="F19" s="7">
        <f t="shared" si="1"/>
        <v>7.6327832942979512E-17</v>
      </c>
      <c r="G19" s="7">
        <f t="shared" si="2"/>
        <v>0</v>
      </c>
      <c r="K19">
        <v>18</v>
      </c>
      <c r="L19">
        <v>3.6209999999999999E-2</v>
      </c>
      <c r="M19">
        <f t="shared" si="3"/>
        <v>3.6119999999999999E-2</v>
      </c>
      <c r="N19">
        <v>3.6119999999999999E-2</v>
      </c>
      <c r="O19" s="9">
        <f t="shared" si="0"/>
        <v>0</v>
      </c>
      <c r="P19" s="8">
        <f t="shared" si="4"/>
        <v>8.9999999999999802E-5</v>
      </c>
    </row>
    <row r="20" spans="1:18" x14ac:dyDescent="0.35">
      <c r="A20" s="2">
        <v>3.5408280060201247E-2</v>
      </c>
      <c r="B20" s="5">
        <v>3.6040000000000003E-2</v>
      </c>
      <c r="C20">
        <v>3.5408280060201199E-2</v>
      </c>
      <c r="D20">
        <v>3.6040000000000003E-2</v>
      </c>
      <c r="F20" s="7">
        <f t="shared" si="1"/>
        <v>4.8572257327350599E-17</v>
      </c>
      <c r="G20" s="7">
        <f t="shared" si="2"/>
        <v>0</v>
      </c>
      <c r="K20">
        <v>19</v>
      </c>
      <c r="L20">
        <v>3.6089999999999997E-2</v>
      </c>
      <c r="M20">
        <f t="shared" si="3"/>
        <v>3.6040000000000003E-2</v>
      </c>
      <c r="N20">
        <v>3.6040000000000003E-2</v>
      </c>
      <c r="O20" s="9">
        <f t="shared" si="0"/>
        <v>0</v>
      </c>
      <c r="P20" s="8">
        <f t="shared" si="4"/>
        <v>4.9999999999994493E-5</v>
      </c>
    </row>
    <row r="21" spans="1:18" x14ac:dyDescent="0.35">
      <c r="A21" s="2">
        <v>3.5338185889056524E-2</v>
      </c>
      <c r="B21" s="5">
        <v>3.5970000000000002E-2</v>
      </c>
      <c r="C21">
        <v>3.5338185889056503E-2</v>
      </c>
      <c r="D21">
        <v>3.5970000000000002E-2</v>
      </c>
      <c r="F21" s="7">
        <f t="shared" si="1"/>
        <v>2.0816681711721685E-17</v>
      </c>
      <c r="G21" s="7">
        <f t="shared" si="2"/>
        <v>0</v>
      </c>
      <c r="K21">
        <v>20</v>
      </c>
      <c r="L21">
        <v>3.5970000000000002E-2</v>
      </c>
      <c r="M21">
        <f t="shared" si="3"/>
        <v>3.5970000000000002E-2</v>
      </c>
      <c r="N21">
        <v>3.5970000000000002E-2</v>
      </c>
      <c r="O21" s="9">
        <f t="shared" si="0"/>
        <v>0</v>
      </c>
      <c r="P21" s="8">
        <f t="shared" si="4"/>
        <v>0</v>
      </c>
    </row>
    <row r="22" spans="1:18" x14ac:dyDescent="0.35">
      <c r="A22" s="2" t="e">
        <v>#N/A</v>
      </c>
      <c r="B22" s="5">
        <v>3.5900000000000001E-2</v>
      </c>
      <c r="D22">
        <v>3.5900000000000001E-2</v>
      </c>
      <c r="F22" s="7" t="str">
        <f t="shared" si="1"/>
        <v/>
      </c>
      <c r="G22" s="7">
        <f t="shared" si="2"/>
        <v>0</v>
      </c>
      <c r="K22">
        <v>21</v>
      </c>
      <c r="L22">
        <v>3.585E-2</v>
      </c>
      <c r="M22">
        <f t="shared" si="3"/>
        <v>3.5900000000000001E-2</v>
      </c>
      <c r="N22">
        <v>3.5900000000000001E-2</v>
      </c>
      <c r="O22" s="9">
        <f t="shared" si="0"/>
        <v>0</v>
      </c>
      <c r="P22" s="8">
        <f t="shared" si="4"/>
        <v>5.0000000000001432E-5</v>
      </c>
    </row>
    <row r="23" spans="1:18" x14ac:dyDescent="0.35">
      <c r="A23" s="2" t="e">
        <v>#N/A</v>
      </c>
      <c r="B23" s="5">
        <v>3.5830000000000001E-2</v>
      </c>
      <c r="D23">
        <v>3.5830000000000001E-2</v>
      </c>
      <c r="F23" s="7" t="str">
        <f t="shared" si="1"/>
        <v/>
      </c>
      <c r="G23" s="7">
        <f t="shared" si="2"/>
        <v>0</v>
      </c>
      <c r="K23">
        <v>22</v>
      </c>
      <c r="L23">
        <v>3.5749999999999997E-2</v>
      </c>
      <c r="M23">
        <f t="shared" si="3"/>
        <v>3.5830000000000001E-2</v>
      </c>
      <c r="N23">
        <v>3.5819999999999998E-2</v>
      </c>
      <c r="O23" s="9">
        <f>N23-M23</f>
        <v>-1.0000000000003062E-5</v>
      </c>
      <c r="P23" s="8">
        <f t="shared" si="4"/>
        <v>8.0000000000003679E-5</v>
      </c>
      <c r="R23" s="10">
        <f>O23*10000</f>
        <v>-0.10000000000003062</v>
      </c>
    </row>
    <row r="24" spans="1:18" x14ac:dyDescent="0.35">
      <c r="A24" s="2" t="e">
        <v>#N/A</v>
      </c>
      <c r="B24" s="5">
        <v>3.576E-2</v>
      </c>
      <c r="D24">
        <v>3.576E-2</v>
      </c>
      <c r="F24" s="7" t="str">
        <f t="shared" si="1"/>
        <v/>
      </c>
      <c r="G24" s="7">
        <f t="shared" si="2"/>
        <v>0</v>
      </c>
      <c r="K24">
        <v>23</v>
      </c>
      <c r="L24">
        <v>3.5650000000000001E-2</v>
      </c>
      <c r="M24">
        <f t="shared" si="3"/>
        <v>3.576E-2</v>
      </c>
      <c r="N24">
        <v>3.5740000000000001E-2</v>
      </c>
      <c r="O24" s="9">
        <f t="shared" ref="O24:O87" si="5">N24-M24</f>
        <v>-1.9999999999999185E-5</v>
      </c>
      <c r="P24" s="8">
        <f t="shared" si="4"/>
        <v>1.0999999999999899E-4</v>
      </c>
      <c r="R24" s="10">
        <f t="shared" ref="R24:R87" si="6">O24*10000</f>
        <v>-0.19999999999999185</v>
      </c>
    </row>
    <row r="25" spans="1:18" x14ac:dyDescent="0.35">
      <c r="A25" s="2" t="e">
        <v>#N/A</v>
      </c>
      <c r="B25" s="5">
        <v>3.569E-2</v>
      </c>
      <c r="D25">
        <v>3.569E-2</v>
      </c>
      <c r="F25" s="7" t="str">
        <f t="shared" si="1"/>
        <v/>
      </c>
      <c r="G25" s="7">
        <f t="shared" si="2"/>
        <v>0</v>
      </c>
      <c r="K25">
        <v>24</v>
      </c>
      <c r="L25">
        <v>3.5569999999999997E-2</v>
      </c>
      <c r="M25">
        <f t="shared" si="3"/>
        <v>3.569E-2</v>
      </c>
      <c r="N25">
        <v>3.5659999999999997E-2</v>
      </c>
      <c r="O25" s="9">
        <f t="shared" si="5"/>
        <v>-3.0000000000002247E-5</v>
      </c>
      <c r="P25" s="8">
        <f t="shared" si="4"/>
        <v>1.2000000000000205E-4</v>
      </c>
      <c r="R25" s="10">
        <f t="shared" si="6"/>
        <v>-0.30000000000002247</v>
      </c>
    </row>
    <row r="26" spans="1:18" x14ac:dyDescent="0.35">
      <c r="A26" s="2" t="e">
        <v>#N/A</v>
      </c>
      <c r="B26" s="5">
        <v>3.5619999999999999E-2</v>
      </c>
      <c r="D26">
        <v>3.5619999999999999E-2</v>
      </c>
      <c r="F26" s="7" t="str">
        <f t="shared" si="1"/>
        <v/>
      </c>
      <c r="G26" s="7">
        <f t="shared" si="2"/>
        <v>0</v>
      </c>
      <c r="K26">
        <v>25</v>
      </c>
      <c r="L26">
        <v>3.5479999999999998E-2</v>
      </c>
      <c r="M26">
        <f t="shared" si="3"/>
        <v>3.5619999999999999E-2</v>
      </c>
      <c r="N26">
        <v>3.5580000000000001E-2</v>
      </c>
      <c r="O26" s="9">
        <f t="shared" si="5"/>
        <v>-3.999999999999837E-5</v>
      </c>
      <c r="P26" s="8">
        <f t="shared" si="4"/>
        <v>1.4000000000000123E-4</v>
      </c>
      <c r="R26" s="10">
        <f t="shared" si="6"/>
        <v>-0.3999999999999837</v>
      </c>
    </row>
    <row r="27" spans="1:18" x14ac:dyDescent="0.35">
      <c r="A27" s="2" t="e">
        <v>#N/A</v>
      </c>
      <c r="B27" s="5">
        <v>3.5549999999999998E-2</v>
      </c>
      <c r="D27">
        <v>3.5549999999999998E-2</v>
      </c>
      <c r="F27" s="7" t="str">
        <f t="shared" si="1"/>
        <v/>
      </c>
      <c r="G27" s="7">
        <f t="shared" si="2"/>
        <v>0</v>
      </c>
      <c r="K27">
        <v>26</v>
      </c>
      <c r="L27">
        <v>3.5400000000000001E-2</v>
      </c>
      <c r="M27">
        <f t="shared" si="3"/>
        <v>3.5549999999999998E-2</v>
      </c>
      <c r="N27">
        <v>3.5499999999999997E-2</v>
      </c>
      <c r="O27" s="9">
        <f t="shared" si="5"/>
        <v>-5.0000000000001432E-5</v>
      </c>
      <c r="P27" s="8">
        <f t="shared" si="4"/>
        <v>1.4999999999999736E-4</v>
      </c>
      <c r="R27" s="10">
        <f t="shared" si="6"/>
        <v>-0.50000000000001432</v>
      </c>
    </row>
    <row r="28" spans="1:18" x14ac:dyDescent="0.35">
      <c r="A28" s="2" t="e">
        <v>#N/A</v>
      </c>
      <c r="B28" s="5">
        <v>3.5490000000000001E-2</v>
      </c>
      <c r="D28">
        <v>3.5490000000000001E-2</v>
      </c>
      <c r="F28" s="7" t="str">
        <f t="shared" si="1"/>
        <v/>
      </c>
      <c r="G28" s="7">
        <f t="shared" si="2"/>
        <v>0</v>
      </c>
      <c r="K28">
        <v>27</v>
      </c>
      <c r="L28">
        <v>3.533E-2</v>
      </c>
      <c r="M28">
        <f t="shared" si="3"/>
        <v>3.5490000000000001E-2</v>
      </c>
      <c r="N28">
        <v>3.542E-2</v>
      </c>
      <c r="O28" s="9">
        <f t="shared" si="5"/>
        <v>-7.0000000000000617E-5</v>
      </c>
      <c r="P28" s="8">
        <f t="shared" si="4"/>
        <v>1.6000000000000042E-4</v>
      </c>
      <c r="R28" s="10">
        <f t="shared" si="6"/>
        <v>-0.70000000000000617</v>
      </c>
    </row>
    <row r="29" spans="1:18" x14ac:dyDescent="0.35">
      <c r="A29" s="2" t="e">
        <v>#N/A</v>
      </c>
      <c r="B29" s="5">
        <v>3.542E-2</v>
      </c>
      <c r="D29">
        <v>3.542E-2</v>
      </c>
      <c r="F29" s="7" t="str">
        <f t="shared" si="1"/>
        <v/>
      </c>
      <c r="G29" s="7">
        <f t="shared" si="2"/>
        <v>0</v>
      </c>
      <c r="K29">
        <v>28</v>
      </c>
      <c r="L29">
        <v>3.526E-2</v>
      </c>
      <c r="M29">
        <f t="shared" si="3"/>
        <v>3.542E-2</v>
      </c>
      <c r="N29">
        <v>3.5349999999999999E-2</v>
      </c>
      <c r="O29" s="9">
        <f t="shared" si="5"/>
        <v>-7.0000000000000617E-5</v>
      </c>
      <c r="P29" s="8">
        <f t="shared" si="4"/>
        <v>1.6000000000000042E-4</v>
      </c>
      <c r="R29" s="10">
        <f t="shared" si="6"/>
        <v>-0.70000000000000617</v>
      </c>
    </row>
    <row r="30" spans="1:18" x14ac:dyDescent="0.35">
      <c r="A30" s="2" t="e">
        <v>#N/A</v>
      </c>
      <c r="B30" s="5">
        <v>3.5360000000000003E-2</v>
      </c>
      <c r="D30">
        <v>3.5360000000000003E-2</v>
      </c>
      <c r="F30" s="7" t="str">
        <f t="shared" si="1"/>
        <v/>
      </c>
      <c r="G30" s="7">
        <f t="shared" si="2"/>
        <v>0</v>
      </c>
      <c r="K30">
        <v>29</v>
      </c>
      <c r="L30">
        <v>3.5200000000000002E-2</v>
      </c>
      <c r="M30">
        <f t="shared" si="3"/>
        <v>3.5360000000000003E-2</v>
      </c>
      <c r="N30">
        <v>3.5279999999999999E-2</v>
      </c>
      <c r="O30" s="9">
        <f t="shared" si="5"/>
        <v>-8.0000000000003679E-5</v>
      </c>
      <c r="P30" s="8">
        <f t="shared" si="4"/>
        <v>1.6000000000000042E-4</v>
      </c>
      <c r="R30" s="10">
        <f t="shared" si="6"/>
        <v>-0.80000000000003679</v>
      </c>
    </row>
    <row r="31" spans="1:18" x14ac:dyDescent="0.35">
      <c r="A31" s="2" t="e">
        <v>#N/A</v>
      </c>
      <c r="B31" s="5">
        <v>3.5299999999999998E-2</v>
      </c>
      <c r="D31">
        <v>3.5299999999999998E-2</v>
      </c>
      <c r="F31" s="7" t="str">
        <f t="shared" si="1"/>
        <v/>
      </c>
      <c r="G31" s="7">
        <f t="shared" si="2"/>
        <v>0</v>
      </c>
      <c r="K31">
        <v>30</v>
      </c>
      <c r="L31">
        <v>3.5139999999999998E-2</v>
      </c>
      <c r="M31">
        <f t="shared" si="3"/>
        <v>3.5299999999999998E-2</v>
      </c>
      <c r="N31">
        <v>3.5209999999999998E-2</v>
      </c>
      <c r="O31" s="9">
        <f t="shared" si="5"/>
        <v>-8.9999999999999802E-5</v>
      </c>
      <c r="P31" s="8">
        <f t="shared" si="4"/>
        <v>1.6000000000000042E-4</v>
      </c>
      <c r="R31" s="10">
        <f t="shared" si="6"/>
        <v>-0.89999999999999802</v>
      </c>
    </row>
    <row r="32" spans="1:18" x14ac:dyDescent="0.35">
      <c r="A32" s="2" t="e">
        <v>#N/A</v>
      </c>
      <c r="B32" s="5">
        <v>3.524E-2</v>
      </c>
      <c r="D32">
        <v>3.524E-2</v>
      </c>
      <c r="F32" s="7" t="str">
        <f t="shared" si="1"/>
        <v/>
      </c>
      <c r="G32" s="7">
        <f t="shared" si="2"/>
        <v>0</v>
      </c>
      <c r="K32">
        <v>31</v>
      </c>
      <c r="L32">
        <v>3.508E-2</v>
      </c>
      <c r="M32">
        <f t="shared" si="3"/>
        <v>3.524E-2</v>
      </c>
      <c r="N32">
        <v>3.5139999999999998E-2</v>
      </c>
      <c r="O32" s="9">
        <f t="shared" si="5"/>
        <v>-1.0000000000000286E-4</v>
      </c>
      <c r="P32" s="8">
        <f t="shared" si="4"/>
        <v>1.6000000000000042E-4</v>
      </c>
      <c r="R32" s="10">
        <f t="shared" si="6"/>
        <v>-1.0000000000000286</v>
      </c>
    </row>
    <row r="33" spans="1:18" x14ac:dyDescent="0.35">
      <c r="A33" s="2" t="e">
        <v>#N/A</v>
      </c>
      <c r="B33" s="5">
        <v>3.5189999999999999E-2</v>
      </c>
      <c r="D33">
        <v>3.5189999999999999E-2</v>
      </c>
      <c r="F33" s="7" t="str">
        <f t="shared" si="1"/>
        <v/>
      </c>
      <c r="G33" s="7">
        <f t="shared" si="2"/>
        <v>0</v>
      </c>
      <c r="K33">
        <v>32</v>
      </c>
      <c r="L33">
        <v>3.5029999999999999E-2</v>
      </c>
      <c r="M33">
        <f t="shared" si="3"/>
        <v>3.5189999999999999E-2</v>
      </c>
      <c r="N33">
        <v>3.508E-2</v>
      </c>
      <c r="O33" s="9">
        <f t="shared" si="5"/>
        <v>-1.0999999999999899E-4</v>
      </c>
      <c r="P33" s="8">
        <f t="shared" si="4"/>
        <v>1.6000000000000042E-4</v>
      </c>
      <c r="R33" s="10">
        <f t="shared" si="6"/>
        <v>-1.0999999999999899</v>
      </c>
    </row>
    <row r="34" spans="1:18" x14ac:dyDescent="0.35">
      <c r="A34" s="2" t="e">
        <v>#N/A</v>
      </c>
      <c r="B34" s="5">
        <v>3.5130000000000002E-2</v>
      </c>
      <c r="D34">
        <v>3.5130000000000002E-2</v>
      </c>
      <c r="F34" s="7" t="str">
        <f t="shared" si="1"/>
        <v/>
      </c>
      <c r="G34" s="7">
        <f t="shared" si="2"/>
        <v>0</v>
      </c>
      <c r="K34">
        <v>33</v>
      </c>
      <c r="L34">
        <v>3.4979999999999997E-2</v>
      </c>
      <c r="M34">
        <f t="shared" si="3"/>
        <v>3.5130000000000002E-2</v>
      </c>
      <c r="N34">
        <v>3.5020000000000003E-2</v>
      </c>
      <c r="O34" s="9">
        <f t="shared" si="5"/>
        <v>-1.0999999999999899E-4</v>
      </c>
      <c r="P34" s="8">
        <f t="shared" si="4"/>
        <v>1.500000000000043E-4</v>
      </c>
      <c r="R34" s="10">
        <f t="shared" si="6"/>
        <v>-1.0999999999999899</v>
      </c>
    </row>
    <row r="35" spans="1:18" x14ac:dyDescent="0.35">
      <c r="A35" s="2" t="e">
        <v>#N/A</v>
      </c>
      <c r="B35" s="5">
        <v>3.508E-2</v>
      </c>
      <c r="D35">
        <v>3.508E-2</v>
      </c>
      <c r="F35" s="7" t="str">
        <f t="shared" si="1"/>
        <v/>
      </c>
      <c r="G35" s="7">
        <f t="shared" si="2"/>
        <v>0</v>
      </c>
      <c r="K35">
        <v>34</v>
      </c>
      <c r="L35">
        <v>3.4930000000000003E-2</v>
      </c>
      <c r="M35">
        <f t="shared" si="3"/>
        <v>3.508E-2</v>
      </c>
      <c r="N35">
        <v>3.4970000000000001E-2</v>
      </c>
      <c r="O35" s="9">
        <f t="shared" si="5"/>
        <v>-1.0999999999999899E-4</v>
      </c>
      <c r="P35" s="8">
        <f t="shared" si="4"/>
        <v>1.4999999999999736E-4</v>
      </c>
      <c r="R35" s="10">
        <f t="shared" si="6"/>
        <v>-1.0999999999999899</v>
      </c>
    </row>
    <row r="36" spans="1:18" x14ac:dyDescent="0.35">
      <c r="A36" s="2" t="e">
        <v>#N/A</v>
      </c>
      <c r="B36" s="5">
        <v>3.5029999999999999E-2</v>
      </c>
      <c r="D36">
        <v>3.5029999999999999E-2</v>
      </c>
      <c r="F36" s="7" t="str">
        <f t="shared" si="1"/>
        <v/>
      </c>
      <c r="G36" s="7">
        <f t="shared" si="2"/>
        <v>0</v>
      </c>
      <c r="K36">
        <v>35</v>
      </c>
      <c r="L36">
        <v>3.4880000000000001E-2</v>
      </c>
      <c r="M36">
        <f t="shared" si="3"/>
        <v>3.5029999999999999E-2</v>
      </c>
      <c r="N36">
        <v>3.4909999999999997E-2</v>
      </c>
      <c r="O36" s="9">
        <f t="shared" si="5"/>
        <v>-1.2000000000000205E-4</v>
      </c>
      <c r="P36" s="8">
        <f t="shared" si="4"/>
        <v>1.4999999999999736E-4</v>
      </c>
      <c r="R36" s="10">
        <f t="shared" si="6"/>
        <v>-1.2000000000000206</v>
      </c>
    </row>
    <row r="37" spans="1:18" x14ac:dyDescent="0.35">
      <c r="A37" s="2" t="e">
        <v>#N/A</v>
      </c>
      <c r="B37" s="5">
        <v>3.4979999999999997E-2</v>
      </c>
      <c r="D37">
        <v>3.4979999999999997E-2</v>
      </c>
      <c r="F37" s="7" t="str">
        <f t="shared" si="1"/>
        <v/>
      </c>
      <c r="G37" s="7">
        <f t="shared" si="2"/>
        <v>0</v>
      </c>
      <c r="K37">
        <v>36</v>
      </c>
      <c r="L37">
        <v>3.4840000000000003E-2</v>
      </c>
      <c r="M37">
        <f t="shared" si="3"/>
        <v>3.4979999999999997E-2</v>
      </c>
      <c r="N37">
        <v>3.4860000000000002E-2</v>
      </c>
      <c r="O37" s="9">
        <f t="shared" si="5"/>
        <v>-1.1999999999999511E-4</v>
      </c>
      <c r="P37" s="8">
        <f t="shared" si="4"/>
        <v>1.399999999999943E-4</v>
      </c>
      <c r="R37" s="10">
        <f t="shared" si="6"/>
        <v>-1.1999999999999511</v>
      </c>
    </row>
    <row r="38" spans="1:18" x14ac:dyDescent="0.35">
      <c r="A38" s="2" t="e">
        <v>#N/A</v>
      </c>
      <c r="B38" s="5">
        <v>3.4939999999999999E-2</v>
      </c>
      <c r="D38">
        <v>3.4939999999999999E-2</v>
      </c>
      <c r="F38" s="7" t="str">
        <f t="shared" si="1"/>
        <v/>
      </c>
      <c r="G38" s="7">
        <f t="shared" si="2"/>
        <v>0</v>
      </c>
      <c r="K38">
        <v>37</v>
      </c>
      <c r="L38">
        <v>3.4790000000000001E-2</v>
      </c>
      <c r="M38">
        <f t="shared" si="3"/>
        <v>3.4939999999999999E-2</v>
      </c>
      <c r="N38">
        <v>3.4810000000000001E-2</v>
      </c>
      <c r="O38" s="9">
        <f t="shared" si="5"/>
        <v>-1.2999999999999817E-4</v>
      </c>
      <c r="P38" s="8">
        <f t="shared" si="4"/>
        <v>1.4999999999999736E-4</v>
      </c>
      <c r="R38" s="10">
        <f t="shared" si="6"/>
        <v>-1.2999999999999816</v>
      </c>
    </row>
    <row r="39" spans="1:18" x14ac:dyDescent="0.35">
      <c r="A39" s="2" t="e">
        <v>#N/A</v>
      </c>
      <c r="B39" s="5">
        <v>3.4889999999999997E-2</v>
      </c>
      <c r="D39">
        <v>3.4889999999999997E-2</v>
      </c>
      <c r="F39" s="7" t="str">
        <f t="shared" si="1"/>
        <v/>
      </c>
      <c r="G39" s="7">
        <f t="shared" si="2"/>
        <v>0</v>
      </c>
      <c r="K39">
        <v>38</v>
      </c>
      <c r="L39">
        <v>3.4750000000000003E-2</v>
      </c>
      <c r="M39">
        <f t="shared" si="3"/>
        <v>3.4889999999999997E-2</v>
      </c>
      <c r="N39">
        <v>3.4770000000000002E-2</v>
      </c>
      <c r="O39" s="9">
        <f t="shared" si="5"/>
        <v>-1.1999999999999511E-4</v>
      </c>
      <c r="P39" s="8">
        <f t="shared" si="4"/>
        <v>1.399999999999943E-4</v>
      </c>
      <c r="R39" s="10">
        <f t="shared" si="6"/>
        <v>-1.1999999999999511</v>
      </c>
    </row>
    <row r="40" spans="1:18" x14ac:dyDescent="0.35">
      <c r="A40" s="2" t="e">
        <v>#N/A</v>
      </c>
      <c r="B40" s="5">
        <v>3.4849999999999999E-2</v>
      </c>
      <c r="D40">
        <v>3.4849999999999999E-2</v>
      </c>
      <c r="F40" s="7" t="str">
        <f t="shared" si="1"/>
        <v/>
      </c>
      <c r="G40" s="7">
        <f t="shared" si="2"/>
        <v>0</v>
      </c>
      <c r="K40">
        <v>39</v>
      </c>
      <c r="L40">
        <v>3.4709999999999998E-2</v>
      </c>
      <c r="M40">
        <f t="shared" si="3"/>
        <v>3.4849999999999999E-2</v>
      </c>
      <c r="N40">
        <v>3.4720000000000001E-2</v>
      </c>
      <c r="O40" s="9">
        <f t="shared" si="5"/>
        <v>-1.2999999999999817E-4</v>
      </c>
      <c r="P40" s="8">
        <f t="shared" si="4"/>
        <v>1.4000000000000123E-4</v>
      </c>
      <c r="R40" s="10">
        <f t="shared" si="6"/>
        <v>-1.2999999999999816</v>
      </c>
    </row>
    <row r="41" spans="1:18" x14ac:dyDescent="0.35">
      <c r="A41" s="2" t="e">
        <v>#N/A</v>
      </c>
      <c r="B41" s="5">
        <v>3.4810000000000001E-2</v>
      </c>
      <c r="D41">
        <v>3.4810000000000001E-2</v>
      </c>
      <c r="F41" s="7" t="str">
        <f t="shared" si="1"/>
        <v/>
      </c>
      <c r="G41" s="7">
        <f t="shared" si="2"/>
        <v>0</v>
      </c>
      <c r="K41">
        <v>40</v>
      </c>
      <c r="L41">
        <v>3.4680000000000002E-2</v>
      </c>
      <c r="M41">
        <f t="shared" si="3"/>
        <v>3.4810000000000001E-2</v>
      </c>
      <c r="N41">
        <v>3.4680000000000002E-2</v>
      </c>
      <c r="O41" s="9">
        <f t="shared" si="5"/>
        <v>-1.2999999999999817E-4</v>
      </c>
      <c r="P41" s="8">
        <f t="shared" si="4"/>
        <v>1.2999999999999817E-4</v>
      </c>
      <c r="R41" s="10">
        <f t="shared" si="6"/>
        <v>-1.2999999999999816</v>
      </c>
    </row>
    <row r="42" spans="1:18" x14ac:dyDescent="0.35">
      <c r="A42" s="2" t="e">
        <v>#N/A</v>
      </c>
      <c r="B42" s="5">
        <v>3.4770000000000002E-2</v>
      </c>
      <c r="D42">
        <v>3.4770000000000002E-2</v>
      </c>
      <c r="F42" s="7" t="str">
        <f t="shared" si="1"/>
        <v/>
      </c>
      <c r="G42" s="7">
        <f t="shared" si="2"/>
        <v>0</v>
      </c>
      <c r="K42">
        <v>41</v>
      </c>
      <c r="L42">
        <v>3.4639999999999997E-2</v>
      </c>
      <c r="M42">
        <f t="shared" si="3"/>
        <v>3.4770000000000002E-2</v>
      </c>
      <c r="N42">
        <v>3.4639999999999997E-2</v>
      </c>
      <c r="O42" s="9">
        <f t="shared" si="5"/>
        <v>-1.3000000000000511E-4</v>
      </c>
      <c r="P42" s="8">
        <f t="shared" si="4"/>
        <v>1.3000000000000511E-4</v>
      </c>
      <c r="R42" s="10">
        <f t="shared" si="6"/>
        <v>-1.3000000000000511</v>
      </c>
    </row>
    <row r="43" spans="1:18" x14ac:dyDescent="0.35">
      <c r="A43" s="2" t="e">
        <v>#N/A</v>
      </c>
      <c r="B43" s="5">
        <v>3.4729999999999997E-2</v>
      </c>
      <c r="D43">
        <v>3.4729999999999997E-2</v>
      </c>
      <c r="F43" s="7" t="str">
        <f t="shared" si="1"/>
        <v/>
      </c>
      <c r="G43" s="7">
        <f t="shared" si="2"/>
        <v>0</v>
      </c>
      <c r="K43">
        <v>42</v>
      </c>
      <c r="L43">
        <v>3.4610000000000002E-2</v>
      </c>
      <c r="M43">
        <f t="shared" si="3"/>
        <v>3.4729999999999997E-2</v>
      </c>
      <c r="N43">
        <v>3.4599999999999999E-2</v>
      </c>
      <c r="O43" s="9">
        <f t="shared" si="5"/>
        <v>-1.2999999999999817E-4</v>
      </c>
      <c r="P43" s="8">
        <f t="shared" si="4"/>
        <v>1.1999999999999511E-4</v>
      </c>
      <c r="R43" s="10">
        <f t="shared" si="6"/>
        <v>-1.2999999999999816</v>
      </c>
    </row>
    <row r="44" spans="1:18" x14ac:dyDescent="0.35">
      <c r="A44" s="2" t="e">
        <v>#N/A</v>
      </c>
      <c r="B44" s="5">
        <v>3.4689999999999999E-2</v>
      </c>
      <c r="D44">
        <v>3.4689999999999999E-2</v>
      </c>
      <c r="F44" s="7" t="str">
        <f t="shared" si="1"/>
        <v/>
      </c>
      <c r="G44" s="7">
        <f t="shared" si="2"/>
        <v>0</v>
      </c>
      <c r="K44">
        <v>43</v>
      </c>
      <c r="L44">
        <v>3.458E-2</v>
      </c>
      <c r="M44">
        <f t="shared" si="3"/>
        <v>3.4689999999999999E-2</v>
      </c>
      <c r="N44">
        <v>3.456E-2</v>
      </c>
      <c r="O44" s="9">
        <f t="shared" si="5"/>
        <v>-1.2999999999999817E-4</v>
      </c>
      <c r="P44" s="8">
        <f t="shared" si="4"/>
        <v>1.0999999999999899E-4</v>
      </c>
      <c r="R44" s="10">
        <f t="shared" si="6"/>
        <v>-1.2999999999999816</v>
      </c>
    </row>
    <row r="45" spans="1:18" x14ac:dyDescent="0.35">
      <c r="A45" s="2" t="e">
        <v>#N/A</v>
      </c>
      <c r="B45" s="5">
        <v>3.465E-2</v>
      </c>
      <c r="D45">
        <v>3.465E-2</v>
      </c>
      <c r="F45" s="7" t="str">
        <f t="shared" si="1"/>
        <v/>
      </c>
      <c r="G45" s="7">
        <f t="shared" si="2"/>
        <v>0</v>
      </c>
      <c r="K45">
        <v>44</v>
      </c>
      <c r="L45">
        <v>3.4540000000000001E-2</v>
      </c>
      <c r="M45">
        <f t="shared" si="3"/>
        <v>3.465E-2</v>
      </c>
      <c r="N45">
        <v>3.4529999999999998E-2</v>
      </c>
      <c r="O45" s="9">
        <f t="shared" si="5"/>
        <v>-1.2000000000000205E-4</v>
      </c>
      <c r="P45" s="8">
        <f t="shared" si="4"/>
        <v>1.0999999999999899E-4</v>
      </c>
      <c r="R45" s="10">
        <f t="shared" si="6"/>
        <v>-1.2000000000000206</v>
      </c>
    </row>
    <row r="46" spans="1:18" x14ac:dyDescent="0.35">
      <c r="A46" s="2" t="e">
        <v>#N/A</v>
      </c>
      <c r="B46" s="5">
        <v>3.4619999999999998E-2</v>
      </c>
      <c r="D46">
        <v>3.4619999999999998E-2</v>
      </c>
      <c r="F46" s="7" t="str">
        <f t="shared" si="1"/>
        <v/>
      </c>
      <c r="G46" s="7">
        <f t="shared" si="2"/>
        <v>0</v>
      </c>
      <c r="K46">
        <v>45</v>
      </c>
      <c r="L46">
        <v>3.4509999999999999E-2</v>
      </c>
      <c r="M46">
        <f t="shared" si="3"/>
        <v>3.4619999999999998E-2</v>
      </c>
      <c r="N46">
        <v>3.449E-2</v>
      </c>
      <c r="O46" s="9">
        <f t="shared" si="5"/>
        <v>-1.2999999999999817E-4</v>
      </c>
      <c r="P46" s="8">
        <f t="shared" si="4"/>
        <v>1.0999999999999899E-4</v>
      </c>
      <c r="R46" s="10">
        <f t="shared" si="6"/>
        <v>-1.2999999999999816</v>
      </c>
    </row>
    <row r="47" spans="1:18" x14ac:dyDescent="0.35">
      <c r="A47" s="2" t="e">
        <v>#N/A</v>
      </c>
      <c r="B47" s="5">
        <v>3.4590000000000003E-2</v>
      </c>
      <c r="D47">
        <v>3.4590000000000003E-2</v>
      </c>
      <c r="F47" s="7" t="str">
        <f t="shared" si="1"/>
        <v/>
      </c>
      <c r="G47" s="7">
        <f t="shared" si="2"/>
        <v>0</v>
      </c>
      <c r="K47">
        <v>46</v>
      </c>
      <c r="L47">
        <v>3.4479999999999997E-2</v>
      </c>
      <c r="M47">
        <f t="shared" si="3"/>
        <v>3.4590000000000003E-2</v>
      </c>
      <c r="N47">
        <v>3.4459999999999998E-2</v>
      </c>
      <c r="O47" s="9">
        <f t="shared" si="5"/>
        <v>-1.3000000000000511E-4</v>
      </c>
      <c r="P47" s="8">
        <f t="shared" si="4"/>
        <v>1.1000000000000593E-4</v>
      </c>
      <c r="R47" s="10">
        <f t="shared" si="6"/>
        <v>-1.3000000000000511</v>
      </c>
    </row>
    <row r="48" spans="1:18" x14ac:dyDescent="0.35">
      <c r="A48" s="2" t="e">
        <v>#N/A</v>
      </c>
      <c r="B48" s="5">
        <v>3.4549999999999997E-2</v>
      </c>
      <c r="D48">
        <v>3.4549999999999997E-2</v>
      </c>
      <c r="F48" s="7" t="str">
        <f t="shared" si="1"/>
        <v/>
      </c>
      <c r="G48" s="7">
        <f t="shared" si="2"/>
        <v>0</v>
      </c>
      <c r="K48">
        <v>47</v>
      </c>
      <c r="L48">
        <v>3.4459999999999998E-2</v>
      </c>
      <c r="M48">
        <f t="shared" si="3"/>
        <v>3.4549999999999997E-2</v>
      </c>
      <c r="N48">
        <v>3.4430000000000002E-2</v>
      </c>
      <c r="O48" s="9">
        <f t="shared" si="5"/>
        <v>-1.1999999999999511E-4</v>
      </c>
      <c r="P48" s="8">
        <f t="shared" si="4"/>
        <v>8.9999999999999802E-5</v>
      </c>
      <c r="R48" s="10">
        <f t="shared" si="6"/>
        <v>-1.1999999999999511</v>
      </c>
    </row>
    <row r="49" spans="1:18" x14ac:dyDescent="0.35">
      <c r="A49" s="2" t="e">
        <v>#N/A</v>
      </c>
      <c r="B49" s="5">
        <v>3.4520000000000002E-2</v>
      </c>
      <c r="D49">
        <v>3.4520000000000002E-2</v>
      </c>
      <c r="F49" s="7" t="str">
        <f t="shared" si="1"/>
        <v/>
      </c>
      <c r="G49" s="7">
        <f t="shared" si="2"/>
        <v>0</v>
      </c>
      <c r="K49">
        <v>48</v>
      </c>
      <c r="L49">
        <v>3.4430000000000002E-2</v>
      </c>
      <c r="M49">
        <f t="shared" si="3"/>
        <v>3.4520000000000002E-2</v>
      </c>
      <c r="N49">
        <v>3.44E-2</v>
      </c>
      <c r="O49" s="9">
        <f t="shared" si="5"/>
        <v>-1.2000000000000205E-4</v>
      </c>
      <c r="P49" s="8">
        <f t="shared" si="4"/>
        <v>8.9999999999999802E-5</v>
      </c>
      <c r="R49" s="10">
        <f t="shared" si="6"/>
        <v>-1.2000000000000206</v>
      </c>
    </row>
    <row r="50" spans="1:18" x14ac:dyDescent="0.35">
      <c r="A50" s="2" t="e">
        <v>#N/A</v>
      </c>
      <c r="B50" s="5">
        <v>3.449E-2</v>
      </c>
      <c r="D50">
        <v>3.449E-2</v>
      </c>
      <c r="F50" s="7" t="str">
        <f t="shared" si="1"/>
        <v/>
      </c>
      <c r="G50" s="7">
        <f t="shared" si="2"/>
        <v>0</v>
      </c>
      <c r="K50">
        <v>49</v>
      </c>
      <c r="L50">
        <v>3.44E-2</v>
      </c>
      <c r="M50">
        <f t="shared" si="3"/>
        <v>3.449E-2</v>
      </c>
      <c r="N50">
        <v>3.4369999999999998E-2</v>
      </c>
      <c r="O50" s="9">
        <f t="shared" si="5"/>
        <v>-1.2000000000000205E-4</v>
      </c>
      <c r="P50" s="8">
        <f t="shared" si="4"/>
        <v>8.9999999999999802E-5</v>
      </c>
      <c r="R50" s="10">
        <f t="shared" si="6"/>
        <v>-1.2000000000000206</v>
      </c>
    </row>
    <row r="51" spans="1:18" x14ac:dyDescent="0.35">
      <c r="A51" s="2" t="e">
        <v>#N/A</v>
      </c>
      <c r="B51" s="5">
        <v>3.4470000000000001E-2</v>
      </c>
      <c r="D51">
        <v>3.4470000000000001E-2</v>
      </c>
      <c r="F51" s="7" t="str">
        <f t="shared" si="1"/>
        <v/>
      </c>
      <c r="G51" s="7">
        <f t="shared" si="2"/>
        <v>0</v>
      </c>
      <c r="K51">
        <v>50</v>
      </c>
      <c r="L51">
        <v>3.4380000000000001E-2</v>
      </c>
      <c r="M51">
        <f t="shared" si="3"/>
        <v>3.4470000000000001E-2</v>
      </c>
      <c r="N51">
        <v>3.4349999999999999E-2</v>
      </c>
      <c r="O51" s="9">
        <f t="shared" si="5"/>
        <v>-1.2000000000000205E-4</v>
      </c>
      <c r="P51" s="8">
        <f t="shared" si="4"/>
        <v>8.9999999999999802E-5</v>
      </c>
      <c r="R51" s="10">
        <f t="shared" si="6"/>
        <v>-1.2000000000000206</v>
      </c>
    </row>
    <row r="52" spans="1:18" x14ac:dyDescent="0.35">
      <c r="A52" s="3" t="e">
        <v>#N/A</v>
      </c>
      <c r="B52" s="5">
        <v>3.4439999999999998E-2</v>
      </c>
      <c r="D52">
        <v>3.4439999999999998E-2</v>
      </c>
      <c r="F52" s="7" t="str">
        <f t="shared" si="1"/>
        <v/>
      </c>
      <c r="G52" s="7">
        <f t="shared" si="2"/>
        <v>0</v>
      </c>
      <c r="K52">
        <v>51</v>
      </c>
      <c r="L52">
        <v>3.4349999999999999E-2</v>
      </c>
      <c r="M52">
        <f t="shared" si="3"/>
        <v>3.4439999999999998E-2</v>
      </c>
      <c r="N52">
        <v>3.4320000000000003E-2</v>
      </c>
      <c r="O52" s="9">
        <f t="shared" si="5"/>
        <v>-1.1999999999999511E-4</v>
      </c>
      <c r="P52" s="8">
        <f t="shared" si="4"/>
        <v>8.9999999999999802E-5</v>
      </c>
      <c r="R52" s="10">
        <f t="shared" si="6"/>
        <v>-1.1999999999999511</v>
      </c>
    </row>
    <row r="53" spans="1:18" x14ac:dyDescent="0.35">
      <c r="A53" s="3" t="e">
        <v>#N/A</v>
      </c>
      <c r="B53" s="5">
        <v>3.4410000000000003E-2</v>
      </c>
      <c r="D53">
        <v>3.4410000000000003E-2</v>
      </c>
      <c r="F53" s="7" t="str">
        <f t="shared" si="1"/>
        <v/>
      </c>
      <c r="G53" s="7">
        <f t="shared" si="2"/>
        <v>0</v>
      </c>
      <c r="K53">
        <v>52</v>
      </c>
      <c r="L53">
        <v>3.4329999999999999E-2</v>
      </c>
      <c r="M53">
        <f t="shared" si="3"/>
        <v>3.4410000000000003E-2</v>
      </c>
      <c r="N53">
        <v>3.4290000000000001E-2</v>
      </c>
      <c r="O53" s="9">
        <f t="shared" si="5"/>
        <v>-1.2000000000000205E-4</v>
      </c>
      <c r="P53" s="8">
        <f t="shared" si="4"/>
        <v>8.0000000000003679E-5</v>
      </c>
      <c r="R53" s="10">
        <f t="shared" si="6"/>
        <v>-1.2000000000000206</v>
      </c>
    </row>
    <row r="54" spans="1:18" x14ac:dyDescent="0.35">
      <c r="A54" s="3" t="e">
        <v>#N/A</v>
      </c>
      <c r="B54" s="5">
        <v>3.4389999999999997E-2</v>
      </c>
      <c r="D54">
        <v>3.4389999999999997E-2</v>
      </c>
      <c r="F54" s="7" t="str">
        <f t="shared" si="1"/>
        <v/>
      </c>
      <c r="G54" s="7">
        <f t="shared" si="2"/>
        <v>0</v>
      </c>
      <c r="K54">
        <v>53</v>
      </c>
      <c r="L54">
        <v>3.431E-2</v>
      </c>
      <c r="M54">
        <f t="shared" si="3"/>
        <v>3.4389999999999997E-2</v>
      </c>
      <c r="N54">
        <v>3.4270000000000002E-2</v>
      </c>
      <c r="O54" s="9">
        <f t="shared" si="5"/>
        <v>-1.1999999999999511E-4</v>
      </c>
      <c r="P54" s="8">
        <f t="shared" si="4"/>
        <v>7.999999999999674E-5</v>
      </c>
      <c r="R54" s="10">
        <f t="shared" si="6"/>
        <v>-1.1999999999999511</v>
      </c>
    </row>
    <row r="55" spans="1:18" x14ac:dyDescent="0.35">
      <c r="A55" s="3" t="e">
        <v>#N/A</v>
      </c>
      <c r="B55" s="5">
        <v>3.4360000000000002E-2</v>
      </c>
      <c r="D55">
        <v>3.4360000000000002E-2</v>
      </c>
      <c r="F55" s="7" t="str">
        <f t="shared" si="1"/>
        <v/>
      </c>
      <c r="G55" s="7">
        <f t="shared" si="2"/>
        <v>0</v>
      </c>
      <c r="K55">
        <v>54</v>
      </c>
      <c r="L55">
        <v>3.4279999999999998E-2</v>
      </c>
      <c r="M55">
        <f t="shared" si="3"/>
        <v>3.4360000000000002E-2</v>
      </c>
      <c r="N55">
        <v>3.4250000000000003E-2</v>
      </c>
      <c r="O55" s="9">
        <f t="shared" si="5"/>
        <v>-1.0999999999999899E-4</v>
      </c>
      <c r="P55" s="8">
        <f t="shared" si="4"/>
        <v>8.0000000000003679E-5</v>
      </c>
      <c r="R55" s="10">
        <f t="shared" si="6"/>
        <v>-1.0999999999999899</v>
      </c>
    </row>
    <row r="56" spans="1:18" x14ac:dyDescent="0.35">
      <c r="A56" s="3" t="e">
        <v>#N/A</v>
      </c>
      <c r="B56" s="5">
        <v>3.4340000000000002E-2</v>
      </c>
      <c r="D56">
        <v>3.4340000000000002E-2</v>
      </c>
      <c r="F56" s="7" t="str">
        <f t="shared" si="1"/>
        <v/>
      </c>
      <c r="G56" s="7">
        <f t="shared" si="2"/>
        <v>0</v>
      </c>
      <c r="K56">
        <v>55</v>
      </c>
      <c r="L56">
        <v>3.4259999999999999E-2</v>
      </c>
      <c r="M56">
        <f t="shared" si="3"/>
        <v>3.4340000000000002E-2</v>
      </c>
      <c r="N56">
        <v>3.422E-2</v>
      </c>
      <c r="O56" s="9">
        <f t="shared" si="5"/>
        <v>-1.2000000000000205E-4</v>
      </c>
      <c r="P56" s="8">
        <f t="shared" si="4"/>
        <v>8.0000000000003679E-5</v>
      </c>
      <c r="R56" s="10">
        <f t="shared" si="6"/>
        <v>-1.2000000000000206</v>
      </c>
    </row>
    <row r="57" spans="1:18" x14ac:dyDescent="0.35">
      <c r="A57" s="3" t="e">
        <v>#N/A</v>
      </c>
      <c r="B57" s="5">
        <v>3.431E-2</v>
      </c>
      <c r="D57">
        <v>3.431E-2</v>
      </c>
      <c r="F57" s="7" t="str">
        <f t="shared" si="1"/>
        <v/>
      </c>
      <c r="G57" s="7">
        <f t="shared" si="2"/>
        <v>0</v>
      </c>
      <c r="K57">
        <v>56</v>
      </c>
      <c r="L57">
        <v>3.424E-2</v>
      </c>
      <c r="M57">
        <f t="shared" si="3"/>
        <v>3.431E-2</v>
      </c>
      <c r="N57">
        <v>3.4200000000000001E-2</v>
      </c>
      <c r="O57" s="9">
        <f t="shared" si="5"/>
        <v>-1.0999999999999899E-4</v>
      </c>
      <c r="P57" s="8">
        <f t="shared" si="4"/>
        <v>7.0000000000000617E-5</v>
      </c>
      <c r="R57" s="10">
        <f t="shared" si="6"/>
        <v>-1.0999999999999899</v>
      </c>
    </row>
    <row r="58" spans="1:18" x14ac:dyDescent="0.35">
      <c r="A58" s="3" t="e">
        <v>#N/A</v>
      </c>
      <c r="B58" s="5">
        <v>3.4290000000000001E-2</v>
      </c>
      <c r="D58">
        <v>3.4290000000000001E-2</v>
      </c>
      <c r="F58" s="7" t="str">
        <f t="shared" si="1"/>
        <v/>
      </c>
      <c r="G58" s="7">
        <f t="shared" si="2"/>
        <v>0</v>
      </c>
      <c r="K58">
        <v>57</v>
      </c>
      <c r="L58">
        <v>3.422E-2</v>
      </c>
      <c r="M58">
        <f t="shared" si="3"/>
        <v>3.4290000000000001E-2</v>
      </c>
      <c r="N58">
        <v>3.4180000000000002E-2</v>
      </c>
      <c r="O58" s="9">
        <f t="shared" si="5"/>
        <v>-1.0999999999999899E-4</v>
      </c>
      <c r="P58" s="8">
        <f t="shared" si="4"/>
        <v>7.0000000000000617E-5</v>
      </c>
      <c r="R58" s="10">
        <f t="shared" si="6"/>
        <v>-1.0999999999999899</v>
      </c>
    </row>
    <row r="59" spans="1:18" x14ac:dyDescent="0.35">
      <c r="A59" s="3" t="e">
        <v>#N/A</v>
      </c>
      <c r="B59" s="5">
        <v>3.4270000000000002E-2</v>
      </c>
      <c r="D59">
        <v>3.4270000000000002E-2</v>
      </c>
      <c r="F59" s="7" t="str">
        <f t="shared" si="1"/>
        <v/>
      </c>
      <c r="G59" s="7">
        <f t="shared" si="2"/>
        <v>0</v>
      </c>
      <c r="K59">
        <v>58</v>
      </c>
      <c r="L59">
        <v>3.4200000000000001E-2</v>
      </c>
      <c r="M59">
        <f t="shared" si="3"/>
        <v>3.4270000000000002E-2</v>
      </c>
      <c r="N59">
        <v>3.4160000000000003E-2</v>
      </c>
      <c r="O59" s="9">
        <f t="shared" si="5"/>
        <v>-1.0999999999999899E-4</v>
      </c>
      <c r="P59" s="8">
        <f t="shared" si="4"/>
        <v>7.0000000000000617E-5</v>
      </c>
      <c r="R59" s="10">
        <f t="shared" si="6"/>
        <v>-1.0999999999999899</v>
      </c>
    </row>
    <row r="60" spans="1:18" x14ac:dyDescent="0.35">
      <c r="A60" s="3" t="e">
        <v>#N/A</v>
      </c>
      <c r="B60" s="5">
        <v>3.4250000000000003E-2</v>
      </c>
      <c r="D60">
        <v>3.4250000000000003E-2</v>
      </c>
      <c r="F60" s="7" t="str">
        <f t="shared" si="1"/>
        <v/>
      </c>
      <c r="G60" s="7">
        <f t="shared" si="2"/>
        <v>0</v>
      </c>
      <c r="K60">
        <v>59</v>
      </c>
      <c r="L60">
        <v>3.4180000000000002E-2</v>
      </c>
      <c r="M60">
        <f t="shared" si="3"/>
        <v>3.4250000000000003E-2</v>
      </c>
      <c r="N60">
        <v>3.4139999999999997E-2</v>
      </c>
      <c r="O60" s="9">
        <f t="shared" si="5"/>
        <v>-1.1000000000000593E-4</v>
      </c>
      <c r="P60" s="8">
        <f t="shared" si="4"/>
        <v>7.0000000000000617E-5</v>
      </c>
      <c r="R60" s="10">
        <f t="shared" si="6"/>
        <v>-1.1000000000000592</v>
      </c>
    </row>
    <row r="61" spans="1:18" x14ac:dyDescent="0.35">
      <c r="A61" s="3" t="e">
        <v>#N/A</v>
      </c>
      <c r="B61" s="5">
        <v>3.4229999999999997E-2</v>
      </c>
      <c r="D61">
        <v>3.4229999999999997E-2</v>
      </c>
      <c r="F61" s="7" t="str">
        <f t="shared" si="1"/>
        <v/>
      </c>
      <c r="G61" s="7">
        <f t="shared" si="2"/>
        <v>0</v>
      </c>
      <c r="K61">
        <v>60</v>
      </c>
      <c r="L61">
        <v>3.4169999999999999E-2</v>
      </c>
      <c r="M61">
        <f t="shared" si="3"/>
        <v>3.4229999999999997E-2</v>
      </c>
      <c r="N61">
        <v>3.4119999999999998E-2</v>
      </c>
      <c r="O61" s="9">
        <f t="shared" si="5"/>
        <v>-1.0999999999999899E-4</v>
      </c>
      <c r="P61" s="8">
        <f t="shared" si="4"/>
        <v>5.9999999999997555E-5</v>
      </c>
      <c r="R61" s="10">
        <f t="shared" si="6"/>
        <v>-1.0999999999999899</v>
      </c>
    </row>
    <row r="62" spans="1:18" x14ac:dyDescent="0.35">
      <c r="A62" s="3" t="e">
        <v>#N/A</v>
      </c>
      <c r="B62" s="5">
        <v>3.4209999999999997E-2</v>
      </c>
      <c r="D62">
        <v>3.4209999999999997E-2</v>
      </c>
      <c r="F62" s="7" t="str">
        <f t="shared" si="1"/>
        <v/>
      </c>
      <c r="G62" s="7">
        <f t="shared" si="2"/>
        <v>0</v>
      </c>
      <c r="K62">
        <v>61</v>
      </c>
      <c r="L62">
        <v>3.415E-2</v>
      </c>
      <c r="M62">
        <f t="shared" si="3"/>
        <v>3.4209999999999997E-2</v>
      </c>
      <c r="N62">
        <v>3.4099999999999998E-2</v>
      </c>
      <c r="O62" s="9">
        <f t="shared" si="5"/>
        <v>-1.0999999999999899E-4</v>
      </c>
      <c r="P62" s="8">
        <f t="shared" si="4"/>
        <v>5.9999999999997555E-5</v>
      </c>
      <c r="R62" s="10">
        <f t="shared" si="6"/>
        <v>-1.0999999999999899</v>
      </c>
    </row>
    <row r="63" spans="1:18" x14ac:dyDescent="0.35">
      <c r="A63" s="3" t="e">
        <v>#N/A</v>
      </c>
      <c r="B63" s="5">
        <v>3.4189999999999998E-2</v>
      </c>
      <c r="D63">
        <v>3.4189999999999998E-2</v>
      </c>
      <c r="F63" s="7" t="str">
        <f t="shared" si="1"/>
        <v/>
      </c>
      <c r="G63" s="7">
        <f t="shared" si="2"/>
        <v>0</v>
      </c>
      <c r="K63">
        <v>62</v>
      </c>
      <c r="L63">
        <v>3.4130000000000001E-2</v>
      </c>
      <c r="M63">
        <f t="shared" si="3"/>
        <v>3.4189999999999998E-2</v>
      </c>
      <c r="N63">
        <v>3.4090000000000002E-2</v>
      </c>
      <c r="O63" s="9">
        <f t="shared" si="5"/>
        <v>-9.9999999999995925E-5</v>
      </c>
      <c r="P63" s="8">
        <f t="shared" si="4"/>
        <v>5.9999999999997555E-5</v>
      </c>
      <c r="R63" s="10">
        <f t="shared" si="6"/>
        <v>-0.99999999999995925</v>
      </c>
    </row>
    <row r="64" spans="1:18" x14ac:dyDescent="0.35">
      <c r="A64" s="3" t="e">
        <v>#N/A</v>
      </c>
      <c r="B64" s="5">
        <v>3.4169999999999999E-2</v>
      </c>
      <c r="D64">
        <v>3.4169999999999999E-2</v>
      </c>
      <c r="F64" s="7" t="str">
        <f t="shared" si="1"/>
        <v/>
      </c>
      <c r="G64" s="7">
        <f t="shared" si="2"/>
        <v>0</v>
      </c>
      <c r="K64">
        <v>63</v>
      </c>
      <c r="L64">
        <v>3.4110000000000001E-2</v>
      </c>
      <c r="M64">
        <f t="shared" si="3"/>
        <v>3.4169999999999999E-2</v>
      </c>
      <c r="N64">
        <v>3.4070000000000003E-2</v>
      </c>
      <c r="O64" s="9">
        <f t="shared" si="5"/>
        <v>-9.9999999999995925E-5</v>
      </c>
      <c r="P64" s="8">
        <f t="shared" si="4"/>
        <v>5.9999999999997555E-5</v>
      </c>
      <c r="R64" s="10">
        <f t="shared" si="6"/>
        <v>-0.99999999999995925</v>
      </c>
    </row>
    <row r="65" spans="1:18" x14ac:dyDescent="0.35">
      <c r="A65" s="3" t="e">
        <v>#N/A</v>
      </c>
      <c r="B65" s="5">
        <v>3.415E-2</v>
      </c>
      <c r="D65">
        <v>3.415E-2</v>
      </c>
      <c r="F65" s="7" t="str">
        <f t="shared" si="1"/>
        <v/>
      </c>
      <c r="G65" s="7">
        <f t="shared" si="2"/>
        <v>0</v>
      </c>
      <c r="K65">
        <v>64</v>
      </c>
      <c r="L65">
        <v>3.4099999999999998E-2</v>
      </c>
      <c r="M65">
        <f t="shared" si="3"/>
        <v>3.415E-2</v>
      </c>
      <c r="N65">
        <v>3.4049999999999997E-2</v>
      </c>
      <c r="O65" s="9">
        <f t="shared" si="5"/>
        <v>-1.0000000000000286E-4</v>
      </c>
      <c r="P65" s="8">
        <f t="shared" si="4"/>
        <v>5.0000000000001432E-5</v>
      </c>
      <c r="R65" s="10">
        <f t="shared" si="6"/>
        <v>-1.0000000000000286</v>
      </c>
    </row>
    <row r="66" spans="1:18" x14ac:dyDescent="0.35">
      <c r="A66" s="3" t="e">
        <v>#N/A</v>
      </c>
      <c r="B66" s="5">
        <v>3.4130000000000001E-2</v>
      </c>
      <c r="D66">
        <v>3.4130000000000001E-2</v>
      </c>
      <c r="F66" s="7" t="str">
        <f t="shared" si="1"/>
        <v/>
      </c>
      <c r="G66" s="7">
        <f t="shared" si="2"/>
        <v>0</v>
      </c>
      <c r="K66">
        <v>65</v>
      </c>
      <c r="L66">
        <v>3.4079999999999999E-2</v>
      </c>
      <c r="M66">
        <f t="shared" si="3"/>
        <v>3.4130000000000001E-2</v>
      </c>
      <c r="N66">
        <v>3.4040000000000001E-2</v>
      </c>
      <c r="O66" s="9">
        <f t="shared" si="5"/>
        <v>-8.9999999999999802E-5</v>
      </c>
      <c r="P66" s="8">
        <f t="shared" si="4"/>
        <v>5.0000000000001432E-5</v>
      </c>
      <c r="R66" s="10">
        <f t="shared" si="6"/>
        <v>-0.89999999999999802</v>
      </c>
    </row>
    <row r="67" spans="1:18" x14ac:dyDescent="0.35">
      <c r="A67" s="3" t="e">
        <v>#N/A</v>
      </c>
      <c r="B67" s="5">
        <v>3.4119999999999998E-2</v>
      </c>
      <c r="D67">
        <v>3.4119999999999998E-2</v>
      </c>
      <c r="F67" s="7" t="str">
        <f t="shared" ref="F67:F130" si="7">IF(C67&lt;&gt;"",A67-C67,"")</f>
        <v/>
      </c>
      <c r="G67" s="7">
        <f t="shared" ref="G67:G130" si="8">B67-D67</f>
        <v>0</v>
      </c>
      <c r="K67">
        <v>66</v>
      </c>
      <c r="L67">
        <v>3.4070000000000003E-2</v>
      </c>
      <c r="M67">
        <f t="shared" ref="M67:M130" si="9">D67</f>
        <v>3.4119999999999998E-2</v>
      </c>
      <c r="N67">
        <v>3.4020000000000002E-2</v>
      </c>
      <c r="O67" s="9">
        <f t="shared" si="5"/>
        <v>-9.9999999999995925E-5</v>
      </c>
      <c r="P67" s="8">
        <f t="shared" ref="P67:P130" si="10">MAX(ABS(L67-M67))</f>
        <v>4.9999999999994493E-5</v>
      </c>
      <c r="R67" s="10">
        <f t="shared" si="6"/>
        <v>-0.99999999999995925</v>
      </c>
    </row>
    <row r="68" spans="1:18" x14ac:dyDescent="0.35">
      <c r="A68" s="3" t="e">
        <v>#N/A</v>
      </c>
      <c r="B68" s="5">
        <v>3.4099999999999998E-2</v>
      </c>
      <c r="D68">
        <v>3.4099999999999998E-2</v>
      </c>
      <c r="F68" s="7" t="str">
        <f t="shared" si="7"/>
        <v/>
      </c>
      <c r="G68" s="7">
        <f t="shared" si="8"/>
        <v>0</v>
      </c>
      <c r="K68">
        <v>67</v>
      </c>
      <c r="L68">
        <v>3.4049999999999997E-2</v>
      </c>
      <c r="M68">
        <f t="shared" si="9"/>
        <v>3.4099999999999998E-2</v>
      </c>
      <c r="N68">
        <v>3.4000000000000002E-2</v>
      </c>
      <c r="O68" s="9">
        <f t="shared" si="5"/>
        <v>-9.9999999999995925E-5</v>
      </c>
      <c r="P68" s="8">
        <f t="shared" si="10"/>
        <v>5.0000000000001432E-5</v>
      </c>
      <c r="R68" s="10">
        <f t="shared" si="6"/>
        <v>-0.99999999999995925</v>
      </c>
    </row>
    <row r="69" spans="1:18" x14ac:dyDescent="0.35">
      <c r="A69" s="3" t="e">
        <v>#N/A</v>
      </c>
      <c r="B69" s="5">
        <v>3.4079999999999999E-2</v>
      </c>
      <c r="D69">
        <v>3.4079999999999999E-2</v>
      </c>
      <c r="F69" s="7" t="str">
        <f t="shared" si="7"/>
        <v/>
      </c>
      <c r="G69" s="7">
        <f t="shared" si="8"/>
        <v>0</v>
      </c>
      <c r="K69">
        <v>68</v>
      </c>
      <c r="L69">
        <v>3.4040000000000001E-2</v>
      </c>
      <c r="M69">
        <f t="shared" si="9"/>
        <v>3.4079999999999999E-2</v>
      </c>
      <c r="N69">
        <v>3.3989999999999999E-2</v>
      </c>
      <c r="O69" s="9">
        <f t="shared" si="5"/>
        <v>-8.9999999999999802E-5</v>
      </c>
      <c r="P69" s="8">
        <f t="shared" si="10"/>
        <v>3.999999999999837E-5</v>
      </c>
      <c r="R69" s="10">
        <f t="shared" si="6"/>
        <v>-0.89999999999999802</v>
      </c>
    </row>
    <row r="70" spans="1:18" x14ac:dyDescent="0.35">
      <c r="A70" s="3" t="e">
        <v>#N/A</v>
      </c>
      <c r="B70" s="5">
        <v>3.4070000000000003E-2</v>
      </c>
      <c r="D70">
        <v>3.4070000000000003E-2</v>
      </c>
      <c r="F70" s="7" t="str">
        <f t="shared" si="7"/>
        <v/>
      </c>
      <c r="G70" s="7">
        <f t="shared" si="8"/>
        <v>0</v>
      </c>
      <c r="K70">
        <v>69</v>
      </c>
      <c r="L70">
        <v>3.4020000000000002E-2</v>
      </c>
      <c r="M70">
        <f t="shared" si="9"/>
        <v>3.4070000000000003E-2</v>
      </c>
      <c r="N70">
        <v>3.3980000000000003E-2</v>
      </c>
      <c r="O70" s="9">
        <f t="shared" si="5"/>
        <v>-8.9999999999999802E-5</v>
      </c>
      <c r="P70" s="8">
        <f t="shared" si="10"/>
        <v>5.0000000000001432E-5</v>
      </c>
      <c r="R70" s="10">
        <f t="shared" si="6"/>
        <v>-0.89999999999999802</v>
      </c>
    </row>
    <row r="71" spans="1:18" x14ac:dyDescent="0.35">
      <c r="A71" s="3" t="e">
        <v>#N/A</v>
      </c>
      <c r="B71" s="5">
        <v>3.4049999999999997E-2</v>
      </c>
      <c r="D71">
        <v>3.4049999999999997E-2</v>
      </c>
      <c r="F71" s="7" t="str">
        <f t="shared" si="7"/>
        <v/>
      </c>
      <c r="G71" s="7">
        <f t="shared" si="8"/>
        <v>0</v>
      </c>
      <c r="K71">
        <v>70</v>
      </c>
      <c r="L71">
        <v>3.4009999999999999E-2</v>
      </c>
      <c r="M71">
        <f t="shared" si="9"/>
        <v>3.4049999999999997E-2</v>
      </c>
      <c r="N71">
        <v>3.3959999999999997E-2</v>
      </c>
      <c r="O71" s="9">
        <f t="shared" si="5"/>
        <v>-8.9999999999999802E-5</v>
      </c>
      <c r="P71" s="8">
        <f t="shared" si="10"/>
        <v>3.999999999999837E-5</v>
      </c>
      <c r="R71" s="10">
        <f t="shared" si="6"/>
        <v>-0.89999999999999802</v>
      </c>
    </row>
    <row r="72" spans="1:18" x14ac:dyDescent="0.35">
      <c r="A72" s="3" t="e">
        <v>#N/A</v>
      </c>
      <c r="B72" s="5">
        <v>3.4040000000000001E-2</v>
      </c>
      <c r="D72">
        <v>3.4040000000000001E-2</v>
      </c>
      <c r="F72" s="7" t="str">
        <f t="shared" si="7"/>
        <v/>
      </c>
      <c r="G72" s="7">
        <f t="shared" si="8"/>
        <v>0</v>
      </c>
      <c r="K72">
        <v>71</v>
      </c>
      <c r="L72">
        <v>3.4000000000000002E-2</v>
      </c>
      <c r="M72">
        <f t="shared" si="9"/>
        <v>3.4040000000000001E-2</v>
      </c>
      <c r="N72">
        <v>3.3950000000000001E-2</v>
      </c>
      <c r="O72" s="9">
        <f t="shared" si="5"/>
        <v>-8.9999999999999802E-5</v>
      </c>
      <c r="P72" s="8">
        <f t="shared" si="10"/>
        <v>3.999999999999837E-5</v>
      </c>
      <c r="R72" s="10">
        <f t="shared" si="6"/>
        <v>-0.89999999999999802</v>
      </c>
    </row>
    <row r="73" spans="1:18" x14ac:dyDescent="0.35">
      <c r="A73" s="3" t="e">
        <v>#N/A</v>
      </c>
      <c r="B73" s="5">
        <v>3.4020000000000002E-2</v>
      </c>
      <c r="D73">
        <v>3.4020000000000002E-2</v>
      </c>
      <c r="F73" s="7" t="str">
        <f t="shared" si="7"/>
        <v/>
      </c>
      <c r="G73" s="7">
        <f t="shared" si="8"/>
        <v>0</v>
      </c>
      <c r="K73">
        <v>72</v>
      </c>
      <c r="L73">
        <v>3.3980000000000003E-2</v>
      </c>
      <c r="M73">
        <f t="shared" si="9"/>
        <v>3.4020000000000002E-2</v>
      </c>
      <c r="N73">
        <v>3.3930000000000002E-2</v>
      </c>
      <c r="O73" s="9">
        <f t="shared" si="5"/>
        <v>-8.9999999999999802E-5</v>
      </c>
      <c r="P73" s="8">
        <f t="shared" si="10"/>
        <v>3.999999999999837E-5</v>
      </c>
      <c r="R73" s="10">
        <f t="shared" si="6"/>
        <v>-0.89999999999999802</v>
      </c>
    </row>
    <row r="74" spans="1:18" x14ac:dyDescent="0.35">
      <c r="A74" s="3" t="e">
        <v>#N/A</v>
      </c>
      <c r="B74" s="5">
        <v>3.4009999999999999E-2</v>
      </c>
      <c r="D74">
        <v>3.4009999999999999E-2</v>
      </c>
      <c r="F74" s="7" t="str">
        <f t="shared" si="7"/>
        <v/>
      </c>
      <c r="G74" s="7">
        <f t="shared" si="8"/>
        <v>0</v>
      </c>
      <c r="K74">
        <v>73</v>
      </c>
      <c r="L74">
        <v>3.397E-2</v>
      </c>
      <c r="M74">
        <f t="shared" si="9"/>
        <v>3.4009999999999999E-2</v>
      </c>
      <c r="N74">
        <v>3.3919999999999999E-2</v>
      </c>
      <c r="O74" s="9">
        <f t="shared" si="5"/>
        <v>-8.9999999999999802E-5</v>
      </c>
      <c r="P74" s="8">
        <f t="shared" si="10"/>
        <v>3.999999999999837E-5</v>
      </c>
      <c r="R74" s="10">
        <f t="shared" si="6"/>
        <v>-0.89999999999999802</v>
      </c>
    </row>
    <row r="75" spans="1:18" x14ac:dyDescent="0.35">
      <c r="A75" s="3" t="e">
        <v>#N/A</v>
      </c>
      <c r="B75" s="5">
        <v>3.4000000000000002E-2</v>
      </c>
      <c r="D75">
        <v>3.4000000000000002E-2</v>
      </c>
      <c r="F75" s="7" t="str">
        <f t="shared" si="7"/>
        <v/>
      </c>
      <c r="G75" s="7">
        <f t="shared" si="8"/>
        <v>0</v>
      </c>
      <c r="K75">
        <v>74</v>
      </c>
      <c r="L75">
        <v>3.3959999999999997E-2</v>
      </c>
      <c r="M75">
        <f t="shared" si="9"/>
        <v>3.4000000000000002E-2</v>
      </c>
      <c r="N75">
        <v>3.3910000000000003E-2</v>
      </c>
      <c r="O75" s="9">
        <f t="shared" si="5"/>
        <v>-8.9999999999999802E-5</v>
      </c>
      <c r="P75" s="8">
        <f t="shared" si="10"/>
        <v>4.0000000000005309E-5</v>
      </c>
      <c r="R75" s="10">
        <f t="shared" si="6"/>
        <v>-0.89999999999999802</v>
      </c>
    </row>
    <row r="76" spans="1:18" x14ac:dyDescent="0.35">
      <c r="A76" s="3" t="e">
        <v>#N/A</v>
      </c>
      <c r="B76" s="5">
        <v>3.3980000000000003E-2</v>
      </c>
      <c r="D76">
        <v>3.3980000000000003E-2</v>
      </c>
      <c r="F76" s="7" t="str">
        <f t="shared" si="7"/>
        <v/>
      </c>
      <c r="G76" s="7">
        <f t="shared" si="8"/>
        <v>0</v>
      </c>
      <c r="K76">
        <v>75</v>
      </c>
      <c r="L76">
        <v>3.3939999999999998E-2</v>
      </c>
      <c r="M76">
        <f t="shared" si="9"/>
        <v>3.3980000000000003E-2</v>
      </c>
      <c r="N76">
        <v>3.39E-2</v>
      </c>
      <c r="O76" s="9">
        <f t="shared" si="5"/>
        <v>-8.0000000000003679E-5</v>
      </c>
      <c r="P76" s="8">
        <f t="shared" si="10"/>
        <v>4.0000000000005309E-5</v>
      </c>
      <c r="R76" s="10">
        <f t="shared" si="6"/>
        <v>-0.80000000000003679</v>
      </c>
    </row>
    <row r="77" spans="1:18" x14ac:dyDescent="0.35">
      <c r="A77" s="3" t="e">
        <v>#N/A</v>
      </c>
      <c r="B77" s="5">
        <v>3.397E-2</v>
      </c>
      <c r="D77">
        <v>3.397E-2</v>
      </c>
      <c r="F77" s="7" t="str">
        <f t="shared" si="7"/>
        <v/>
      </c>
      <c r="G77" s="7">
        <f t="shared" si="8"/>
        <v>0</v>
      </c>
      <c r="K77">
        <v>76</v>
      </c>
      <c r="L77">
        <v>3.3930000000000002E-2</v>
      </c>
      <c r="M77">
        <f t="shared" si="9"/>
        <v>3.397E-2</v>
      </c>
      <c r="N77">
        <v>3.3890000000000003E-2</v>
      </c>
      <c r="O77" s="9">
        <f t="shared" si="5"/>
        <v>-7.999999999999674E-5</v>
      </c>
      <c r="P77" s="8">
        <f t="shared" si="10"/>
        <v>3.999999999999837E-5</v>
      </c>
      <c r="R77" s="10">
        <f t="shared" si="6"/>
        <v>-0.7999999999999674</v>
      </c>
    </row>
    <row r="78" spans="1:18" x14ac:dyDescent="0.35">
      <c r="A78" s="3" t="e">
        <v>#N/A</v>
      </c>
      <c r="B78" s="5">
        <v>3.3959999999999997E-2</v>
      </c>
      <c r="D78">
        <v>3.3959999999999997E-2</v>
      </c>
      <c r="F78" s="7" t="str">
        <f t="shared" si="7"/>
        <v/>
      </c>
      <c r="G78" s="7">
        <f t="shared" si="8"/>
        <v>0</v>
      </c>
      <c r="K78">
        <v>77</v>
      </c>
      <c r="L78">
        <v>3.3919999999999999E-2</v>
      </c>
      <c r="M78">
        <f t="shared" si="9"/>
        <v>3.3959999999999997E-2</v>
      </c>
      <c r="N78">
        <v>3.3869999999999997E-2</v>
      </c>
      <c r="O78" s="9">
        <f t="shared" si="5"/>
        <v>-8.9999999999999802E-5</v>
      </c>
      <c r="P78" s="8">
        <f t="shared" si="10"/>
        <v>3.999999999999837E-5</v>
      </c>
      <c r="R78" s="10">
        <f t="shared" si="6"/>
        <v>-0.89999999999999802</v>
      </c>
    </row>
    <row r="79" spans="1:18" x14ac:dyDescent="0.35">
      <c r="A79" s="3" t="e">
        <v>#N/A</v>
      </c>
      <c r="B79" s="5">
        <v>3.3950000000000001E-2</v>
      </c>
      <c r="D79">
        <v>3.3950000000000001E-2</v>
      </c>
      <c r="F79" s="7" t="str">
        <f t="shared" si="7"/>
        <v/>
      </c>
      <c r="G79" s="7">
        <f t="shared" si="8"/>
        <v>0</v>
      </c>
      <c r="K79">
        <v>78</v>
      </c>
      <c r="L79">
        <v>3.3910000000000003E-2</v>
      </c>
      <c r="M79">
        <f t="shared" si="9"/>
        <v>3.3950000000000001E-2</v>
      </c>
      <c r="N79">
        <v>3.3860000000000001E-2</v>
      </c>
      <c r="O79" s="9">
        <f t="shared" si="5"/>
        <v>-8.9999999999999802E-5</v>
      </c>
      <c r="P79" s="8">
        <f t="shared" si="10"/>
        <v>3.999999999999837E-5</v>
      </c>
      <c r="R79" s="10">
        <f t="shared" si="6"/>
        <v>-0.89999999999999802</v>
      </c>
    </row>
    <row r="80" spans="1:18" x14ac:dyDescent="0.35">
      <c r="A80" s="3" t="e">
        <v>#N/A</v>
      </c>
      <c r="B80" s="5">
        <v>3.3930000000000002E-2</v>
      </c>
      <c r="D80">
        <v>3.3930000000000002E-2</v>
      </c>
      <c r="F80" s="7" t="str">
        <f t="shared" si="7"/>
        <v/>
      </c>
      <c r="G80" s="7">
        <f t="shared" si="8"/>
        <v>0</v>
      </c>
      <c r="K80">
        <v>79</v>
      </c>
      <c r="L80">
        <v>3.39E-2</v>
      </c>
      <c r="M80">
        <f t="shared" si="9"/>
        <v>3.3930000000000002E-2</v>
      </c>
      <c r="N80">
        <v>3.3849999999999998E-2</v>
      </c>
      <c r="O80" s="9">
        <f t="shared" si="5"/>
        <v>-8.0000000000003679E-5</v>
      </c>
      <c r="P80" s="8">
        <f t="shared" si="10"/>
        <v>3.0000000000002247E-5</v>
      </c>
      <c r="R80" s="10">
        <f t="shared" si="6"/>
        <v>-0.80000000000003679</v>
      </c>
    </row>
    <row r="81" spans="1:18" x14ac:dyDescent="0.35">
      <c r="A81" s="3" t="e">
        <v>#N/A</v>
      </c>
      <c r="B81" s="5">
        <v>3.3919999999999999E-2</v>
      </c>
      <c r="D81">
        <v>3.3919999999999999E-2</v>
      </c>
      <c r="F81" s="7" t="str">
        <f t="shared" si="7"/>
        <v/>
      </c>
      <c r="G81" s="7">
        <f t="shared" si="8"/>
        <v>0</v>
      </c>
      <c r="K81">
        <v>80</v>
      </c>
      <c r="L81">
        <v>3.3890000000000003E-2</v>
      </c>
      <c r="M81">
        <f t="shared" si="9"/>
        <v>3.3919999999999999E-2</v>
      </c>
      <c r="N81">
        <v>3.3840000000000002E-2</v>
      </c>
      <c r="O81" s="9">
        <f t="shared" si="5"/>
        <v>-7.999999999999674E-5</v>
      </c>
      <c r="P81" s="8">
        <f t="shared" si="10"/>
        <v>2.9999999999995308E-5</v>
      </c>
      <c r="R81" s="10">
        <f t="shared" si="6"/>
        <v>-0.7999999999999674</v>
      </c>
    </row>
    <row r="82" spans="1:18" x14ac:dyDescent="0.35">
      <c r="A82" s="3" t="e">
        <v>#N/A</v>
      </c>
      <c r="B82" s="5">
        <v>3.3910000000000003E-2</v>
      </c>
      <c r="D82">
        <v>3.3910000000000003E-2</v>
      </c>
      <c r="F82" s="7" t="str">
        <f t="shared" si="7"/>
        <v/>
      </c>
      <c r="G82" s="7">
        <f t="shared" si="8"/>
        <v>0</v>
      </c>
      <c r="K82">
        <v>81</v>
      </c>
      <c r="L82">
        <v>3.388E-2</v>
      </c>
      <c r="M82">
        <f t="shared" si="9"/>
        <v>3.3910000000000003E-2</v>
      </c>
      <c r="N82">
        <v>3.3829999999999999E-2</v>
      </c>
      <c r="O82" s="9">
        <f t="shared" si="5"/>
        <v>-8.0000000000003679E-5</v>
      </c>
      <c r="P82" s="8">
        <f t="shared" si="10"/>
        <v>3.0000000000002247E-5</v>
      </c>
      <c r="R82" s="10">
        <f t="shared" si="6"/>
        <v>-0.80000000000003679</v>
      </c>
    </row>
    <row r="83" spans="1:18" x14ac:dyDescent="0.35">
      <c r="A83" s="3" t="e">
        <v>#N/A</v>
      </c>
      <c r="B83" s="5">
        <v>3.39E-2</v>
      </c>
      <c r="D83">
        <v>3.39E-2</v>
      </c>
      <c r="F83" s="7" t="str">
        <f t="shared" si="7"/>
        <v/>
      </c>
      <c r="G83" s="7">
        <f t="shared" si="8"/>
        <v>0</v>
      </c>
      <c r="K83">
        <v>82</v>
      </c>
      <c r="L83">
        <v>3.3869999999999997E-2</v>
      </c>
      <c r="M83">
        <f t="shared" si="9"/>
        <v>3.39E-2</v>
      </c>
      <c r="N83">
        <v>3.3820000000000003E-2</v>
      </c>
      <c r="O83" s="9">
        <f t="shared" si="5"/>
        <v>-7.999999999999674E-5</v>
      </c>
      <c r="P83" s="8">
        <f t="shared" si="10"/>
        <v>3.0000000000002247E-5</v>
      </c>
      <c r="R83" s="10">
        <f t="shared" si="6"/>
        <v>-0.7999999999999674</v>
      </c>
    </row>
    <row r="84" spans="1:18" x14ac:dyDescent="0.35">
      <c r="A84" s="3" t="e">
        <v>#N/A</v>
      </c>
      <c r="B84" s="5">
        <v>3.3890000000000003E-2</v>
      </c>
      <c r="D84">
        <v>3.3890000000000003E-2</v>
      </c>
      <c r="F84" s="7" t="str">
        <f t="shared" si="7"/>
        <v/>
      </c>
      <c r="G84" s="7">
        <f t="shared" si="8"/>
        <v>0</v>
      </c>
      <c r="K84">
        <v>83</v>
      </c>
      <c r="L84">
        <v>3.3860000000000001E-2</v>
      </c>
      <c r="M84">
        <f t="shared" si="9"/>
        <v>3.3890000000000003E-2</v>
      </c>
      <c r="N84">
        <v>3.381E-2</v>
      </c>
      <c r="O84" s="9">
        <f t="shared" si="5"/>
        <v>-8.0000000000003679E-5</v>
      </c>
      <c r="P84" s="8">
        <f t="shared" si="10"/>
        <v>3.0000000000002247E-5</v>
      </c>
      <c r="R84" s="10">
        <f t="shared" si="6"/>
        <v>-0.80000000000003679</v>
      </c>
    </row>
    <row r="85" spans="1:18" x14ac:dyDescent="0.35">
      <c r="A85" s="3" t="e">
        <v>#N/A</v>
      </c>
      <c r="B85" s="5">
        <v>3.388E-2</v>
      </c>
      <c r="D85">
        <v>3.388E-2</v>
      </c>
      <c r="F85" s="7" t="str">
        <f t="shared" si="7"/>
        <v/>
      </c>
      <c r="G85" s="7">
        <f t="shared" si="8"/>
        <v>0</v>
      </c>
      <c r="K85">
        <v>84</v>
      </c>
      <c r="L85">
        <v>3.3849999999999998E-2</v>
      </c>
      <c r="M85">
        <f t="shared" si="9"/>
        <v>3.388E-2</v>
      </c>
      <c r="N85">
        <v>3.3799999999999997E-2</v>
      </c>
      <c r="O85" s="9">
        <f t="shared" si="5"/>
        <v>-8.0000000000003679E-5</v>
      </c>
      <c r="P85" s="8">
        <f t="shared" si="10"/>
        <v>3.0000000000002247E-5</v>
      </c>
      <c r="R85" s="10">
        <f t="shared" si="6"/>
        <v>-0.80000000000003679</v>
      </c>
    </row>
    <row r="86" spans="1:18" x14ac:dyDescent="0.35">
      <c r="A86" s="3" t="e">
        <v>#N/A</v>
      </c>
      <c r="B86" s="5">
        <v>3.3869999999999997E-2</v>
      </c>
      <c r="D86">
        <v>3.3869999999999997E-2</v>
      </c>
      <c r="F86" s="7" t="str">
        <f t="shared" si="7"/>
        <v/>
      </c>
      <c r="G86" s="7">
        <f t="shared" si="8"/>
        <v>0</v>
      </c>
      <c r="K86">
        <v>85</v>
      </c>
      <c r="L86">
        <v>3.3840000000000002E-2</v>
      </c>
      <c r="M86">
        <f t="shared" si="9"/>
        <v>3.3869999999999997E-2</v>
      </c>
      <c r="N86">
        <v>3.3790000000000001E-2</v>
      </c>
      <c r="O86" s="9">
        <f t="shared" si="5"/>
        <v>-7.999999999999674E-5</v>
      </c>
      <c r="P86" s="8">
        <f t="shared" si="10"/>
        <v>2.9999999999995308E-5</v>
      </c>
      <c r="R86" s="10">
        <f t="shared" si="6"/>
        <v>-0.7999999999999674</v>
      </c>
    </row>
    <row r="87" spans="1:18" x14ac:dyDescent="0.35">
      <c r="A87" s="3" t="e">
        <v>#N/A</v>
      </c>
      <c r="B87" s="5">
        <v>3.3860000000000001E-2</v>
      </c>
      <c r="D87">
        <v>3.3860000000000001E-2</v>
      </c>
      <c r="F87" s="7" t="str">
        <f t="shared" si="7"/>
        <v/>
      </c>
      <c r="G87" s="7">
        <f t="shared" si="8"/>
        <v>0</v>
      </c>
      <c r="K87">
        <v>86</v>
      </c>
      <c r="L87">
        <v>3.3829999999999999E-2</v>
      </c>
      <c r="M87">
        <f t="shared" si="9"/>
        <v>3.3860000000000001E-2</v>
      </c>
      <c r="N87">
        <v>3.3779999999999998E-2</v>
      </c>
      <c r="O87" s="9">
        <f t="shared" si="5"/>
        <v>-8.0000000000003679E-5</v>
      </c>
      <c r="P87" s="8">
        <f t="shared" si="10"/>
        <v>3.0000000000002247E-5</v>
      </c>
      <c r="R87" s="10">
        <f t="shared" si="6"/>
        <v>-0.80000000000003679</v>
      </c>
    </row>
    <row r="88" spans="1:18" x14ac:dyDescent="0.35">
      <c r="A88" s="3" t="e">
        <v>#N/A</v>
      </c>
      <c r="B88" s="5">
        <v>3.3849999999999998E-2</v>
      </c>
      <c r="D88">
        <v>3.3849999999999998E-2</v>
      </c>
      <c r="F88" s="7" t="str">
        <f t="shared" si="7"/>
        <v/>
      </c>
      <c r="G88" s="7">
        <f t="shared" si="8"/>
        <v>0</v>
      </c>
      <c r="K88">
        <v>87</v>
      </c>
      <c r="L88">
        <v>3.3820000000000003E-2</v>
      </c>
      <c r="M88">
        <f t="shared" si="9"/>
        <v>3.3849999999999998E-2</v>
      </c>
      <c r="N88">
        <v>3.3770000000000001E-2</v>
      </c>
      <c r="O88" s="9">
        <f t="shared" ref="O88:O151" si="11">N88-M88</f>
        <v>-7.999999999999674E-5</v>
      </c>
      <c r="P88" s="8">
        <f t="shared" si="10"/>
        <v>2.9999999999995308E-5</v>
      </c>
      <c r="R88" s="10">
        <f t="shared" ref="R88:R151" si="12">O88*10000</f>
        <v>-0.7999999999999674</v>
      </c>
    </row>
    <row r="89" spans="1:18" x14ac:dyDescent="0.35">
      <c r="A89" s="3" t="e">
        <v>#N/A</v>
      </c>
      <c r="B89" s="5">
        <v>3.3840000000000002E-2</v>
      </c>
      <c r="D89">
        <v>3.3840000000000002E-2</v>
      </c>
      <c r="F89" s="7" t="str">
        <f t="shared" si="7"/>
        <v/>
      </c>
      <c r="G89" s="7">
        <f t="shared" si="8"/>
        <v>0</v>
      </c>
      <c r="K89">
        <v>88</v>
      </c>
      <c r="L89">
        <v>3.381E-2</v>
      </c>
      <c r="M89">
        <f t="shared" si="9"/>
        <v>3.3840000000000002E-2</v>
      </c>
      <c r="N89">
        <v>3.3759999999999998E-2</v>
      </c>
      <c r="O89" s="9">
        <f t="shared" si="11"/>
        <v>-8.0000000000003679E-5</v>
      </c>
      <c r="P89" s="8">
        <f t="shared" si="10"/>
        <v>3.0000000000002247E-5</v>
      </c>
      <c r="R89" s="10">
        <f t="shared" si="12"/>
        <v>-0.80000000000003679</v>
      </c>
    </row>
    <row r="90" spans="1:18" x14ac:dyDescent="0.35">
      <c r="A90" s="3" t="e">
        <v>#N/A</v>
      </c>
      <c r="B90" s="5">
        <v>3.3829999999999999E-2</v>
      </c>
      <c r="D90">
        <v>3.3829999999999999E-2</v>
      </c>
      <c r="F90" s="7" t="str">
        <f t="shared" si="7"/>
        <v/>
      </c>
      <c r="G90" s="7">
        <f t="shared" si="8"/>
        <v>0</v>
      </c>
      <c r="K90">
        <v>89</v>
      </c>
      <c r="L90">
        <v>3.3799999999999997E-2</v>
      </c>
      <c r="M90">
        <f t="shared" si="9"/>
        <v>3.3829999999999999E-2</v>
      </c>
      <c r="N90">
        <v>3.3759999999999998E-2</v>
      </c>
      <c r="O90" s="9">
        <f t="shared" si="11"/>
        <v>-7.0000000000000617E-5</v>
      </c>
      <c r="P90" s="8">
        <f t="shared" si="10"/>
        <v>3.0000000000002247E-5</v>
      </c>
      <c r="R90" s="10">
        <f t="shared" si="12"/>
        <v>-0.70000000000000617</v>
      </c>
    </row>
    <row r="91" spans="1:18" x14ac:dyDescent="0.35">
      <c r="A91" s="3" t="e">
        <v>#N/A</v>
      </c>
      <c r="B91" s="5">
        <v>3.3820000000000003E-2</v>
      </c>
      <c r="D91">
        <v>3.3820000000000003E-2</v>
      </c>
      <c r="F91" s="7" t="str">
        <f t="shared" si="7"/>
        <v/>
      </c>
      <c r="G91" s="7">
        <f t="shared" si="8"/>
        <v>0</v>
      </c>
      <c r="K91">
        <v>90</v>
      </c>
      <c r="L91">
        <v>3.3790000000000001E-2</v>
      </c>
      <c r="M91">
        <f t="shared" si="9"/>
        <v>3.3820000000000003E-2</v>
      </c>
      <c r="N91">
        <v>3.3750000000000002E-2</v>
      </c>
      <c r="O91" s="9">
        <f t="shared" si="11"/>
        <v>-7.0000000000000617E-5</v>
      </c>
      <c r="P91" s="8">
        <f t="shared" si="10"/>
        <v>3.0000000000002247E-5</v>
      </c>
      <c r="R91" s="10">
        <f t="shared" si="12"/>
        <v>-0.70000000000000617</v>
      </c>
    </row>
    <row r="92" spans="1:18" x14ac:dyDescent="0.35">
      <c r="A92" s="3" t="e">
        <v>#N/A</v>
      </c>
      <c r="B92" s="5">
        <v>3.381E-2</v>
      </c>
      <c r="D92">
        <v>3.381E-2</v>
      </c>
      <c r="F92" s="7" t="str">
        <f t="shared" si="7"/>
        <v/>
      </c>
      <c r="G92" s="7">
        <f t="shared" si="8"/>
        <v>0</v>
      </c>
      <c r="K92">
        <v>91</v>
      </c>
      <c r="L92">
        <v>3.3779999999999998E-2</v>
      </c>
      <c r="M92">
        <f t="shared" si="9"/>
        <v>3.381E-2</v>
      </c>
      <c r="N92">
        <v>3.3739999999999999E-2</v>
      </c>
      <c r="O92" s="9">
        <f t="shared" si="11"/>
        <v>-7.0000000000000617E-5</v>
      </c>
      <c r="P92" s="8">
        <f t="shared" si="10"/>
        <v>3.0000000000002247E-5</v>
      </c>
      <c r="R92" s="10">
        <f t="shared" si="12"/>
        <v>-0.70000000000000617</v>
      </c>
    </row>
    <row r="93" spans="1:18" x14ac:dyDescent="0.35">
      <c r="A93" s="3" t="e">
        <v>#N/A</v>
      </c>
      <c r="B93" s="5">
        <v>3.3799999999999997E-2</v>
      </c>
      <c r="D93">
        <v>3.3799999999999997E-2</v>
      </c>
      <c r="F93" s="7" t="str">
        <f t="shared" si="7"/>
        <v/>
      </c>
      <c r="G93" s="7">
        <f t="shared" si="8"/>
        <v>0</v>
      </c>
      <c r="K93">
        <v>92</v>
      </c>
      <c r="L93">
        <v>3.3770000000000001E-2</v>
      </c>
      <c r="M93">
        <f t="shared" si="9"/>
        <v>3.3799999999999997E-2</v>
      </c>
      <c r="N93">
        <v>3.3730000000000003E-2</v>
      </c>
      <c r="O93" s="9">
        <f t="shared" si="11"/>
        <v>-6.9999999999993678E-5</v>
      </c>
      <c r="P93" s="8">
        <f t="shared" si="10"/>
        <v>2.9999999999995308E-5</v>
      </c>
      <c r="R93" s="10">
        <f t="shared" si="12"/>
        <v>-0.69999999999993678</v>
      </c>
    </row>
    <row r="94" spans="1:18" x14ac:dyDescent="0.35">
      <c r="A94" s="3" t="e">
        <v>#N/A</v>
      </c>
      <c r="B94" s="5">
        <v>3.3790000000000001E-2</v>
      </c>
      <c r="D94">
        <v>3.3790000000000001E-2</v>
      </c>
      <c r="F94" s="7" t="str">
        <f t="shared" si="7"/>
        <v/>
      </c>
      <c r="G94" s="7">
        <f t="shared" si="8"/>
        <v>0</v>
      </c>
      <c r="K94">
        <v>93</v>
      </c>
      <c r="L94">
        <v>3.3770000000000001E-2</v>
      </c>
      <c r="M94">
        <f t="shared" si="9"/>
        <v>3.3790000000000001E-2</v>
      </c>
      <c r="N94">
        <v>3.372E-2</v>
      </c>
      <c r="O94" s="9">
        <f t="shared" si="11"/>
        <v>-7.0000000000000617E-5</v>
      </c>
      <c r="P94" s="8">
        <f t="shared" si="10"/>
        <v>1.9999999999999185E-5</v>
      </c>
      <c r="R94" s="10">
        <f t="shared" si="12"/>
        <v>-0.70000000000000617</v>
      </c>
    </row>
    <row r="95" spans="1:18" x14ac:dyDescent="0.35">
      <c r="A95" s="3" t="e">
        <v>#N/A</v>
      </c>
      <c r="B95" s="5">
        <v>3.3790000000000001E-2</v>
      </c>
      <c r="D95">
        <v>3.3790000000000001E-2</v>
      </c>
      <c r="F95" s="7" t="str">
        <f t="shared" si="7"/>
        <v/>
      </c>
      <c r="G95" s="7">
        <f t="shared" si="8"/>
        <v>0</v>
      </c>
      <c r="K95">
        <v>94</v>
      </c>
      <c r="L95">
        <v>3.3759999999999998E-2</v>
      </c>
      <c r="M95">
        <f t="shared" si="9"/>
        <v>3.3790000000000001E-2</v>
      </c>
      <c r="N95">
        <v>3.372E-2</v>
      </c>
      <c r="O95" s="9">
        <f t="shared" si="11"/>
        <v>-7.0000000000000617E-5</v>
      </c>
      <c r="P95" s="8">
        <f t="shared" si="10"/>
        <v>3.0000000000002247E-5</v>
      </c>
      <c r="R95" s="10">
        <f t="shared" si="12"/>
        <v>-0.70000000000000617</v>
      </c>
    </row>
    <row r="96" spans="1:18" x14ac:dyDescent="0.35">
      <c r="A96" s="3" t="e">
        <v>#N/A</v>
      </c>
      <c r="B96" s="5">
        <v>3.3779999999999998E-2</v>
      </c>
      <c r="D96">
        <v>3.3779999999999998E-2</v>
      </c>
      <c r="F96" s="7" t="str">
        <f t="shared" si="7"/>
        <v/>
      </c>
      <c r="G96" s="7">
        <f t="shared" si="8"/>
        <v>0</v>
      </c>
      <c r="K96">
        <v>95</v>
      </c>
      <c r="L96">
        <v>3.3750000000000002E-2</v>
      </c>
      <c r="M96">
        <f t="shared" si="9"/>
        <v>3.3779999999999998E-2</v>
      </c>
      <c r="N96">
        <v>3.3709999999999997E-2</v>
      </c>
      <c r="O96" s="9">
        <f t="shared" si="11"/>
        <v>-7.0000000000000617E-5</v>
      </c>
      <c r="P96" s="8">
        <f t="shared" si="10"/>
        <v>2.9999999999995308E-5</v>
      </c>
      <c r="R96" s="10">
        <f t="shared" si="12"/>
        <v>-0.70000000000000617</v>
      </c>
    </row>
    <row r="97" spans="1:18" x14ac:dyDescent="0.35">
      <c r="A97" s="3" t="e">
        <v>#N/A</v>
      </c>
      <c r="B97" s="5">
        <v>3.3770000000000001E-2</v>
      </c>
      <c r="D97">
        <v>3.3770000000000001E-2</v>
      </c>
      <c r="F97" s="7" t="str">
        <f t="shared" si="7"/>
        <v/>
      </c>
      <c r="G97" s="7">
        <f t="shared" si="8"/>
        <v>0</v>
      </c>
      <c r="K97">
        <v>96</v>
      </c>
      <c r="L97">
        <v>3.3739999999999999E-2</v>
      </c>
      <c r="M97">
        <f t="shared" si="9"/>
        <v>3.3770000000000001E-2</v>
      </c>
      <c r="N97">
        <v>3.3700000000000001E-2</v>
      </c>
      <c r="O97" s="9">
        <f t="shared" si="11"/>
        <v>-7.0000000000000617E-5</v>
      </c>
      <c r="P97" s="8">
        <f t="shared" si="10"/>
        <v>3.0000000000002247E-5</v>
      </c>
      <c r="R97" s="10">
        <f t="shared" si="12"/>
        <v>-0.70000000000000617</v>
      </c>
    </row>
    <row r="98" spans="1:18" x14ac:dyDescent="0.35">
      <c r="A98" s="3" t="e">
        <v>#N/A</v>
      </c>
      <c r="B98" s="5">
        <v>3.3759999999999998E-2</v>
      </c>
      <c r="D98">
        <v>3.3759999999999998E-2</v>
      </c>
      <c r="F98" s="7" t="str">
        <f t="shared" si="7"/>
        <v/>
      </c>
      <c r="G98" s="7">
        <f t="shared" si="8"/>
        <v>0</v>
      </c>
      <c r="K98">
        <v>97</v>
      </c>
      <c r="L98">
        <v>3.3739999999999999E-2</v>
      </c>
      <c r="M98">
        <f t="shared" si="9"/>
        <v>3.3759999999999998E-2</v>
      </c>
      <c r="N98">
        <v>3.3689999999999998E-2</v>
      </c>
      <c r="O98" s="9">
        <f t="shared" si="11"/>
        <v>-7.0000000000000617E-5</v>
      </c>
      <c r="P98" s="8">
        <f t="shared" si="10"/>
        <v>1.9999999999999185E-5</v>
      </c>
      <c r="R98" s="10">
        <f t="shared" si="12"/>
        <v>-0.70000000000000617</v>
      </c>
    </row>
    <row r="99" spans="1:18" x14ac:dyDescent="0.35">
      <c r="A99" s="3" t="e">
        <v>#N/A</v>
      </c>
      <c r="B99" s="5">
        <v>3.3750000000000002E-2</v>
      </c>
      <c r="D99">
        <v>3.3750000000000002E-2</v>
      </c>
      <c r="F99" s="7" t="str">
        <f t="shared" si="7"/>
        <v/>
      </c>
      <c r="G99" s="7">
        <f t="shared" si="8"/>
        <v>0</v>
      </c>
      <c r="K99">
        <v>98</v>
      </c>
      <c r="L99">
        <v>3.3730000000000003E-2</v>
      </c>
      <c r="M99">
        <f t="shared" si="9"/>
        <v>3.3750000000000002E-2</v>
      </c>
      <c r="N99">
        <v>3.3689999999999998E-2</v>
      </c>
      <c r="O99" s="9">
        <f t="shared" si="11"/>
        <v>-6.0000000000004494E-5</v>
      </c>
      <c r="P99" s="8">
        <f t="shared" si="10"/>
        <v>1.9999999999999185E-5</v>
      </c>
      <c r="R99" s="10">
        <f t="shared" si="12"/>
        <v>-0.60000000000004494</v>
      </c>
    </row>
    <row r="100" spans="1:18" x14ac:dyDescent="0.35">
      <c r="A100" s="3" t="e">
        <v>#N/A</v>
      </c>
      <c r="B100" s="5">
        <v>3.3750000000000002E-2</v>
      </c>
      <c r="D100">
        <v>3.3750000000000002E-2</v>
      </c>
      <c r="F100" s="7" t="str">
        <f t="shared" si="7"/>
        <v/>
      </c>
      <c r="G100" s="7">
        <f t="shared" si="8"/>
        <v>0</v>
      </c>
      <c r="K100">
        <v>99</v>
      </c>
      <c r="L100">
        <v>3.372E-2</v>
      </c>
      <c r="M100">
        <f t="shared" si="9"/>
        <v>3.3750000000000002E-2</v>
      </c>
      <c r="N100">
        <v>3.3680000000000002E-2</v>
      </c>
      <c r="O100" s="9">
        <f t="shared" si="11"/>
        <v>-7.0000000000000617E-5</v>
      </c>
      <c r="P100" s="8">
        <f t="shared" si="10"/>
        <v>3.0000000000002247E-5</v>
      </c>
      <c r="R100" s="10">
        <f t="shared" si="12"/>
        <v>-0.70000000000000617</v>
      </c>
    </row>
    <row r="101" spans="1:18" x14ac:dyDescent="0.35">
      <c r="A101" s="3" t="e">
        <v>#N/A</v>
      </c>
      <c r="B101" s="5">
        <v>3.3739999999999999E-2</v>
      </c>
      <c r="D101">
        <v>3.3739999999999999E-2</v>
      </c>
      <c r="F101" s="7" t="str">
        <f t="shared" si="7"/>
        <v/>
      </c>
      <c r="G101" s="7">
        <f t="shared" si="8"/>
        <v>0</v>
      </c>
      <c r="K101">
        <v>100</v>
      </c>
      <c r="L101">
        <v>3.3709999999999997E-2</v>
      </c>
      <c r="M101">
        <f t="shared" si="9"/>
        <v>3.3739999999999999E-2</v>
      </c>
      <c r="N101">
        <v>3.3669999999999999E-2</v>
      </c>
      <c r="O101" s="9">
        <f t="shared" si="11"/>
        <v>-7.0000000000000617E-5</v>
      </c>
      <c r="P101" s="8">
        <f t="shared" si="10"/>
        <v>3.0000000000002247E-5</v>
      </c>
      <c r="R101" s="10">
        <f t="shared" si="12"/>
        <v>-0.70000000000000617</v>
      </c>
    </row>
    <row r="102" spans="1:18" x14ac:dyDescent="0.35">
      <c r="A102" s="3" t="e">
        <v>#N/A</v>
      </c>
      <c r="B102" s="5">
        <v>3.3730000000000003E-2</v>
      </c>
      <c r="D102">
        <v>3.3730000000000003E-2</v>
      </c>
      <c r="F102" s="7" t="str">
        <f t="shared" si="7"/>
        <v/>
      </c>
      <c r="G102" s="7">
        <f t="shared" si="8"/>
        <v>0</v>
      </c>
      <c r="K102">
        <v>101</v>
      </c>
      <c r="L102">
        <v>3.3709999999999997E-2</v>
      </c>
      <c r="M102">
        <f t="shared" si="9"/>
        <v>3.3730000000000003E-2</v>
      </c>
      <c r="N102">
        <v>3.3669999999999999E-2</v>
      </c>
      <c r="O102" s="9">
        <f t="shared" si="11"/>
        <v>-6.0000000000004494E-5</v>
      </c>
      <c r="P102" s="8">
        <f t="shared" si="10"/>
        <v>2.0000000000006124E-5</v>
      </c>
      <c r="R102" s="10">
        <f t="shared" si="12"/>
        <v>-0.60000000000004494</v>
      </c>
    </row>
    <row r="103" spans="1:18" x14ac:dyDescent="0.35">
      <c r="A103" s="3" t="e">
        <v>#N/A</v>
      </c>
      <c r="B103" s="5">
        <v>3.372E-2</v>
      </c>
      <c r="D103">
        <v>3.372E-2</v>
      </c>
      <c r="F103" s="7" t="str">
        <f t="shared" si="7"/>
        <v/>
      </c>
      <c r="G103" s="7">
        <f t="shared" si="8"/>
        <v>0</v>
      </c>
      <c r="K103">
        <v>102</v>
      </c>
      <c r="L103">
        <v>3.3700000000000001E-2</v>
      </c>
      <c r="M103">
        <f t="shared" si="9"/>
        <v>3.372E-2</v>
      </c>
      <c r="N103">
        <v>3.3660000000000002E-2</v>
      </c>
      <c r="O103" s="9">
        <f t="shared" si="11"/>
        <v>-5.9999999999997555E-5</v>
      </c>
      <c r="P103" s="8">
        <f t="shared" si="10"/>
        <v>1.9999999999999185E-5</v>
      </c>
      <c r="R103" s="10">
        <f t="shared" si="12"/>
        <v>-0.59999999999997555</v>
      </c>
    </row>
    <row r="104" spans="1:18" x14ac:dyDescent="0.35">
      <c r="A104" s="3" t="e">
        <v>#N/A</v>
      </c>
      <c r="B104" s="5">
        <v>3.372E-2</v>
      </c>
      <c r="D104">
        <v>3.372E-2</v>
      </c>
      <c r="F104" s="7" t="str">
        <f t="shared" si="7"/>
        <v/>
      </c>
      <c r="G104" s="7">
        <f t="shared" si="8"/>
        <v>0</v>
      </c>
      <c r="K104">
        <v>103</v>
      </c>
      <c r="L104">
        <v>3.3689999999999998E-2</v>
      </c>
      <c r="M104">
        <f t="shared" si="9"/>
        <v>3.372E-2</v>
      </c>
      <c r="N104">
        <v>3.3649999999999999E-2</v>
      </c>
      <c r="O104" s="9">
        <f t="shared" si="11"/>
        <v>-7.0000000000000617E-5</v>
      </c>
      <c r="P104" s="8">
        <f t="shared" si="10"/>
        <v>3.0000000000002247E-5</v>
      </c>
      <c r="R104" s="10">
        <f t="shared" si="12"/>
        <v>-0.70000000000000617</v>
      </c>
    </row>
    <row r="105" spans="1:18" x14ac:dyDescent="0.35">
      <c r="A105" s="3" t="e">
        <v>#N/A</v>
      </c>
      <c r="B105" s="5">
        <v>3.3709999999999997E-2</v>
      </c>
      <c r="D105">
        <v>3.3709999999999997E-2</v>
      </c>
      <c r="F105" s="7" t="str">
        <f t="shared" si="7"/>
        <v/>
      </c>
      <c r="G105" s="7">
        <f t="shared" si="8"/>
        <v>0</v>
      </c>
      <c r="K105">
        <v>104</v>
      </c>
      <c r="L105">
        <v>3.3689999999999998E-2</v>
      </c>
      <c r="M105">
        <f t="shared" si="9"/>
        <v>3.3709999999999997E-2</v>
      </c>
      <c r="N105">
        <v>3.3649999999999999E-2</v>
      </c>
      <c r="O105" s="9">
        <f t="shared" si="11"/>
        <v>-5.9999999999997555E-5</v>
      </c>
      <c r="P105" s="8">
        <f t="shared" si="10"/>
        <v>1.9999999999999185E-5</v>
      </c>
      <c r="R105" s="10">
        <f t="shared" si="12"/>
        <v>-0.59999999999997555</v>
      </c>
    </row>
    <row r="106" spans="1:18" x14ac:dyDescent="0.35">
      <c r="A106" s="3" t="e">
        <v>#N/A</v>
      </c>
      <c r="B106" s="5">
        <v>3.3700000000000001E-2</v>
      </c>
      <c r="D106">
        <v>3.3700000000000001E-2</v>
      </c>
      <c r="F106" s="7" t="str">
        <f t="shared" si="7"/>
        <v/>
      </c>
      <c r="G106" s="7">
        <f t="shared" si="8"/>
        <v>0</v>
      </c>
      <c r="K106">
        <v>105</v>
      </c>
      <c r="L106">
        <v>3.3680000000000002E-2</v>
      </c>
      <c r="M106">
        <f t="shared" si="9"/>
        <v>3.3700000000000001E-2</v>
      </c>
      <c r="N106">
        <v>3.3640000000000003E-2</v>
      </c>
      <c r="O106" s="9">
        <f t="shared" si="11"/>
        <v>-5.9999999999997555E-5</v>
      </c>
      <c r="P106" s="8">
        <f t="shared" si="10"/>
        <v>1.9999999999999185E-5</v>
      </c>
      <c r="R106" s="10">
        <f t="shared" si="12"/>
        <v>-0.59999999999997555</v>
      </c>
    </row>
    <row r="107" spans="1:18" x14ac:dyDescent="0.35">
      <c r="A107" s="3" t="e">
        <v>#N/A</v>
      </c>
      <c r="B107" s="5">
        <v>3.3700000000000001E-2</v>
      </c>
      <c r="D107">
        <v>3.3700000000000001E-2</v>
      </c>
      <c r="F107" s="7" t="str">
        <f t="shared" si="7"/>
        <v/>
      </c>
      <c r="G107" s="7">
        <f t="shared" si="8"/>
        <v>0</v>
      </c>
      <c r="K107">
        <v>106</v>
      </c>
      <c r="L107">
        <v>3.3669999999999999E-2</v>
      </c>
      <c r="M107">
        <f t="shared" si="9"/>
        <v>3.3700000000000001E-2</v>
      </c>
      <c r="N107">
        <v>3.363E-2</v>
      </c>
      <c r="O107" s="9">
        <f t="shared" si="11"/>
        <v>-7.0000000000000617E-5</v>
      </c>
      <c r="P107" s="8">
        <f t="shared" si="10"/>
        <v>3.0000000000002247E-5</v>
      </c>
      <c r="R107" s="10">
        <f t="shared" si="12"/>
        <v>-0.70000000000000617</v>
      </c>
    </row>
    <row r="108" spans="1:18" x14ac:dyDescent="0.35">
      <c r="A108" s="3" t="e">
        <v>#N/A</v>
      </c>
      <c r="B108" s="5">
        <v>3.3689999999999998E-2</v>
      </c>
      <c r="D108">
        <v>3.3689999999999998E-2</v>
      </c>
      <c r="F108" s="7" t="str">
        <f t="shared" si="7"/>
        <v/>
      </c>
      <c r="G108" s="7">
        <f t="shared" si="8"/>
        <v>0</v>
      </c>
      <c r="K108">
        <v>107</v>
      </c>
      <c r="L108">
        <v>3.3669999999999999E-2</v>
      </c>
      <c r="M108">
        <f t="shared" si="9"/>
        <v>3.3689999999999998E-2</v>
      </c>
      <c r="N108">
        <v>3.363E-2</v>
      </c>
      <c r="O108" s="9">
        <f t="shared" si="11"/>
        <v>-5.9999999999997555E-5</v>
      </c>
      <c r="P108" s="8">
        <f t="shared" si="10"/>
        <v>1.9999999999999185E-5</v>
      </c>
      <c r="R108" s="10">
        <f t="shared" si="12"/>
        <v>-0.59999999999997555</v>
      </c>
    </row>
    <row r="109" spans="1:18" x14ac:dyDescent="0.35">
      <c r="A109" s="3" t="e">
        <v>#N/A</v>
      </c>
      <c r="B109" s="5">
        <v>3.3680000000000002E-2</v>
      </c>
      <c r="D109">
        <v>3.3680000000000002E-2</v>
      </c>
      <c r="F109" s="7" t="str">
        <f t="shared" si="7"/>
        <v/>
      </c>
      <c r="G109" s="7">
        <f t="shared" si="8"/>
        <v>0</v>
      </c>
      <c r="K109">
        <v>108</v>
      </c>
      <c r="L109">
        <v>3.3660000000000002E-2</v>
      </c>
      <c r="M109">
        <f t="shared" si="9"/>
        <v>3.3680000000000002E-2</v>
      </c>
      <c r="N109">
        <v>3.3619999999999997E-2</v>
      </c>
      <c r="O109" s="9">
        <f t="shared" si="11"/>
        <v>-6.0000000000004494E-5</v>
      </c>
      <c r="P109" s="8">
        <f t="shared" si="10"/>
        <v>1.9999999999999185E-5</v>
      </c>
      <c r="R109" s="10">
        <f t="shared" si="12"/>
        <v>-0.60000000000004494</v>
      </c>
    </row>
    <row r="110" spans="1:18" x14ac:dyDescent="0.35">
      <c r="A110" s="3" t="e">
        <v>#N/A</v>
      </c>
      <c r="B110" s="5">
        <v>3.3680000000000002E-2</v>
      </c>
      <c r="D110">
        <v>3.3680000000000002E-2</v>
      </c>
      <c r="F110" s="7" t="str">
        <f t="shared" si="7"/>
        <v/>
      </c>
      <c r="G110" s="7">
        <f t="shared" si="8"/>
        <v>0</v>
      </c>
      <c r="K110">
        <v>109</v>
      </c>
      <c r="L110">
        <v>3.3660000000000002E-2</v>
      </c>
      <c r="M110">
        <f t="shared" si="9"/>
        <v>3.3680000000000002E-2</v>
      </c>
      <c r="N110">
        <v>3.3619999999999997E-2</v>
      </c>
      <c r="O110" s="9">
        <f t="shared" si="11"/>
        <v>-6.0000000000004494E-5</v>
      </c>
      <c r="P110" s="8">
        <f t="shared" si="10"/>
        <v>1.9999999999999185E-5</v>
      </c>
      <c r="R110" s="10">
        <f t="shared" si="12"/>
        <v>-0.60000000000004494</v>
      </c>
    </row>
    <row r="111" spans="1:18" x14ac:dyDescent="0.35">
      <c r="A111" s="3" t="e">
        <v>#N/A</v>
      </c>
      <c r="B111" s="5">
        <v>3.3669999999999999E-2</v>
      </c>
      <c r="D111">
        <v>3.3669999999999999E-2</v>
      </c>
      <c r="F111" s="7" t="str">
        <f t="shared" si="7"/>
        <v/>
      </c>
      <c r="G111" s="7">
        <f t="shared" si="8"/>
        <v>0</v>
      </c>
      <c r="K111">
        <v>110</v>
      </c>
      <c r="L111">
        <v>3.3649999999999999E-2</v>
      </c>
      <c r="M111">
        <f t="shared" si="9"/>
        <v>3.3669999999999999E-2</v>
      </c>
      <c r="N111">
        <v>3.3610000000000001E-2</v>
      </c>
      <c r="O111" s="9">
        <f t="shared" si="11"/>
        <v>-5.9999999999997555E-5</v>
      </c>
      <c r="P111" s="8">
        <f t="shared" si="10"/>
        <v>1.9999999999999185E-5</v>
      </c>
      <c r="R111" s="10">
        <f t="shared" si="12"/>
        <v>-0.59999999999997555</v>
      </c>
    </row>
    <row r="112" spans="1:18" x14ac:dyDescent="0.35">
      <c r="A112" s="3" t="e">
        <v>#N/A</v>
      </c>
      <c r="B112" s="5">
        <v>3.3660000000000002E-2</v>
      </c>
      <c r="D112">
        <v>3.3660000000000002E-2</v>
      </c>
      <c r="F112" s="7" t="str">
        <f t="shared" si="7"/>
        <v/>
      </c>
      <c r="G112" s="7">
        <f t="shared" si="8"/>
        <v>0</v>
      </c>
      <c r="K112">
        <v>111</v>
      </c>
      <c r="L112">
        <v>3.3640000000000003E-2</v>
      </c>
      <c r="M112">
        <f t="shared" si="9"/>
        <v>3.3660000000000002E-2</v>
      </c>
      <c r="N112">
        <v>3.3610000000000001E-2</v>
      </c>
      <c r="O112" s="9">
        <f t="shared" si="11"/>
        <v>-5.0000000000001432E-5</v>
      </c>
      <c r="P112" s="8">
        <f t="shared" si="10"/>
        <v>1.9999999999999185E-5</v>
      </c>
      <c r="R112" s="10">
        <f t="shared" si="12"/>
        <v>-0.50000000000001432</v>
      </c>
    </row>
    <row r="113" spans="1:18" x14ac:dyDescent="0.35">
      <c r="A113" s="3" t="e">
        <v>#N/A</v>
      </c>
      <c r="B113" s="5">
        <v>3.3660000000000002E-2</v>
      </c>
      <c r="D113">
        <v>3.3660000000000002E-2</v>
      </c>
      <c r="F113" s="7" t="str">
        <f t="shared" si="7"/>
        <v/>
      </c>
      <c r="G113" s="7">
        <f t="shared" si="8"/>
        <v>0</v>
      </c>
      <c r="K113">
        <v>112</v>
      </c>
      <c r="L113">
        <v>3.3640000000000003E-2</v>
      </c>
      <c r="M113">
        <f t="shared" si="9"/>
        <v>3.3660000000000002E-2</v>
      </c>
      <c r="N113">
        <v>3.3599999999999998E-2</v>
      </c>
      <c r="O113" s="9">
        <f t="shared" si="11"/>
        <v>-6.0000000000004494E-5</v>
      </c>
      <c r="P113" s="8">
        <f t="shared" si="10"/>
        <v>1.9999999999999185E-5</v>
      </c>
      <c r="R113" s="10">
        <f t="shared" si="12"/>
        <v>-0.60000000000004494</v>
      </c>
    </row>
    <row r="114" spans="1:18" x14ac:dyDescent="0.35">
      <c r="A114" s="3" t="e">
        <v>#N/A</v>
      </c>
      <c r="B114" s="5">
        <v>3.3649999999999999E-2</v>
      </c>
      <c r="D114">
        <v>3.3649999999999999E-2</v>
      </c>
      <c r="F114" s="7" t="str">
        <f t="shared" si="7"/>
        <v/>
      </c>
      <c r="G114" s="7">
        <f t="shared" si="8"/>
        <v>0</v>
      </c>
      <c r="K114">
        <v>113</v>
      </c>
      <c r="L114">
        <v>3.363E-2</v>
      </c>
      <c r="M114">
        <f t="shared" si="9"/>
        <v>3.3649999999999999E-2</v>
      </c>
      <c r="N114">
        <v>3.3599999999999998E-2</v>
      </c>
      <c r="O114" s="9">
        <f t="shared" si="11"/>
        <v>-5.0000000000001432E-5</v>
      </c>
      <c r="P114" s="8">
        <f t="shared" si="10"/>
        <v>1.9999999999999185E-5</v>
      </c>
      <c r="R114" s="10">
        <f t="shared" si="12"/>
        <v>-0.50000000000001432</v>
      </c>
    </row>
    <row r="115" spans="1:18" x14ac:dyDescent="0.35">
      <c r="A115" s="3" t="e">
        <v>#N/A</v>
      </c>
      <c r="B115" s="5">
        <v>3.3649999999999999E-2</v>
      </c>
      <c r="D115">
        <v>3.3649999999999999E-2</v>
      </c>
      <c r="F115" s="7" t="str">
        <f t="shared" si="7"/>
        <v/>
      </c>
      <c r="G115" s="7">
        <f t="shared" si="8"/>
        <v>0</v>
      </c>
      <c r="K115">
        <v>114</v>
      </c>
      <c r="L115">
        <v>3.363E-2</v>
      </c>
      <c r="M115">
        <f t="shared" si="9"/>
        <v>3.3649999999999999E-2</v>
      </c>
      <c r="N115">
        <v>3.3590000000000002E-2</v>
      </c>
      <c r="O115" s="9">
        <f t="shared" si="11"/>
        <v>-5.9999999999997555E-5</v>
      </c>
      <c r="P115" s="8">
        <f t="shared" si="10"/>
        <v>1.9999999999999185E-5</v>
      </c>
      <c r="R115" s="10">
        <f t="shared" si="12"/>
        <v>-0.59999999999997555</v>
      </c>
    </row>
    <row r="116" spans="1:18" x14ac:dyDescent="0.35">
      <c r="A116" s="3" t="e">
        <v>#N/A</v>
      </c>
      <c r="B116" s="5">
        <v>3.3640000000000003E-2</v>
      </c>
      <c r="D116">
        <v>3.3640000000000003E-2</v>
      </c>
      <c r="F116" s="7" t="str">
        <f t="shared" si="7"/>
        <v/>
      </c>
      <c r="G116" s="7">
        <f t="shared" si="8"/>
        <v>0</v>
      </c>
      <c r="K116">
        <v>115</v>
      </c>
      <c r="L116">
        <v>3.3619999999999997E-2</v>
      </c>
      <c r="M116">
        <f t="shared" si="9"/>
        <v>3.3640000000000003E-2</v>
      </c>
      <c r="N116">
        <v>3.3590000000000002E-2</v>
      </c>
      <c r="O116" s="9">
        <f t="shared" si="11"/>
        <v>-5.0000000000001432E-5</v>
      </c>
      <c r="P116" s="8">
        <f t="shared" si="10"/>
        <v>2.0000000000006124E-5</v>
      </c>
      <c r="R116" s="10">
        <f t="shared" si="12"/>
        <v>-0.50000000000001432</v>
      </c>
    </row>
    <row r="117" spans="1:18" x14ac:dyDescent="0.35">
      <c r="A117" s="3" t="e">
        <v>#N/A</v>
      </c>
      <c r="B117" s="5">
        <v>3.3640000000000003E-2</v>
      </c>
      <c r="D117">
        <v>3.3640000000000003E-2</v>
      </c>
      <c r="F117" s="7" t="str">
        <f t="shared" si="7"/>
        <v/>
      </c>
      <c r="G117" s="7">
        <f t="shared" si="8"/>
        <v>0</v>
      </c>
      <c r="K117">
        <v>116</v>
      </c>
      <c r="L117">
        <v>3.3619999999999997E-2</v>
      </c>
      <c r="M117">
        <f t="shared" si="9"/>
        <v>3.3640000000000003E-2</v>
      </c>
      <c r="N117">
        <v>3.3579999999999999E-2</v>
      </c>
      <c r="O117" s="9">
        <f t="shared" si="11"/>
        <v>-6.0000000000004494E-5</v>
      </c>
      <c r="P117" s="8">
        <f t="shared" si="10"/>
        <v>2.0000000000006124E-5</v>
      </c>
      <c r="R117" s="10">
        <f t="shared" si="12"/>
        <v>-0.60000000000004494</v>
      </c>
    </row>
    <row r="118" spans="1:18" x14ac:dyDescent="0.35">
      <c r="A118" s="3" t="e">
        <v>#N/A</v>
      </c>
      <c r="B118" s="5">
        <v>3.363E-2</v>
      </c>
      <c r="D118">
        <v>3.363E-2</v>
      </c>
      <c r="F118" s="7" t="str">
        <f t="shared" si="7"/>
        <v/>
      </c>
      <c r="G118" s="7">
        <f t="shared" si="8"/>
        <v>0</v>
      </c>
      <c r="K118">
        <v>117</v>
      </c>
      <c r="L118">
        <v>3.3610000000000001E-2</v>
      </c>
      <c r="M118">
        <f t="shared" si="9"/>
        <v>3.363E-2</v>
      </c>
      <c r="N118">
        <v>3.3579999999999999E-2</v>
      </c>
      <c r="O118" s="9">
        <f t="shared" si="11"/>
        <v>-5.0000000000001432E-5</v>
      </c>
      <c r="P118" s="8">
        <f t="shared" si="10"/>
        <v>1.9999999999999185E-5</v>
      </c>
      <c r="R118" s="10">
        <f t="shared" si="12"/>
        <v>-0.50000000000001432</v>
      </c>
    </row>
    <row r="119" spans="1:18" x14ac:dyDescent="0.35">
      <c r="A119" s="3" t="e">
        <v>#N/A</v>
      </c>
      <c r="B119" s="5">
        <v>3.363E-2</v>
      </c>
      <c r="D119">
        <v>3.363E-2</v>
      </c>
      <c r="F119" s="7" t="str">
        <f t="shared" si="7"/>
        <v/>
      </c>
      <c r="G119" s="7">
        <f t="shared" si="8"/>
        <v>0</v>
      </c>
      <c r="K119">
        <v>118</v>
      </c>
      <c r="L119">
        <v>3.3610000000000001E-2</v>
      </c>
      <c r="M119">
        <f t="shared" si="9"/>
        <v>3.363E-2</v>
      </c>
      <c r="N119">
        <v>3.3570000000000003E-2</v>
      </c>
      <c r="O119" s="9">
        <f t="shared" si="11"/>
        <v>-5.9999999999997555E-5</v>
      </c>
      <c r="P119" s="8">
        <f t="shared" si="10"/>
        <v>1.9999999999999185E-5</v>
      </c>
      <c r="R119" s="10">
        <f t="shared" si="12"/>
        <v>-0.59999999999997555</v>
      </c>
    </row>
    <row r="120" spans="1:18" x14ac:dyDescent="0.35">
      <c r="A120" s="3" t="e">
        <v>#N/A</v>
      </c>
      <c r="B120" s="5">
        <v>3.3619999999999997E-2</v>
      </c>
      <c r="D120">
        <v>3.3619999999999997E-2</v>
      </c>
      <c r="F120" s="7" t="str">
        <f t="shared" si="7"/>
        <v/>
      </c>
      <c r="G120" s="7">
        <f t="shared" si="8"/>
        <v>0</v>
      </c>
      <c r="K120">
        <v>119</v>
      </c>
      <c r="L120">
        <v>3.3599999999999998E-2</v>
      </c>
      <c r="M120">
        <f t="shared" si="9"/>
        <v>3.3619999999999997E-2</v>
      </c>
      <c r="N120">
        <v>3.3570000000000003E-2</v>
      </c>
      <c r="O120" s="9">
        <f t="shared" si="11"/>
        <v>-4.9999999999994493E-5</v>
      </c>
      <c r="P120" s="8">
        <f t="shared" si="10"/>
        <v>1.9999999999999185E-5</v>
      </c>
      <c r="R120" s="10">
        <f t="shared" si="12"/>
        <v>-0.49999999999994493</v>
      </c>
    </row>
    <row r="121" spans="1:18" x14ac:dyDescent="0.35">
      <c r="A121" s="3" t="e">
        <v>#N/A</v>
      </c>
      <c r="B121" s="5">
        <v>3.3610000000000001E-2</v>
      </c>
      <c r="D121">
        <v>3.3610000000000001E-2</v>
      </c>
      <c r="F121" s="7" t="str">
        <f t="shared" si="7"/>
        <v/>
      </c>
      <c r="G121" s="7">
        <f t="shared" si="8"/>
        <v>0</v>
      </c>
      <c r="K121">
        <v>120</v>
      </c>
      <c r="L121">
        <v>3.3599999999999998E-2</v>
      </c>
      <c r="M121">
        <f t="shared" si="9"/>
        <v>3.3610000000000001E-2</v>
      </c>
      <c r="N121">
        <v>3.356E-2</v>
      </c>
      <c r="O121" s="9">
        <f t="shared" si="11"/>
        <v>-5.0000000000001432E-5</v>
      </c>
      <c r="P121" s="8">
        <f t="shared" si="10"/>
        <v>1.0000000000003062E-5</v>
      </c>
      <c r="R121" s="10">
        <f t="shared" si="12"/>
        <v>-0.50000000000001432</v>
      </c>
    </row>
    <row r="122" spans="1:18" x14ac:dyDescent="0.35">
      <c r="A122" s="3" t="e">
        <v>#N/A</v>
      </c>
      <c r="B122" s="5">
        <v>3.3610000000000001E-2</v>
      </c>
      <c r="D122">
        <v>3.3610000000000001E-2</v>
      </c>
      <c r="F122" s="7" t="str">
        <f t="shared" si="7"/>
        <v/>
      </c>
      <c r="G122" s="7">
        <f t="shared" si="8"/>
        <v>0</v>
      </c>
      <c r="K122">
        <v>121</v>
      </c>
      <c r="L122">
        <v>3.3590000000000002E-2</v>
      </c>
      <c r="M122">
        <f t="shared" si="9"/>
        <v>3.3610000000000001E-2</v>
      </c>
      <c r="N122">
        <v>3.356E-2</v>
      </c>
      <c r="O122" s="9">
        <f t="shared" si="11"/>
        <v>-5.0000000000001432E-5</v>
      </c>
      <c r="P122" s="8">
        <f t="shared" si="10"/>
        <v>1.9999999999999185E-5</v>
      </c>
      <c r="R122" s="10">
        <f t="shared" si="12"/>
        <v>-0.50000000000001432</v>
      </c>
    </row>
    <row r="123" spans="1:18" x14ac:dyDescent="0.35">
      <c r="A123" s="3" t="e">
        <v>#N/A</v>
      </c>
      <c r="B123" s="5">
        <v>3.3599999999999998E-2</v>
      </c>
      <c r="D123">
        <v>3.3599999999999998E-2</v>
      </c>
      <c r="F123" s="7" t="str">
        <f t="shared" si="7"/>
        <v/>
      </c>
      <c r="G123" s="7">
        <f t="shared" si="8"/>
        <v>0</v>
      </c>
      <c r="K123">
        <v>122</v>
      </c>
      <c r="L123">
        <v>3.3590000000000002E-2</v>
      </c>
      <c r="M123">
        <f t="shared" si="9"/>
        <v>3.3599999999999998E-2</v>
      </c>
      <c r="N123">
        <v>3.3550000000000003E-2</v>
      </c>
      <c r="O123" s="9">
        <f t="shared" si="11"/>
        <v>-4.9999999999994493E-5</v>
      </c>
      <c r="P123" s="8">
        <f t="shared" si="10"/>
        <v>9.9999999999961231E-6</v>
      </c>
      <c r="R123" s="10">
        <f t="shared" si="12"/>
        <v>-0.49999999999994493</v>
      </c>
    </row>
    <row r="124" spans="1:18" x14ac:dyDescent="0.35">
      <c r="A124" s="3" t="e">
        <v>#N/A</v>
      </c>
      <c r="B124" s="5">
        <v>3.3599999999999998E-2</v>
      </c>
      <c r="D124">
        <v>3.3599999999999998E-2</v>
      </c>
      <c r="F124" s="7" t="str">
        <f t="shared" si="7"/>
        <v/>
      </c>
      <c r="G124" s="7">
        <f t="shared" si="8"/>
        <v>0</v>
      </c>
      <c r="K124">
        <v>123</v>
      </c>
      <c r="L124">
        <v>3.3579999999999999E-2</v>
      </c>
      <c r="M124">
        <f t="shared" si="9"/>
        <v>3.3599999999999998E-2</v>
      </c>
      <c r="N124">
        <v>3.3550000000000003E-2</v>
      </c>
      <c r="O124" s="9">
        <f t="shared" si="11"/>
        <v>-4.9999999999994493E-5</v>
      </c>
      <c r="P124" s="8">
        <f t="shared" si="10"/>
        <v>1.9999999999999185E-5</v>
      </c>
      <c r="R124" s="10">
        <f t="shared" si="12"/>
        <v>-0.49999999999994493</v>
      </c>
    </row>
    <row r="125" spans="1:18" x14ac:dyDescent="0.35">
      <c r="A125" s="3" t="e">
        <v>#N/A</v>
      </c>
      <c r="B125" s="5">
        <v>3.3599999999999998E-2</v>
      </c>
      <c r="D125">
        <v>3.3599999999999998E-2</v>
      </c>
      <c r="F125" s="7" t="str">
        <f t="shared" si="7"/>
        <v/>
      </c>
      <c r="G125" s="7">
        <f t="shared" si="8"/>
        <v>0</v>
      </c>
      <c r="K125">
        <v>124</v>
      </c>
      <c r="L125">
        <v>3.3579999999999999E-2</v>
      </c>
      <c r="M125">
        <f t="shared" si="9"/>
        <v>3.3599999999999998E-2</v>
      </c>
      <c r="N125">
        <v>3.354E-2</v>
      </c>
      <c r="O125" s="9">
        <f t="shared" si="11"/>
        <v>-5.9999999999997555E-5</v>
      </c>
      <c r="P125" s="8">
        <f t="shared" si="10"/>
        <v>1.9999999999999185E-5</v>
      </c>
      <c r="R125" s="10">
        <f t="shared" si="12"/>
        <v>-0.59999999999997555</v>
      </c>
    </row>
    <row r="126" spans="1:18" x14ac:dyDescent="0.35">
      <c r="A126" s="3" t="e">
        <v>#N/A</v>
      </c>
      <c r="B126" s="5">
        <v>3.3590000000000002E-2</v>
      </c>
      <c r="D126">
        <v>3.3590000000000002E-2</v>
      </c>
      <c r="F126" s="7" t="str">
        <f t="shared" si="7"/>
        <v/>
      </c>
      <c r="G126" s="7">
        <f t="shared" si="8"/>
        <v>0</v>
      </c>
      <c r="K126">
        <v>125</v>
      </c>
      <c r="L126">
        <v>3.3570000000000003E-2</v>
      </c>
      <c r="M126">
        <f t="shared" si="9"/>
        <v>3.3590000000000002E-2</v>
      </c>
      <c r="N126">
        <v>3.354E-2</v>
      </c>
      <c r="O126" s="9">
        <f t="shared" si="11"/>
        <v>-5.0000000000001432E-5</v>
      </c>
      <c r="P126" s="8">
        <f t="shared" si="10"/>
        <v>1.9999999999999185E-5</v>
      </c>
      <c r="R126" s="10">
        <f t="shared" si="12"/>
        <v>-0.50000000000001432</v>
      </c>
    </row>
    <row r="127" spans="1:18" x14ac:dyDescent="0.35">
      <c r="A127" s="3" t="e">
        <v>#N/A</v>
      </c>
      <c r="B127" s="5">
        <v>3.3590000000000002E-2</v>
      </c>
      <c r="D127">
        <v>3.3590000000000002E-2</v>
      </c>
      <c r="F127" s="7" t="str">
        <f t="shared" si="7"/>
        <v/>
      </c>
      <c r="G127" s="7">
        <f t="shared" si="8"/>
        <v>0</v>
      </c>
      <c r="K127">
        <v>126</v>
      </c>
      <c r="L127">
        <v>3.3570000000000003E-2</v>
      </c>
      <c r="M127">
        <f t="shared" si="9"/>
        <v>3.3590000000000002E-2</v>
      </c>
      <c r="N127">
        <v>3.3529999999999997E-2</v>
      </c>
      <c r="O127" s="9">
        <f t="shared" si="11"/>
        <v>-6.0000000000004494E-5</v>
      </c>
      <c r="P127" s="8">
        <f t="shared" si="10"/>
        <v>1.9999999999999185E-5</v>
      </c>
      <c r="R127" s="10">
        <f t="shared" si="12"/>
        <v>-0.60000000000004494</v>
      </c>
    </row>
    <row r="128" spans="1:18" x14ac:dyDescent="0.35">
      <c r="A128" s="3" t="e">
        <v>#N/A</v>
      </c>
      <c r="B128" s="5">
        <v>3.3579999999999999E-2</v>
      </c>
      <c r="D128">
        <v>3.3579999999999999E-2</v>
      </c>
      <c r="F128" s="7" t="str">
        <f t="shared" si="7"/>
        <v/>
      </c>
      <c r="G128" s="7">
        <f t="shared" si="8"/>
        <v>0</v>
      </c>
      <c r="K128">
        <v>127</v>
      </c>
      <c r="L128">
        <v>3.356E-2</v>
      </c>
      <c r="M128">
        <f t="shared" si="9"/>
        <v>3.3579999999999999E-2</v>
      </c>
      <c r="N128">
        <v>3.3529999999999997E-2</v>
      </c>
      <c r="O128" s="9">
        <f t="shared" si="11"/>
        <v>-5.0000000000001432E-5</v>
      </c>
      <c r="P128" s="8">
        <f t="shared" si="10"/>
        <v>1.9999999999999185E-5</v>
      </c>
      <c r="R128" s="10">
        <f t="shared" si="12"/>
        <v>-0.50000000000001432</v>
      </c>
    </row>
    <row r="129" spans="1:18" x14ac:dyDescent="0.35">
      <c r="A129" s="3" t="e">
        <v>#N/A</v>
      </c>
      <c r="B129" s="5">
        <v>3.3579999999999999E-2</v>
      </c>
      <c r="D129">
        <v>3.3579999999999999E-2</v>
      </c>
      <c r="F129" s="7" t="str">
        <f t="shared" si="7"/>
        <v/>
      </c>
      <c r="G129" s="7">
        <f t="shared" si="8"/>
        <v>0</v>
      </c>
      <c r="K129">
        <v>128</v>
      </c>
      <c r="L129">
        <v>3.356E-2</v>
      </c>
      <c r="M129">
        <f t="shared" si="9"/>
        <v>3.3579999999999999E-2</v>
      </c>
      <c r="N129">
        <v>3.3529999999999997E-2</v>
      </c>
      <c r="O129" s="9">
        <f t="shared" si="11"/>
        <v>-5.0000000000001432E-5</v>
      </c>
      <c r="P129" s="8">
        <f t="shared" si="10"/>
        <v>1.9999999999999185E-5</v>
      </c>
      <c r="R129" s="10">
        <f t="shared" si="12"/>
        <v>-0.50000000000001432</v>
      </c>
    </row>
    <row r="130" spans="1:18" x14ac:dyDescent="0.35">
      <c r="A130" s="3" t="e">
        <v>#N/A</v>
      </c>
      <c r="B130" s="5">
        <v>3.3570000000000003E-2</v>
      </c>
      <c r="D130">
        <v>3.3570000000000003E-2</v>
      </c>
      <c r="F130" s="7" t="str">
        <f t="shared" si="7"/>
        <v/>
      </c>
      <c r="G130" s="7">
        <f t="shared" si="8"/>
        <v>0</v>
      </c>
      <c r="K130">
        <v>129</v>
      </c>
      <c r="L130">
        <v>3.3550000000000003E-2</v>
      </c>
      <c r="M130">
        <f t="shared" si="9"/>
        <v>3.3570000000000003E-2</v>
      </c>
      <c r="N130">
        <v>3.3520000000000001E-2</v>
      </c>
      <c r="O130" s="9">
        <f t="shared" si="11"/>
        <v>-5.0000000000001432E-5</v>
      </c>
      <c r="P130" s="8">
        <f t="shared" si="10"/>
        <v>1.9999999999999185E-5</v>
      </c>
      <c r="R130" s="10">
        <f t="shared" si="12"/>
        <v>-0.50000000000001432</v>
      </c>
    </row>
    <row r="131" spans="1:18" x14ac:dyDescent="0.35">
      <c r="A131" s="3" t="e">
        <v>#N/A</v>
      </c>
      <c r="B131" s="5">
        <v>3.3570000000000003E-2</v>
      </c>
      <c r="D131">
        <v>3.3570000000000003E-2</v>
      </c>
      <c r="F131" s="7" t="str">
        <f t="shared" ref="F131:F151" si="13">IF(C131&lt;&gt;"",A131-C131,"")</f>
        <v/>
      </c>
      <c r="G131" s="7">
        <f t="shared" ref="G131:G151" si="14">B131-D131</f>
        <v>0</v>
      </c>
      <c r="K131">
        <v>130</v>
      </c>
      <c r="L131">
        <v>3.3550000000000003E-2</v>
      </c>
      <c r="M131">
        <f t="shared" ref="M131:M151" si="15">D131</f>
        <v>3.3570000000000003E-2</v>
      </c>
      <c r="N131">
        <v>3.3520000000000001E-2</v>
      </c>
      <c r="O131" s="9">
        <f t="shared" si="11"/>
        <v>-5.0000000000001432E-5</v>
      </c>
      <c r="P131" s="8">
        <f t="shared" ref="P131:P151" si="16">MAX(ABS(L131-M131))</f>
        <v>1.9999999999999185E-5</v>
      </c>
      <c r="R131" s="10">
        <f t="shared" si="12"/>
        <v>-0.50000000000001432</v>
      </c>
    </row>
    <row r="132" spans="1:18" x14ac:dyDescent="0.35">
      <c r="A132" s="3" t="e">
        <v>#N/A</v>
      </c>
      <c r="B132" s="5">
        <v>3.356E-2</v>
      </c>
      <c r="D132">
        <v>3.356E-2</v>
      </c>
      <c r="F132" s="7" t="str">
        <f t="shared" si="13"/>
        <v/>
      </c>
      <c r="G132" s="7">
        <f t="shared" si="14"/>
        <v>0</v>
      </c>
      <c r="K132">
        <v>131</v>
      </c>
      <c r="L132">
        <v>3.3550000000000003E-2</v>
      </c>
      <c r="M132">
        <f t="shared" si="15"/>
        <v>3.356E-2</v>
      </c>
      <c r="N132">
        <v>3.3509999999999998E-2</v>
      </c>
      <c r="O132" s="9">
        <f t="shared" si="11"/>
        <v>-5.0000000000001432E-5</v>
      </c>
      <c r="P132" s="8">
        <f t="shared" si="16"/>
        <v>9.9999999999961231E-6</v>
      </c>
      <c r="R132" s="10">
        <f t="shared" si="12"/>
        <v>-0.50000000000001432</v>
      </c>
    </row>
    <row r="133" spans="1:18" x14ac:dyDescent="0.35">
      <c r="A133" s="3" t="e">
        <v>#N/A</v>
      </c>
      <c r="B133" s="5">
        <v>3.356E-2</v>
      </c>
      <c r="D133">
        <v>3.356E-2</v>
      </c>
      <c r="F133" s="7" t="str">
        <f t="shared" si="13"/>
        <v/>
      </c>
      <c r="G133" s="7">
        <f t="shared" si="14"/>
        <v>0</v>
      </c>
      <c r="K133">
        <v>132</v>
      </c>
      <c r="L133">
        <v>3.354E-2</v>
      </c>
      <c r="M133">
        <f t="shared" si="15"/>
        <v>3.356E-2</v>
      </c>
      <c r="N133">
        <v>3.3509999999999998E-2</v>
      </c>
      <c r="O133" s="9">
        <f t="shared" si="11"/>
        <v>-5.0000000000001432E-5</v>
      </c>
      <c r="P133" s="8">
        <f t="shared" si="16"/>
        <v>1.9999999999999185E-5</v>
      </c>
      <c r="R133" s="10">
        <f t="shared" si="12"/>
        <v>-0.50000000000001432</v>
      </c>
    </row>
    <row r="134" spans="1:18" x14ac:dyDescent="0.35">
      <c r="A134" s="3" t="e">
        <v>#N/A</v>
      </c>
      <c r="B134" s="5">
        <v>3.3550000000000003E-2</v>
      </c>
      <c r="D134">
        <v>3.3550000000000003E-2</v>
      </c>
      <c r="F134" s="7" t="str">
        <f t="shared" si="13"/>
        <v/>
      </c>
      <c r="G134" s="7">
        <f t="shared" si="14"/>
        <v>0</v>
      </c>
      <c r="K134">
        <v>133</v>
      </c>
      <c r="L134">
        <v>3.354E-2</v>
      </c>
      <c r="M134">
        <f t="shared" si="15"/>
        <v>3.3550000000000003E-2</v>
      </c>
      <c r="N134">
        <v>3.3509999999999998E-2</v>
      </c>
      <c r="O134" s="9">
        <f t="shared" si="11"/>
        <v>-4.0000000000005309E-5</v>
      </c>
      <c r="P134" s="8">
        <f t="shared" si="16"/>
        <v>1.0000000000003062E-5</v>
      </c>
      <c r="R134" s="10">
        <f t="shared" si="12"/>
        <v>-0.40000000000005309</v>
      </c>
    </row>
    <row r="135" spans="1:18" x14ac:dyDescent="0.35">
      <c r="A135" s="3" t="e">
        <v>#N/A</v>
      </c>
      <c r="B135" s="5">
        <v>3.3550000000000003E-2</v>
      </c>
      <c r="D135">
        <v>3.3550000000000003E-2</v>
      </c>
      <c r="F135" s="7" t="str">
        <f t="shared" si="13"/>
        <v/>
      </c>
      <c r="G135" s="7">
        <f t="shared" si="14"/>
        <v>0</v>
      </c>
      <c r="K135">
        <v>134</v>
      </c>
      <c r="L135">
        <v>3.3529999999999997E-2</v>
      </c>
      <c r="M135">
        <f t="shared" si="15"/>
        <v>3.3550000000000003E-2</v>
      </c>
      <c r="N135">
        <v>3.3500000000000002E-2</v>
      </c>
      <c r="O135" s="9">
        <f t="shared" si="11"/>
        <v>-5.0000000000001432E-5</v>
      </c>
      <c r="P135" s="8">
        <f t="shared" si="16"/>
        <v>2.0000000000006124E-5</v>
      </c>
      <c r="R135" s="10">
        <f t="shared" si="12"/>
        <v>-0.50000000000001432</v>
      </c>
    </row>
    <row r="136" spans="1:18" x14ac:dyDescent="0.35">
      <c r="A136" s="3" t="e">
        <v>#N/A</v>
      </c>
      <c r="B136" s="5">
        <v>3.3550000000000003E-2</v>
      </c>
      <c r="D136">
        <v>3.3550000000000003E-2</v>
      </c>
      <c r="F136" s="7" t="str">
        <f t="shared" si="13"/>
        <v/>
      </c>
      <c r="G136" s="7">
        <f t="shared" si="14"/>
        <v>0</v>
      </c>
      <c r="K136">
        <v>135</v>
      </c>
      <c r="L136">
        <v>3.3529999999999997E-2</v>
      </c>
      <c r="M136">
        <f t="shared" si="15"/>
        <v>3.3550000000000003E-2</v>
      </c>
      <c r="N136">
        <v>3.3500000000000002E-2</v>
      </c>
      <c r="O136" s="9">
        <f t="shared" si="11"/>
        <v>-5.0000000000001432E-5</v>
      </c>
      <c r="P136" s="8">
        <f t="shared" si="16"/>
        <v>2.0000000000006124E-5</v>
      </c>
      <c r="R136" s="10">
        <f t="shared" si="12"/>
        <v>-0.50000000000001432</v>
      </c>
    </row>
    <row r="137" spans="1:18" x14ac:dyDescent="0.35">
      <c r="A137" s="3" t="e">
        <v>#N/A</v>
      </c>
      <c r="B137" s="5">
        <v>3.354E-2</v>
      </c>
      <c r="D137">
        <v>3.354E-2</v>
      </c>
      <c r="F137" s="7" t="str">
        <f t="shared" si="13"/>
        <v/>
      </c>
      <c r="G137" s="7">
        <f t="shared" si="14"/>
        <v>0</v>
      </c>
      <c r="K137">
        <v>136</v>
      </c>
      <c r="L137">
        <v>3.3529999999999997E-2</v>
      </c>
      <c r="M137">
        <f t="shared" si="15"/>
        <v>3.354E-2</v>
      </c>
      <c r="N137">
        <v>3.3489999999999999E-2</v>
      </c>
      <c r="O137" s="9">
        <f t="shared" si="11"/>
        <v>-5.0000000000001432E-5</v>
      </c>
      <c r="P137" s="8">
        <f t="shared" si="16"/>
        <v>1.0000000000003062E-5</v>
      </c>
      <c r="R137" s="10">
        <f t="shared" si="12"/>
        <v>-0.50000000000001432</v>
      </c>
    </row>
    <row r="138" spans="1:18" x14ac:dyDescent="0.35">
      <c r="A138" s="3" t="e">
        <v>#N/A</v>
      </c>
      <c r="B138" s="5">
        <v>3.354E-2</v>
      </c>
      <c r="D138">
        <v>3.354E-2</v>
      </c>
      <c r="F138" s="7" t="str">
        <f t="shared" si="13"/>
        <v/>
      </c>
      <c r="G138" s="7">
        <f t="shared" si="14"/>
        <v>0</v>
      </c>
      <c r="K138">
        <v>137</v>
      </c>
      <c r="L138">
        <v>3.3520000000000001E-2</v>
      </c>
      <c r="M138">
        <f t="shared" si="15"/>
        <v>3.354E-2</v>
      </c>
      <c r="N138">
        <v>3.3489999999999999E-2</v>
      </c>
      <c r="O138" s="9">
        <f t="shared" si="11"/>
        <v>-5.0000000000001432E-5</v>
      </c>
      <c r="P138" s="8">
        <f t="shared" si="16"/>
        <v>1.9999999999999185E-5</v>
      </c>
      <c r="R138" s="10">
        <f t="shared" si="12"/>
        <v>-0.50000000000001432</v>
      </c>
    </row>
    <row r="139" spans="1:18" x14ac:dyDescent="0.35">
      <c r="A139" s="3" t="e">
        <v>#N/A</v>
      </c>
      <c r="B139" s="5">
        <v>3.3529999999999997E-2</v>
      </c>
      <c r="D139">
        <v>3.3529999999999997E-2</v>
      </c>
      <c r="F139" s="7" t="str">
        <f t="shared" si="13"/>
        <v/>
      </c>
      <c r="G139" s="7">
        <f t="shared" si="14"/>
        <v>0</v>
      </c>
      <c r="K139">
        <v>138</v>
      </c>
      <c r="L139">
        <v>3.3520000000000001E-2</v>
      </c>
      <c r="M139">
        <f t="shared" si="15"/>
        <v>3.3529999999999997E-2</v>
      </c>
      <c r="N139">
        <v>3.3489999999999999E-2</v>
      </c>
      <c r="O139" s="9">
        <f t="shared" si="11"/>
        <v>-3.999999999999837E-5</v>
      </c>
      <c r="P139" s="8">
        <f t="shared" si="16"/>
        <v>9.9999999999961231E-6</v>
      </c>
      <c r="R139" s="10">
        <f t="shared" si="12"/>
        <v>-0.3999999999999837</v>
      </c>
    </row>
    <row r="140" spans="1:18" x14ac:dyDescent="0.35">
      <c r="A140" s="3" t="e">
        <v>#N/A</v>
      </c>
      <c r="B140" s="5">
        <v>3.3529999999999997E-2</v>
      </c>
      <c r="D140">
        <v>3.3529999999999997E-2</v>
      </c>
      <c r="F140" s="7" t="str">
        <f t="shared" si="13"/>
        <v/>
      </c>
      <c r="G140" s="7">
        <f t="shared" si="14"/>
        <v>0</v>
      </c>
      <c r="K140">
        <v>139</v>
      </c>
      <c r="L140">
        <v>3.3520000000000001E-2</v>
      </c>
      <c r="M140">
        <f t="shared" si="15"/>
        <v>3.3529999999999997E-2</v>
      </c>
      <c r="N140">
        <v>3.3480000000000003E-2</v>
      </c>
      <c r="O140" s="9">
        <f t="shared" si="11"/>
        <v>-4.9999999999994493E-5</v>
      </c>
      <c r="P140" s="8">
        <f t="shared" si="16"/>
        <v>9.9999999999961231E-6</v>
      </c>
      <c r="R140" s="10">
        <f t="shared" si="12"/>
        <v>-0.49999999999994493</v>
      </c>
    </row>
    <row r="141" spans="1:18" x14ac:dyDescent="0.35">
      <c r="A141" s="3" t="e">
        <v>#N/A</v>
      </c>
      <c r="B141" s="5">
        <v>3.3529999999999997E-2</v>
      </c>
      <c r="D141">
        <v>3.3529999999999997E-2</v>
      </c>
      <c r="F141" s="7" t="str">
        <f t="shared" si="13"/>
        <v/>
      </c>
      <c r="G141" s="7">
        <f t="shared" si="14"/>
        <v>0</v>
      </c>
      <c r="K141">
        <v>140</v>
      </c>
      <c r="L141">
        <v>3.3509999999999998E-2</v>
      </c>
      <c r="M141">
        <f t="shared" si="15"/>
        <v>3.3529999999999997E-2</v>
      </c>
      <c r="N141">
        <v>3.3480000000000003E-2</v>
      </c>
      <c r="O141" s="9">
        <f t="shared" si="11"/>
        <v>-4.9999999999994493E-5</v>
      </c>
      <c r="P141" s="8">
        <f t="shared" si="16"/>
        <v>1.9999999999999185E-5</v>
      </c>
      <c r="R141" s="10">
        <f t="shared" si="12"/>
        <v>-0.49999999999994493</v>
      </c>
    </row>
    <row r="142" spans="1:18" x14ac:dyDescent="0.35">
      <c r="A142" s="3" t="e">
        <v>#N/A</v>
      </c>
      <c r="B142" s="5">
        <v>3.3520000000000001E-2</v>
      </c>
      <c r="D142">
        <v>3.3520000000000001E-2</v>
      </c>
      <c r="F142" s="7" t="str">
        <f t="shared" si="13"/>
        <v/>
      </c>
      <c r="G142" s="7">
        <f t="shared" si="14"/>
        <v>0</v>
      </c>
      <c r="K142">
        <v>141</v>
      </c>
      <c r="L142">
        <v>3.3509999999999998E-2</v>
      </c>
      <c r="M142">
        <f t="shared" si="15"/>
        <v>3.3520000000000001E-2</v>
      </c>
      <c r="N142">
        <v>3.3480000000000003E-2</v>
      </c>
      <c r="O142" s="9">
        <f t="shared" si="11"/>
        <v>-3.999999999999837E-5</v>
      </c>
      <c r="P142" s="8">
        <f t="shared" si="16"/>
        <v>1.0000000000003062E-5</v>
      </c>
      <c r="R142" s="10">
        <f t="shared" si="12"/>
        <v>-0.3999999999999837</v>
      </c>
    </row>
    <row r="143" spans="1:18" x14ac:dyDescent="0.35">
      <c r="A143" s="3" t="e">
        <v>#N/A</v>
      </c>
      <c r="B143" s="5">
        <v>3.3520000000000001E-2</v>
      </c>
      <c r="D143">
        <v>3.3520000000000001E-2</v>
      </c>
      <c r="F143" s="7" t="str">
        <f t="shared" si="13"/>
        <v/>
      </c>
      <c r="G143" s="7">
        <f t="shared" si="14"/>
        <v>0</v>
      </c>
      <c r="K143">
        <v>142</v>
      </c>
      <c r="L143">
        <v>3.3500000000000002E-2</v>
      </c>
      <c r="M143">
        <f t="shared" si="15"/>
        <v>3.3520000000000001E-2</v>
      </c>
      <c r="N143">
        <v>3.347E-2</v>
      </c>
      <c r="O143" s="9">
        <f t="shared" si="11"/>
        <v>-5.0000000000001432E-5</v>
      </c>
      <c r="P143" s="8">
        <f t="shared" si="16"/>
        <v>1.9999999999999185E-5</v>
      </c>
      <c r="R143" s="10">
        <f t="shared" si="12"/>
        <v>-0.50000000000001432</v>
      </c>
    </row>
    <row r="144" spans="1:18" x14ac:dyDescent="0.35">
      <c r="A144" s="3" t="e">
        <v>#N/A</v>
      </c>
      <c r="B144" s="5">
        <v>3.3520000000000001E-2</v>
      </c>
      <c r="D144">
        <v>3.3520000000000001E-2</v>
      </c>
      <c r="F144" s="7" t="str">
        <f t="shared" si="13"/>
        <v/>
      </c>
      <c r="G144" s="7">
        <f t="shared" si="14"/>
        <v>0</v>
      </c>
      <c r="K144">
        <v>143</v>
      </c>
      <c r="L144">
        <v>3.3500000000000002E-2</v>
      </c>
      <c r="M144">
        <f t="shared" si="15"/>
        <v>3.3520000000000001E-2</v>
      </c>
      <c r="N144">
        <v>3.347E-2</v>
      </c>
      <c r="O144" s="9">
        <f t="shared" si="11"/>
        <v>-5.0000000000001432E-5</v>
      </c>
      <c r="P144" s="8">
        <f t="shared" si="16"/>
        <v>1.9999999999999185E-5</v>
      </c>
      <c r="R144" s="10">
        <f t="shared" si="12"/>
        <v>-0.50000000000001432</v>
      </c>
    </row>
    <row r="145" spans="1:18" x14ac:dyDescent="0.35">
      <c r="A145" s="3" t="e">
        <v>#N/A</v>
      </c>
      <c r="B145" s="5">
        <v>3.3509999999999998E-2</v>
      </c>
      <c r="D145">
        <v>3.3509999999999998E-2</v>
      </c>
      <c r="F145" s="7" t="str">
        <f t="shared" si="13"/>
        <v/>
      </c>
      <c r="G145" s="7">
        <f t="shared" si="14"/>
        <v>0</v>
      </c>
      <c r="K145">
        <v>144</v>
      </c>
      <c r="L145">
        <v>3.3500000000000002E-2</v>
      </c>
      <c r="M145">
        <f t="shared" si="15"/>
        <v>3.3509999999999998E-2</v>
      </c>
      <c r="N145">
        <v>3.347E-2</v>
      </c>
      <c r="O145" s="9">
        <f t="shared" si="11"/>
        <v>-3.999999999999837E-5</v>
      </c>
      <c r="P145" s="8">
        <f t="shared" si="16"/>
        <v>9.9999999999961231E-6</v>
      </c>
      <c r="R145" s="10">
        <f t="shared" si="12"/>
        <v>-0.3999999999999837</v>
      </c>
    </row>
    <row r="146" spans="1:18" x14ac:dyDescent="0.35">
      <c r="A146" s="3" t="e">
        <v>#N/A</v>
      </c>
      <c r="B146" s="5">
        <v>3.3509999999999998E-2</v>
      </c>
      <c r="D146">
        <v>3.3509999999999998E-2</v>
      </c>
      <c r="F146" s="7" t="str">
        <f t="shared" si="13"/>
        <v/>
      </c>
      <c r="G146" s="7">
        <f t="shared" si="14"/>
        <v>0</v>
      </c>
      <c r="K146">
        <v>145</v>
      </c>
      <c r="L146">
        <v>3.3489999999999999E-2</v>
      </c>
      <c r="M146">
        <f t="shared" si="15"/>
        <v>3.3509999999999998E-2</v>
      </c>
      <c r="N146">
        <v>3.3459999999999997E-2</v>
      </c>
      <c r="O146" s="9">
        <f t="shared" si="11"/>
        <v>-5.0000000000001432E-5</v>
      </c>
      <c r="P146" s="8">
        <f t="shared" si="16"/>
        <v>1.9999999999999185E-5</v>
      </c>
      <c r="R146" s="10">
        <f t="shared" si="12"/>
        <v>-0.50000000000001432</v>
      </c>
    </row>
    <row r="147" spans="1:18" x14ac:dyDescent="0.35">
      <c r="A147" s="3" t="e">
        <v>#N/A</v>
      </c>
      <c r="B147" s="5">
        <v>3.3509999999999998E-2</v>
      </c>
      <c r="D147">
        <v>3.3509999999999998E-2</v>
      </c>
      <c r="F147" s="7" t="str">
        <f t="shared" si="13"/>
        <v/>
      </c>
      <c r="G147" s="7">
        <f t="shared" si="14"/>
        <v>0</v>
      </c>
      <c r="K147">
        <v>146</v>
      </c>
      <c r="L147">
        <v>3.3489999999999999E-2</v>
      </c>
      <c r="M147">
        <f t="shared" si="15"/>
        <v>3.3509999999999998E-2</v>
      </c>
      <c r="N147">
        <v>3.3459999999999997E-2</v>
      </c>
      <c r="O147" s="9">
        <f t="shared" si="11"/>
        <v>-5.0000000000001432E-5</v>
      </c>
      <c r="P147" s="8">
        <f t="shared" si="16"/>
        <v>1.9999999999999185E-5</v>
      </c>
      <c r="R147" s="10">
        <f t="shared" si="12"/>
        <v>-0.50000000000001432</v>
      </c>
    </row>
    <row r="148" spans="1:18" x14ac:dyDescent="0.35">
      <c r="A148" s="3" t="e">
        <v>#N/A</v>
      </c>
      <c r="B148" s="5">
        <v>3.3500000000000002E-2</v>
      </c>
      <c r="D148">
        <v>3.3500000000000002E-2</v>
      </c>
      <c r="F148" s="7" t="str">
        <f t="shared" si="13"/>
        <v/>
      </c>
      <c r="G148" s="7">
        <f t="shared" si="14"/>
        <v>0</v>
      </c>
      <c r="K148">
        <v>147</v>
      </c>
      <c r="L148">
        <v>3.3489999999999999E-2</v>
      </c>
      <c r="M148">
        <f t="shared" si="15"/>
        <v>3.3500000000000002E-2</v>
      </c>
      <c r="N148">
        <v>3.3459999999999997E-2</v>
      </c>
      <c r="O148" s="9">
        <f t="shared" si="11"/>
        <v>-4.0000000000005309E-5</v>
      </c>
      <c r="P148" s="8">
        <f t="shared" si="16"/>
        <v>1.0000000000003062E-5</v>
      </c>
      <c r="R148" s="10">
        <f t="shared" si="12"/>
        <v>-0.40000000000005309</v>
      </c>
    </row>
    <row r="149" spans="1:18" x14ac:dyDescent="0.35">
      <c r="A149" s="3" t="e">
        <v>#N/A</v>
      </c>
      <c r="B149" s="5">
        <v>3.3500000000000002E-2</v>
      </c>
      <c r="D149">
        <v>3.3500000000000002E-2</v>
      </c>
      <c r="F149" s="7" t="str">
        <f t="shared" si="13"/>
        <v/>
      </c>
      <c r="G149" s="7">
        <f t="shared" si="14"/>
        <v>0</v>
      </c>
      <c r="K149">
        <v>148</v>
      </c>
      <c r="L149">
        <v>3.3480000000000003E-2</v>
      </c>
      <c r="M149">
        <f t="shared" si="15"/>
        <v>3.3500000000000002E-2</v>
      </c>
      <c r="N149">
        <v>3.3450000000000001E-2</v>
      </c>
      <c r="O149" s="9">
        <f t="shared" si="11"/>
        <v>-5.0000000000001432E-5</v>
      </c>
      <c r="P149" s="8">
        <f t="shared" si="16"/>
        <v>1.9999999999999185E-5</v>
      </c>
      <c r="R149" s="10">
        <f t="shared" si="12"/>
        <v>-0.50000000000001432</v>
      </c>
    </row>
    <row r="150" spans="1:18" x14ac:dyDescent="0.35">
      <c r="A150" s="3" t="e">
        <v>#N/A</v>
      </c>
      <c r="B150" s="5">
        <v>3.3500000000000002E-2</v>
      </c>
      <c r="D150">
        <v>3.3500000000000002E-2</v>
      </c>
      <c r="F150" s="7" t="str">
        <f t="shared" si="13"/>
        <v/>
      </c>
      <c r="G150" s="7">
        <f t="shared" si="14"/>
        <v>0</v>
      </c>
      <c r="K150">
        <v>149</v>
      </c>
      <c r="L150">
        <v>3.3480000000000003E-2</v>
      </c>
      <c r="M150">
        <f t="shared" si="15"/>
        <v>3.3500000000000002E-2</v>
      </c>
      <c r="N150">
        <v>3.3450000000000001E-2</v>
      </c>
      <c r="O150" s="9">
        <f t="shared" si="11"/>
        <v>-5.0000000000001432E-5</v>
      </c>
      <c r="P150" s="8">
        <f t="shared" si="16"/>
        <v>1.9999999999999185E-5</v>
      </c>
      <c r="R150" s="10">
        <f t="shared" si="12"/>
        <v>-0.50000000000001432</v>
      </c>
    </row>
    <row r="151" spans="1:18" x14ac:dyDescent="0.35">
      <c r="A151" s="3" t="e">
        <v>#N/A</v>
      </c>
      <c r="B151" s="6">
        <v>3.3489999999999999E-2</v>
      </c>
      <c r="D151">
        <v>3.3489999999999999E-2</v>
      </c>
      <c r="F151" s="7" t="str">
        <f t="shared" si="13"/>
        <v/>
      </c>
      <c r="G151" s="7">
        <f t="shared" si="14"/>
        <v>0</v>
      </c>
      <c r="K151">
        <v>150</v>
      </c>
      <c r="L151">
        <v>3.3480000000000003E-2</v>
      </c>
      <c r="M151">
        <f t="shared" si="15"/>
        <v>3.3489999999999999E-2</v>
      </c>
      <c r="N151">
        <v>3.3450000000000001E-2</v>
      </c>
      <c r="O151" s="9">
        <f t="shared" si="11"/>
        <v>-3.999999999999837E-5</v>
      </c>
      <c r="P151" s="8">
        <f t="shared" si="16"/>
        <v>9.9999999999961231E-6</v>
      </c>
      <c r="R151" s="10">
        <f t="shared" si="12"/>
        <v>-0.3999999999999837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EUR_Phasing_in</vt:lpstr>
      <vt:lpstr>R.BASECURVE</vt:lpstr>
      <vt:lpstr>R.BOOTSTRAPPED_CURVE</vt:lpstr>
      <vt:lpstr>R.DLT</vt:lpstr>
      <vt:lpstr>R.MATURITY</vt:lpstr>
      <vt:lpstr>V.ALPHA</vt:lpstr>
      <vt:lpstr>V.COUPON_FREQ</vt:lpstr>
      <vt:lpstr>V.CRA</vt:lpstr>
      <vt:lpstr>V.EXTRAPOLATION_SELECTED</vt:lpstr>
      <vt:lpstr>V.FSP</vt:lpstr>
      <vt:lpstr>V.INSTRUMENT</vt:lpstr>
      <vt:lpstr>V.LLFR</vt:lpstr>
      <vt:lpstr>V.UFR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2026-10-10T03:38:10Z</dcterms:created>
  <dcterms:modified xsi:type="dcterms:W3CDTF">2026-10-19T05:52:51Z</dcterms:modified>
</cp:coreProperties>
</file>