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Sources/"/>
    </mc:Choice>
  </mc:AlternateContent>
  <xr:revisionPtr revIDLastSave="26" documentId="8_{E00728B7-6ED5-4542-88DB-7B9E6EF32F3B}" xr6:coauthVersionLast="47" xr6:coauthVersionMax="47" xr10:uidLastSave="{6939A5E1-06CA-4FFD-907C-02E8C4A71A88}"/>
  <bookViews>
    <workbookView xWindow="-110" yWindow="-110" windowWidth="25820" windowHeight="1550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5" l="1"/>
  <c r="L11" i="6" l="1"/>
  <c r="J55" i="4" l="1"/>
  <c r="H11" i="12"/>
  <c r="H22" i="12" a="1"/>
  <c r="H22" i="11" a="1"/>
  <c r="H11" i="11"/>
  <c r="H10" i="11"/>
  <c r="H10" i="12"/>
  <c r="I22" i="11" a="1"/>
  <c r="I22" i="12" a="1"/>
  <c r="J35" i="12" l="1" a="1"/>
  <c r="J50" i="12" a="1"/>
  <c r="J66" i="12" a="1"/>
  <c r="J82" i="12" a="1"/>
  <c r="J98" i="12" a="1"/>
  <c r="J114" i="12" a="1"/>
  <c r="J130" i="12" a="1"/>
  <c r="J116" i="12" a="1"/>
  <c r="J23" i="12" a="1"/>
  <c r="J36" i="12" a="1"/>
  <c r="J51" i="12" a="1"/>
  <c r="J67" i="12" a="1"/>
  <c r="J83" i="12" a="1"/>
  <c r="J99" i="12" a="1"/>
  <c r="J115" i="12" a="1"/>
  <c r="J131" i="12" a="1"/>
  <c r="J147" i="12" a="1"/>
  <c r="J163" i="12" a="1"/>
  <c r="J118" i="12" a="1"/>
  <c r="J24" i="12" a="1"/>
  <c r="J37" i="12" a="1"/>
  <c r="J52" i="12" a="1"/>
  <c r="J68" i="12" a="1"/>
  <c r="J148" i="12" a="1"/>
  <c r="J89" i="12" a="1"/>
  <c r="J38" i="12" a="1"/>
  <c r="J53" i="12" a="1"/>
  <c r="J69" i="12" a="1"/>
  <c r="J85" i="12" a="1"/>
  <c r="J101" i="12" a="1"/>
  <c r="J117" i="12" a="1"/>
  <c r="J133" i="12" a="1"/>
  <c r="J149" i="12" a="1"/>
  <c r="J165" i="12" a="1"/>
  <c r="J25" i="12" a="1"/>
  <c r="J26" i="12" a="1"/>
  <c r="J40" i="12" a="1"/>
  <c r="J55" i="12" a="1"/>
  <c r="J71" i="12" a="1"/>
  <c r="J87" i="12" a="1"/>
  <c r="J103" i="12" a="1"/>
  <c r="J119" i="12" a="1"/>
  <c r="J135" i="12" a="1"/>
  <c r="J151" i="12" a="1"/>
  <c r="J167" i="12" a="1"/>
  <c r="J27" i="12" a="1"/>
  <c r="J56" i="12" a="1"/>
  <c r="J72" i="12" a="1"/>
  <c r="J88" i="12" a="1"/>
  <c r="J104" i="12" a="1"/>
  <c r="J120" i="12" a="1"/>
  <c r="J136" i="12" a="1"/>
  <c r="J152" i="12" a="1"/>
  <c r="J168" i="12" a="1"/>
  <c r="J28" i="12" a="1"/>
  <c r="J42" i="12" a="1"/>
  <c r="J58" i="12" a="1"/>
  <c r="J74" i="12" a="1"/>
  <c r="J90" i="12" a="1"/>
  <c r="J106" i="12" a="1"/>
  <c r="J122" i="12" a="1"/>
  <c r="J138" i="12" a="1"/>
  <c r="J154" i="12" a="1"/>
  <c r="J170" i="12" a="1"/>
  <c r="J97" i="12" a="1"/>
  <c r="J161" i="12" a="1"/>
  <c r="J132" i="12" a="1"/>
  <c r="J134" i="12" a="1"/>
  <c r="J73" i="12" a="1"/>
  <c r="J29" i="12" a="1"/>
  <c r="J43" i="12" a="1"/>
  <c r="J59" i="12" a="1"/>
  <c r="J75" i="12" a="1"/>
  <c r="J91" i="12" a="1"/>
  <c r="J107" i="12" a="1"/>
  <c r="J123" i="12" a="1"/>
  <c r="J139" i="12" a="1"/>
  <c r="J155" i="12" a="1"/>
  <c r="J171" i="12" a="1"/>
  <c r="J145" i="12" a="1"/>
  <c r="J100" i="12" a="1"/>
  <c r="J150" i="12" a="1"/>
  <c r="J41" i="12" a="1"/>
  <c r="J30" i="12" a="1"/>
  <c r="J44" i="12" a="1"/>
  <c r="J60" i="12" a="1"/>
  <c r="J76" i="12" a="1"/>
  <c r="J92" i="12" a="1"/>
  <c r="J108" i="12" a="1"/>
  <c r="J124" i="12" a="1"/>
  <c r="J140" i="12" a="1"/>
  <c r="J156" i="12" a="1"/>
  <c r="J146" i="12" a="1"/>
  <c r="J102" i="12" a="1"/>
  <c r="J153" i="12" a="1"/>
  <c r="J31" i="12" a="1"/>
  <c r="J45" i="12" a="1"/>
  <c r="J61" i="12" a="1"/>
  <c r="J77" i="12" a="1"/>
  <c r="J93" i="12" a="1"/>
  <c r="J109" i="12" a="1"/>
  <c r="J125" i="12" a="1"/>
  <c r="J141" i="12" a="1"/>
  <c r="J157" i="12" a="1"/>
  <c r="J113" i="12" a="1"/>
  <c r="J39" i="12" a="1"/>
  <c r="J137" i="12" a="1"/>
  <c r="J32" i="12" a="1"/>
  <c r="J46" i="12" a="1"/>
  <c r="J62" i="12" a="1"/>
  <c r="J78" i="12" a="1"/>
  <c r="J94" i="12" a="1"/>
  <c r="J110" i="12" a="1"/>
  <c r="J126" i="12" a="1"/>
  <c r="J142" i="12" a="1"/>
  <c r="J158" i="12" a="1"/>
  <c r="J129" i="12" a="1"/>
  <c r="J164" i="12" a="1"/>
  <c r="J166" i="12" a="1"/>
  <c r="J121" i="12" a="1"/>
  <c r="J47" i="12" a="1"/>
  <c r="J63" i="12" a="1"/>
  <c r="J79" i="12" a="1"/>
  <c r="J95" i="12" a="1"/>
  <c r="J111" i="12" a="1"/>
  <c r="J127" i="12" a="1"/>
  <c r="J143" i="12" a="1"/>
  <c r="J159" i="12" a="1"/>
  <c r="J162" i="12" a="1"/>
  <c r="J86" i="12" a="1"/>
  <c r="J169" i="12" a="1"/>
  <c r="J33" i="12" a="1"/>
  <c r="J48" i="12" a="1"/>
  <c r="J64" i="12" a="1"/>
  <c r="J80" i="12" a="1"/>
  <c r="J96" i="12" a="1"/>
  <c r="J112" i="12" a="1"/>
  <c r="J128" i="12" a="1"/>
  <c r="J144" i="12" a="1"/>
  <c r="J160" i="12" a="1"/>
  <c r="J65" i="12" a="1"/>
  <c r="J84" i="12" a="1"/>
  <c r="J70" i="12" a="1"/>
  <c r="J57" i="12" a="1"/>
  <c r="J34" i="12" a="1"/>
  <c r="J49" i="12" a="1"/>
  <c r="J81" i="12" a="1"/>
  <c r="J54" i="12" a="1"/>
  <c r="J105" i="12" a="1"/>
  <c r="J22" i="12" s="1" a="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K169" i="11" s="1"/>
  <c r="J165" i="11" a="1"/>
  <c r="K165" i="11" s="1"/>
  <c r="J161" i="11" a="1"/>
  <c r="K161" i="11" s="1"/>
  <c r="J157" i="11" a="1"/>
  <c r="K157" i="11" s="1"/>
  <c r="J153" i="11" a="1"/>
  <c r="K153" i="11" s="1"/>
  <c r="J149" i="11" a="1"/>
  <c r="K149" i="11" s="1"/>
  <c r="J145" i="11" a="1"/>
  <c r="K145" i="11" s="1"/>
  <c r="J141" i="11" a="1"/>
  <c r="K141" i="11" s="1"/>
  <c r="J137" i="11" a="1"/>
  <c r="K137" i="11" s="1"/>
  <c r="J133" i="11" a="1"/>
  <c r="K133" i="11" s="1"/>
  <c r="J129" i="11" a="1"/>
  <c r="K129" i="11" s="1"/>
  <c r="J125" i="11" a="1"/>
  <c r="K125" i="11" s="1"/>
  <c r="J121" i="11" a="1"/>
  <c r="K121" i="11" s="1"/>
  <c r="J70" i="11" a="1"/>
  <c r="K70" i="11" s="1"/>
  <c r="J66" i="11" a="1"/>
  <c r="K66" i="11" s="1"/>
  <c r="J62" i="11" a="1"/>
  <c r="K62" i="11" s="1"/>
  <c r="J47" i="11" a="1"/>
  <c r="K47" i="11" s="1"/>
  <c r="J40" i="11" a="1"/>
  <c r="K40" i="11" s="1"/>
  <c r="J36" i="11" a="1"/>
  <c r="K36" i="11" s="1"/>
  <c r="J33" i="11" a="1"/>
  <c r="K33" i="11" s="1"/>
  <c r="J25" i="11" a="1"/>
  <c r="K25" i="11" s="1"/>
  <c r="J170" i="11" a="1"/>
  <c r="K170" i="11" s="1"/>
  <c r="J166" i="11" a="1"/>
  <c r="K166" i="11" s="1"/>
  <c r="J162" i="11" a="1"/>
  <c r="K162" i="11" s="1"/>
  <c r="J158" i="11" a="1"/>
  <c r="K158" i="11" s="1"/>
  <c r="J154" i="11" a="1"/>
  <c r="K154" i="11" s="1"/>
  <c r="J150" i="11" a="1"/>
  <c r="K150" i="11" s="1"/>
  <c r="J146" i="11" a="1"/>
  <c r="K146" i="11" s="1"/>
  <c r="J142" i="11" a="1"/>
  <c r="K142" i="11" s="1"/>
  <c r="J138" i="11" a="1"/>
  <c r="K138" i="11" s="1"/>
  <c r="J134" i="11" a="1"/>
  <c r="K134" i="11" s="1"/>
  <c r="J130" i="11" a="1"/>
  <c r="K130" i="11" s="1"/>
  <c r="J126" i="11" a="1"/>
  <c r="K126" i="11" s="1"/>
  <c r="J122" i="11" a="1"/>
  <c r="K122" i="11" s="1"/>
  <c r="J118" i="11" a="1"/>
  <c r="K118" i="11" s="1"/>
  <c r="J114" i="11" a="1"/>
  <c r="K114" i="11" s="1"/>
  <c r="J110" i="11" a="1"/>
  <c r="K110" i="11" s="1"/>
  <c r="J106" i="11" a="1"/>
  <c r="K106" i="11" s="1"/>
  <c r="J102" i="11" a="1"/>
  <c r="K102" i="11" s="1"/>
  <c r="J98" i="11" a="1"/>
  <c r="K98" i="11" s="1"/>
  <c r="J94" i="11" a="1"/>
  <c r="K94" i="11" s="1"/>
  <c r="J90" i="11" a="1"/>
  <c r="K90" i="11" s="1"/>
  <c r="J86" i="11" a="1"/>
  <c r="K86" i="11" s="1"/>
  <c r="J82" i="11" a="1"/>
  <c r="K82" i="11" s="1"/>
  <c r="J78" i="11" a="1"/>
  <c r="K78" i="11" s="1"/>
  <c r="J74" i="11" a="1"/>
  <c r="K74" i="11" s="1"/>
  <c r="J59" i="11" a="1"/>
  <c r="K59" i="11" s="1"/>
  <c r="J55" i="11" a="1"/>
  <c r="K55" i="11" s="1"/>
  <c r="J67" i="11" a="1"/>
  <c r="K67" i="11" s="1"/>
  <c r="J63" i="11" a="1"/>
  <c r="K63" i="11" s="1"/>
  <c r="J48" i="11" a="1"/>
  <c r="K48" i="11" s="1"/>
  <c r="J37" i="11" a="1"/>
  <c r="K37" i="11" s="1"/>
  <c r="J31" i="11" a="1"/>
  <c r="K31" i="11" s="1"/>
  <c r="J23" i="11" a="1"/>
  <c r="K23" i="11" s="1"/>
  <c r="J68" i="11" a="1"/>
  <c r="K68" i="11" s="1"/>
  <c r="J64" i="11" a="1"/>
  <c r="K64" i="11" s="1"/>
  <c r="J49" i="11" a="1"/>
  <c r="K49" i="11" s="1"/>
  <c r="J38" i="11" a="1"/>
  <c r="K38" i="11" s="1"/>
  <c r="J29" i="11" a="1"/>
  <c r="K29" i="11" s="1"/>
  <c r="J168" i="11" a="1"/>
  <c r="K168" i="11" s="1"/>
  <c r="J164" i="11" a="1"/>
  <c r="K164" i="11" s="1"/>
  <c r="J160" i="11" a="1"/>
  <c r="K160" i="11" s="1"/>
  <c r="J156" i="11" a="1"/>
  <c r="K156" i="11" s="1"/>
  <c r="J152" i="11" a="1"/>
  <c r="K152" i="11" s="1"/>
  <c r="J148" i="11" a="1"/>
  <c r="K148" i="11" s="1"/>
  <c r="J144" i="11" a="1"/>
  <c r="K144" i="11" s="1"/>
  <c r="J140" i="11" a="1"/>
  <c r="K140" i="11" s="1"/>
  <c r="J136" i="11" a="1"/>
  <c r="K136" i="11" s="1"/>
  <c r="J132" i="11" a="1"/>
  <c r="K132" i="11" s="1"/>
  <c r="J128" i="11" a="1"/>
  <c r="K128" i="11" s="1"/>
  <c r="J124" i="11" a="1"/>
  <c r="K124" i="11" s="1"/>
  <c r="J120" i="11" a="1"/>
  <c r="K120" i="11" s="1"/>
  <c r="J116" i="11" a="1"/>
  <c r="K116" i="11" s="1"/>
  <c r="J112" i="11" a="1"/>
  <c r="K112" i="11" s="1"/>
  <c r="J108" i="11" a="1"/>
  <c r="K108" i="11" s="1"/>
  <c r="J104" i="11" a="1"/>
  <c r="K104" i="11" s="1"/>
  <c r="J100" i="11" a="1"/>
  <c r="K100" i="11" s="1"/>
  <c r="J96" i="11" a="1"/>
  <c r="K96" i="11" s="1"/>
  <c r="J92" i="11" a="1"/>
  <c r="K92" i="11" s="1"/>
  <c r="J88" i="11" a="1"/>
  <c r="K88" i="11" s="1"/>
  <c r="J84" i="11" a="1"/>
  <c r="K84" i="11" s="1"/>
  <c r="J80" i="11" a="1"/>
  <c r="K80" i="11" s="1"/>
  <c r="J76" i="11" a="1"/>
  <c r="K76" i="11" s="1"/>
  <c r="J171" i="11" a="1"/>
  <c r="K171" i="11" s="1"/>
  <c r="J139" i="11" a="1"/>
  <c r="K139" i="11" s="1"/>
  <c r="J115" i="11" a="1"/>
  <c r="K115" i="11" s="1"/>
  <c r="J107" i="11" a="1"/>
  <c r="K107" i="11" s="1"/>
  <c r="J99" i="11" a="1"/>
  <c r="K99" i="11" s="1"/>
  <c r="M99" i="11" s="1"/>
  <c r="J91" i="11" a="1"/>
  <c r="K91" i="11" s="1"/>
  <c r="J83" i="11" a="1"/>
  <c r="K83" i="11" s="1"/>
  <c r="J75" i="11" a="1"/>
  <c r="K75" i="11" s="1"/>
  <c r="J61" i="11" a="1"/>
  <c r="K61" i="11" s="1"/>
  <c r="J26" i="11" a="1"/>
  <c r="K26" i="11" s="1"/>
  <c r="J167" i="11" a="1"/>
  <c r="K167" i="11" s="1"/>
  <c r="J135" i="11" a="1"/>
  <c r="K135" i="11" s="1"/>
  <c r="J73" i="11" a="1"/>
  <c r="K73" i="11" s="1"/>
  <c r="J56" i="11" a="1"/>
  <c r="K56" i="11" s="1"/>
  <c r="J46" i="11" a="1"/>
  <c r="K46" i="11" s="1"/>
  <c r="J44" i="11" a="1"/>
  <c r="K44" i="11" s="1"/>
  <c r="J22" i="11" a="1"/>
  <c r="K22" i="11" s="1"/>
  <c r="J34" i="11" a="1"/>
  <c r="K34" i="11" s="1"/>
  <c r="J163" i="11" a="1"/>
  <c r="K163" i="11" s="1"/>
  <c r="J131" i="11" a="1"/>
  <c r="K131" i="11" s="1"/>
  <c r="J60" i="11" a="1"/>
  <c r="K60" i="11" s="1"/>
  <c r="J54" i="11" a="1"/>
  <c r="K54" i="11" s="1"/>
  <c r="J52" i="11" a="1"/>
  <c r="K52" i="11" s="1"/>
  <c r="J50" i="11" a="1"/>
  <c r="K50" i="11" s="1"/>
  <c r="J42" i="11" a="1"/>
  <c r="K42" i="11" s="1"/>
  <c r="J28" i="11" a="1"/>
  <c r="K28" i="11" s="1"/>
  <c r="J159" i="11" a="1"/>
  <c r="K159" i="11" s="1"/>
  <c r="J127" i="11" a="1"/>
  <c r="K127" i="11" s="1"/>
  <c r="J117" i="11" a="1"/>
  <c r="K117" i="11" s="1"/>
  <c r="J109" i="11" a="1"/>
  <c r="K109" i="11" s="1"/>
  <c r="J101" i="11" a="1"/>
  <c r="K101" i="11" s="1"/>
  <c r="J93" i="11" a="1"/>
  <c r="K93" i="11" s="1"/>
  <c r="J85" i="11" a="1"/>
  <c r="K85" i="11" s="1"/>
  <c r="J77" i="11" a="1"/>
  <c r="K77" i="11" s="1"/>
  <c r="J65" i="11" a="1"/>
  <c r="K65" i="11" s="1"/>
  <c r="J58" i="11" a="1"/>
  <c r="K58" i="11" s="1"/>
  <c r="J35" i="11" a="1"/>
  <c r="K35" i="11" s="1"/>
  <c r="J113" i="11" a="1"/>
  <c r="K113" i="11" s="1"/>
  <c r="J81" i="11" a="1"/>
  <c r="K81" i="11" s="1"/>
  <c r="M81" i="11" s="1"/>
  <c r="J155" i="11" a="1"/>
  <c r="K155" i="11" s="1"/>
  <c r="J123" i="11" a="1"/>
  <c r="K123" i="11" s="1"/>
  <c r="J111" i="11" a="1"/>
  <c r="K111" i="11" s="1"/>
  <c r="M111" i="11" s="1"/>
  <c r="J103" i="11" a="1"/>
  <c r="K103" i="11" s="1"/>
  <c r="J95" i="11" a="1"/>
  <c r="K95" i="11" s="1"/>
  <c r="J87" i="11" a="1"/>
  <c r="K87" i="11" s="1"/>
  <c r="J79" i="11" a="1"/>
  <c r="K79" i="11" s="1"/>
  <c r="J72" i="11" a="1"/>
  <c r="K72" i="11" s="1"/>
  <c r="J45" i="11" a="1"/>
  <c r="K45" i="11" s="1"/>
  <c r="M45" i="11" s="1"/>
  <c r="J30" i="11" a="1"/>
  <c r="K30" i="11" s="1"/>
  <c r="J41" i="11" a="1"/>
  <c r="K41" i="11" s="1"/>
  <c r="J143" i="11" a="1"/>
  <c r="K143" i="11" s="1"/>
  <c r="J97" i="11" a="1"/>
  <c r="K97" i="11" s="1"/>
  <c r="J89" i="11" a="1"/>
  <c r="K89" i="11" s="1"/>
  <c r="J151" i="11" a="1"/>
  <c r="K151" i="11" s="1"/>
  <c r="J119" i="11" a="1"/>
  <c r="K119" i="11" s="1"/>
  <c r="J39" i="11" a="1"/>
  <c r="K39" i="11" s="1"/>
  <c r="J32" i="11" a="1"/>
  <c r="K32" i="11" s="1"/>
  <c r="J27" i="11" a="1"/>
  <c r="K27" i="11" s="1"/>
  <c r="J53" i="11" a="1"/>
  <c r="K53" i="11" s="1"/>
  <c r="J43" i="11" a="1"/>
  <c r="K43" i="11" s="1"/>
  <c r="J24" i="11" a="1"/>
  <c r="K24" i="11" s="1"/>
  <c r="J105" i="11" a="1"/>
  <c r="K105" i="11" s="1"/>
  <c r="J71" i="11" a="1"/>
  <c r="K71" i="11" s="1"/>
  <c r="J51" i="11" a="1"/>
  <c r="K51" i="11" s="1"/>
  <c r="J147" i="11" a="1"/>
  <c r="K147" i="11" s="1"/>
  <c r="J69" i="11" a="1"/>
  <c r="K69" i="11" s="1"/>
  <c r="J57" i="11" a="1"/>
  <c r="K57" i="11" s="1"/>
  <c r="L19" i="11" a="1"/>
  <c r="M27" i="11" l="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L22" i="11" a="1"/>
  <c r="H13" i="4" a="1"/>
  <c r="I22" i="4"/>
  <c r="K25" i="4" a="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5" i="4" s="1" a="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L13" i="6" s="1"/>
  <c r="H23" i="6" a="1"/>
  <c r="I23" i="6" s="1"/>
  <c r="J23" i="6" s="1"/>
  <c r="H24" i="5" a="1"/>
  <c r="K19" i="12" a="1"/>
  <c r="M91" i="12" l="1"/>
  <c r="M31" i="12"/>
  <c r="M116" i="12"/>
  <c r="M25" i="12"/>
  <c r="M160" i="12"/>
  <c r="M125" i="12"/>
  <c r="I40" i="5"/>
  <c r="I56" i="5"/>
  <c r="I72" i="5"/>
  <c r="I88" i="5"/>
  <c r="I104" i="5"/>
  <c r="J104" i="5" s="1"/>
  <c r="K104" i="5" s="1"/>
  <c r="I120" i="5"/>
  <c r="I136" i="5"/>
  <c r="I152" i="5"/>
  <c r="I168" i="5"/>
  <c r="I69" i="5"/>
  <c r="I149" i="5"/>
  <c r="I86" i="5"/>
  <c r="I134" i="5"/>
  <c r="I71" i="5"/>
  <c r="I25" i="5"/>
  <c r="I41" i="5"/>
  <c r="J41" i="5" s="1"/>
  <c r="K41" i="5" s="1"/>
  <c r="I57" i="5"/>
  <c r="J57" i="5" s="1"/>
  <c r="K57" i="5" s="1"/>
  <c r="I73" i="5"/>
  <c r="J73" i="5" s="1"/>
  <c r="K73" i="5" s="1"/>
  <c r="I89" i="5"/>
  <c r="J89" i="5" s="1"/>
  <c r="K89" i="5" s="1"/>
  <c r="I105" i="5"/>
  <c r="J105" i="5" s="1"/>
  <c r="K105" i="5" s="1"/>
  <c r="I121" i="5"/>
  <c r="J121" i="5" s="1"/>
  <c r="K121" i="5" s="1"/>
  <c r="I137" i="5"/>
  <c r="J137" i="5" s="1"/>
  <c r="K137" i="5" s="1"/>
  <c r="I153" i="5"/>
  <c r="J153" i="5" s="1"/>
  <c r="K153" i="5" s="1"/>
  <c r="I169" i="5"/>
  <c r="J169" i="5" s="1"/>
  <c r="K169" i="5" s="1"/>
  <c r="I126" i="5"/>
  <c r="I31" i="5"/>
  <c r="I95" i="5"/>
  <c r="I159" i="5"/>
  <c r="I96" i="5"/>
  <c r="J96" i="5" s="1"/>
  <c r="K96" i="5" s="1"/>
  <c r="I144" i="5"/>
  <c r="J144" i="5" s="1"/>
  <c r="K144" i="5" s="1"/>
  <c r="I33" i="5"/>
  <c r="I129" i="5"/>
  <c r="I50" i="5"/>
  <c r="I98" i="5"/>
  <c r="I162" i="5"/>
  <c r="I83" i="5"/>
  <c r="I147" i="5"/>
  <c r="I68" i="5"/>
  <c r="I132" i="5"/>
  <c r="I37" i="5"/>
  <c r="I101" i="5"/>
  <c r="J101" i="5" s="1"/>
  <c r="K101" i="5" s="1"/>
  <c r="I165" i="5"/>
  <c r="I102" i="5"/>
  <c r="J102" i="5" s="1"/>
  <c r="K102" i="5" s="1"/>
  <c r="I118" i="5"/>
  <c r="I39" i="5"/>
  <c r="I103" i="5"/>
  <c r="J103" i="5" s="1"/>
  <c r="K103" i="5" s="1"/>
  <c r="I167" i="5"/>
  <c r="I26" i="5"/>
  <c r="J26" i="5" s="1"/>
  <c r="K26" i="5" s="1"/>
  <c r="I42" i="5"/>
  <c r="J42" i="5" s="1"/>
  <c r="K42" i="5" s="1"/>
  <c r="I58" i="5"/>
  <c r="J58" i="5" s="1"/>
  <c r="K58" i="5" s="1"/>
  <c r="I74" i="5"/>
  <c r="J74" i="5" s="1"/>
  <c r="K74" i="5" s="1"/>
  <c r="I90" i="5"/>
  <c r="J90" i="5" s="1"/>
  <c r="K90" i="5" s="1"/>
  <c r="I106" i="5"/>
  <c r="J106" i="5" s="1"/>
  <c r="K106" i="5" s="1"/>
  <c r="I122" i="5"/>
  <c r="J122" i="5" s="1"/>
  <c r="K122" i="5" s="1"/>
  <c r="I138" i="5"/>
  <c r="J138" i="5" s="1"/>
  <c r="K138" i="5" s="1"/>
  <c r="I154" i="5"/>
  <c r="J154" i="5" s="1"/>
  <c r="K154" i="5" s="1"/>
  <c r="I170" i="5"/>
  <c r="J170" i="5" s="1"/>
  <c r="K170" i="5" s="1"/>
  <c r="I61" i="5"/>
  <c r="I109" i="5"/>
  <c r="I157" i="5"/>
  <c r="I62" i="5"/>
  <c r="J62" i="5" s="1"/>
  <c r="K62" i="5" s="1"/>
  <c r="I78" i="5"/>
  <c r="I158" i="5"/>
  <c r="J158" i="5" s="1"/>
  <c r="K158" i="5" s="1"/>
  <c r="I47" i="5"/>
  <c r="I111" i="5"/>
  <c r="I32" i="5"/>
  <c r="J32" i="5" s="1"/>
  <c r="K32" i="5" s="1"/>
  <c r="I64" i="5"/>
  <c r="I112" i="5"/>
  <c r="J112" i="5" s="1"/>
  <c r="K112" i="5" s="1"/>
  <c r="I81" i="5"/>
  <c r="I145" i="5"/>
  <c r="J145" i="5" s="1"/>
  <c r="K145" i="5" s="1"/>
  <c r="I66" i="5"/>
  <c r="I146" i="5"/>
  <c r="J146" i="5" s="1"/>
  <c r="K146" i="5" s="1"/>
  <c r="I67" i="5"/>
  <c r="J67" i="5" s="1"/>
  <c r="K67" i="5" s="1"/>
  <c r="I99" i="5"/>
  <c r="J99" i="5" s="1"/>
  <c r="K99" i="5" s="1"/>
  <c r="I36" i="5"/>
  <c r="I116" i="5"/>
  <c r="I53" i="5"/>
  <c r="I133" i="5"/>
  <c r="J133" i="5" s="1"/>
  <c r="K133" i="5" s="1"/>
  <c r="I70" i="5"/>
  <c r="J70" i="5" s="1"/>
  <c r="K70" i="5" s="1"/>
  <c r="I166" i="5"/>
  <c r="J166" i="5" s="1"/>
  <c r="K166" i="5" s="1"/>
  <c r="I119" i="5"/>
  <c r="I27" i="5"/>
  <c r="J27" i="5" s="1"/>
  <c r="K27" i="5" s="1"/>
  <c r="I43" i="5"/>
  <c r="J43" i="5" s="1"/>
  <c r="K43" i="5" s="1"/>
  <c r="K20" i="5" s="1" a="1"/>
  <c r="I59" i="5"/>
  <c r="J59" i="5" s="1"/>
  <c r="K59" i="5" s="1"/>
  <c r="I75" i="5"/>
  <c r="J75" i="5" s="1"/>
  <c r="K75" i="5" s="1"/>
  <c r="I91" i="5"/>
  <c r="J91" i="5" s="1"/>
  <c r="K91" i="5" s="1"/>
  <c r="I107" i="5"/>
  <c r="J107" i="5" s="1"/>
  <c r="K107" i="5" s="1"/>
  <c r="I123" i="5"/>
  <c r="J123" i="5" s="1"/>
  <c r="K123" i="5" s="1"/>
  <c r="I139" i="5"/>
  <c r="J139" i="5" s="1"/>
  <c r="K139" i="5" s="1"/>
  <c r="I155" i="5"/>
  <c r="J155" i="5" s="1"/>
  <c r="K155" i="5" s="1"/>
  <c r="I171" i="5"/>
  <c r="J171" i="5" s="1"/>
  <c r="K171" i="5" s="1"/>
  <c r="I29" i="5"/>
  <c r="I77" i="5"/>
  <c r="I125" i="5"/>
  <c r="I173" i="5"/>
  <c r="I30" i="5"/>
  <c r="J30" i="5" s="1"/>
  <c r="K30" i="5" s="1"/>
  <c r="I110" i="5"/>
  <c r="J110" i="5" s="1"/>
  <c r="K110" i="5" s="1"/>
  <c r="I142" i="5"/>
  <c r="J142" i="5" s="1"/>
  <c r="K142" i="5" s="1"/>
  <c r="I79" i="5"/>
  <c r="J79" i="5" s="1"/>
  <c r="K79" i="5" s="1"/>
  <c r="I143" i="5"/>
  <c r="I80" i="5"/>
  <c r="I160" i="5"/>
  <c r="J160" i="5" s="1"/>
  <c r="K160" i="5" s="1"/>
  <c r="I49" i="5"/>
  <c r="I113" i="5"/>
  <c r="J113" i="5" s="1"/>
  <c r="K113" i="5" s="1"/>
  <c r="I34" i="5"/>
  <c r="J34" i="5" s="1"/>
  <c r="K34" i="5" s="1"/>
  <c r="I82" i="5"/>
  <c r="J82" i="5" s="1"/>
  <c r="K82" i="5" s="1"/>
  <c r="I130" i="5"/>
  <c r="J130" i="5" s="1"/>
  <c r="K130" i="5" s="1"/>
  <c r="I51" i="5"/>
  <c r="J51" i="5" s="1"/>
  <c r="K51" i="5" s="1"/>
  <c r="I115" i="5"/>
  <c r="I163" i="5"/>
  <c r="J163" i="5" s="1"/>
  <c r="K163" i="5" s="1"/>
  <c r="I52" i="5"/>
  <c r="J52" i="5" s="1"/>
  <c r="K52" i="5" s="1"/>
  <c r="I100" i="5"/>
  <c r="J100" i="5" s="1"/>
  <c r="K100" i="5" s="1"/>
  <c r="I164" i="5"/>
  <c r="J164" i="5" s="1"/>
  <c r="K164" i="5" s="1"/>
  <c r="I117" i="5"/>
  <c r="I54" i="5"/>
  <c r="J54" i="5" s="1"/>
  <c r="K54" i="5" s="1"/>
  <c r="I55" i="5"/>
  <c r="I135" i="5"/>
  <c r="I28" i="5"/>
  <c r="J28" i="5" s="1"/>
  <c r="K28" i="5" s="1"/>
  <c r="I44" i="5"/>
  <c r="J44" i="5" s="1"/>
  <c r="K44" i="5" s="1"/>
  <c r="I60" i="5"/>
  <c r="J60" i="5" s="1"/>
  <c r="K60" i="5" s="1"/>
  <c r="I76" i="5"/>
  <c r="J76" i="5" s="1"/>
  <c r="K76" i="5" s="1"/>
  <c r="I92" i="5"/>
  <c r="J92" i="5" s="1"/>
  <c r="K92" i="5" s="1"/>
  <c r="I108" i="5"/>
  <c r="I124" i="5"/>
  <c r="J124" i="5" s="1"/>
  <c r="K124" i="5" s="1"/>
  <c r="I140" i="5"/>
  <c r="J140" i="5" s="1"/>
  <c r="K140" i="5" s="1"/>
  <c r="I156" i="5"/>
  <c r="J156" i="5" s="1"/>
  <c r="K156" i="5" s="1"/>
  <c r="I172" i="5"/>
  <c r="J172" i="5" s="1"/>
  <c r="K172" i="5" s="1"/>
  <c r="I45" i="5"/>
  <c r="J45" i="5" s="1"/>
  <c r="K45" i="5" s="1"/>
  <c r="I93" i="5"/>
  <c r="I141" i="5"/>
  <c r="I46" i="5"/>
  <c r="I94" i="5"/>
  <c r="J94" i="5" s="1"/>
  <c r="K94" i="5" s="1"/>
  <c r="I63" i="5"/>
  <c r="J63" i="5" s="1"/>
  <c r="K63" i="5" s="1"/>
  <c r="I127" i="5"/>
  <c r="J127" i="5" s="1"/>
  <c r="K127" i="5" s="1"/>
  <c r="I48" i="5"/>
  <c r="J48" i="5" s="1"/>
  <c r="K48" i="5" s="1"/>
  <c r="I128" i="5"/>
  <c r="I65" i="5"/>
  <c r="J65" i="5" s="1"/>
  <c r="K65" i="5" s="1"/>
  <c r="I97" i="5"/>
  <c r="J97" i="5" s="1"/>
  <c r="K97" i="5" s="1"/>
  <c r="I161" i="5"/>
  <c r="J161" i="5" s="1"/>
  <c r="K161" i="5" s="1"/>
  <c r="I114" i="5"/>
  <c r="J114" i="5" s="1"/>
  <c r="K114" i="5" s="1"/>
  <c r="I35" i="5"/>
  <c r="J35" i="5" s="1"/>
  <c r="K35" i="5" s="1"/>
  <c r="I131" i="5"/>
  <c r="J131" i="5" s="1"/>
  <c r="K131" i="5" s="1"/>
  <c r="I84" i="5"/>
  <c r="J84" i="5" s="1"/>
  <c r="K84" i="5" s="1"/>
  <c r="I148" i="5"/>
  <c r="I85" i="5"/>
  <c r="J85" i="5" s="1"/>
  <c r="K85" i="5" s="1"/>
  <c r="I38" i="5"/>
  <c r="J38" i="5" s="1"/>
  <c r="K38" i="5" s="1"/>
  <c r="I150" i="5"/>
  <c r="J150" i="5" s="1"/>
  <c r="K150" i="5" s="1"/>
  <c r="I87" i="5"/>
  <c r="I151" i="5"/>
  <c r="J151" i="5" s="1"/>
  <c r="K151" i="5" s="1"/>
  <c r="M155" i="12"/>
  <c r="M106" i="12"/>
  <c r="M65" i="12"/>
  <c r="M52" i="12"/>
  <c r="M150" i="12"/>
  <c r="M80" i="12"/>
  <c r="M74" i="12"/>
  <c r="M161" i="12"/>
  <c r="M30" i="12"/>
  <c r="M96" i="12"/>
  <c r="M117" i="12"/>
  <c r="M85" i="12"/>
  <c r="M61" i="12"/>
  <c r="M48"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J76" i="6" s="1"/>
  <c r="K76" i="6" s="1"/>
  <c r="I44" i="6"/>
  <c r="I29" i="6"/>
  <c r="I88" i="6"/>
  <c r="I63" i="6"/>
  <c r="J64" i="6" s="1"/>
  <c r="K64" i="6" s="1"/>
  <c r="I172" i="6"/>
  <c r="I162" i="6"/>
  <c r="I152" i="6"/>
  <c r="I163" i="6"/>
  <c r="J163" i="6" s="1"/>
  <c r="K163" i="6" s="1"/>
  <c r="I123" i="6"/>
  <c r="I35" i="6"/>
  <c r="J35" i="6" s="1"/>
  <c r="K35" i="6" s="1"/>
  <c r="I125" i="6"/>
  <c r="J125" i="6" s="1"/>
  <c r="K125" i="6" s="1"/>
  <c r="I98" i="6"/>
  <c r="J98" i="6" s="1"/>
  <c r="K98" i="6" s="1"/>
  <c r="I137" i="6"/>
  <c r="I24" i="6"/>
  <c r="J24" i="6" s="1"/>
  <c r="K24" i="6" s="1"/>
  <c r="I42" i="6"/>
  <c r="J42" i="6" s="1"/>
  <c r="I121" i="6"/>
  <c r="I90" i="6"/>
  <c r="J90" i="6" s="1"/>
  <c r="K90" i="6" s="1"/>
  <c r="I107" i="6"/>
  <c r="J107" i="6" s="1"/>
  <c r="K107" i="6" s="1"/>
  <c r="I96" i="6"/>
  <c r="J96" i="6" s="1"/>
  <c r="K96" i="6" s="1"/>
  <c r="I36" i="6"/>
  <c r="J36" i="6" s="1"/>
  <c r="K36" i="6" s="1"/>
  <c r="I33" i="6"/>
  <c r="J34" i="6" s="1"/>
  <c r="K34" i="6" s="1"/>
  <c r="I102" i="6"/>
  <c r="J102" i="6" s="1"/>
  <c r="K102" i="6" s="1"/>
  <c r="I77" i="6"/>
  <c r="J77" i="6" s="1"/>
  <c r="K77" i="6" s="1"/>
  <c r="I134" i="6"/>
  <c r="J134" i="6" s="1"/>
  <c r="K134" i="6" s="1"/>
  <c r="I155" i="6"/>
  <c r="I101" i="6"/>
  <c r="I160" i="6"/>
  <c r="J160" i="6" s="1"/>
  <c r="K160" i="6" s="1"/>
  <c r="I147" i="6"/>
  <c r="I135" i="6"/>
  <c r="I165" i="6"/>
  <c r="I60" i="6"/>
  <c r="I156" i="6"/>
  <c r="J156" i="6" s="1"/>
  <c r="K156" i="6" s="1"/>
  <c r="I48" i="6"/>
  <c r="I116" i="6"/>
  <c r="J116" i="6" s="1"/>
  <c r="K116" i="6" s="1"/>
  <c r="I132" i="6"/>
  <c r="J132" i="6" s="1"/>
  <c r="K132" i="6" s="1"/>
  <c r="I113" i="6"/>
  <c r="I80" i="6"/>
  <c r="I67" i="6"/>
  <c r="J67" i="6" s="1"/>
  <c r="K67" i="6" s="1"/>
  <c r="I69" i="6"/>
  <c r="I70" i="6"/>
  <c r="J70" i="6" s="1"/>
  <c r="K70" i="6" s="1"/>
  <c r="I124" i="6"/>
  <c r="I171" i="6"/>
  <c r="I55" i="6"/>
  <c r="J55" i="6" s="1"/>
  <c r="K55" i="6" s="1"/>
  <c r="I168" i="6"/>
  <c r="I108" i="6"/>
  <c r="J108" i="6" s="1"/>
  <c r="K108" i="6" s="1"/>
  <c r="I170" i="6"/>
  <c r="J170" i="6" s="1"/>
  <c r="K170" i="6" s="1"/>
  <c r="I78" i="6"/>
  <c r="J78" i="6" s="1"/>
  <c r="K78" i="6" s="1"/>
  <c r="I128" i="6"/>
  <c r="J128" i="6" s="1"/>
  <c r="K128" i="6" s="1"/>
  <c r="I65" i="6"/>
  <c r="J65" i="6" s="1"/>
  <c r="K65" i="6" s="1"/>
  <c r="I91" i="6"/>
  <c r="J91" i="6" s="1"/>
  <c r="K91" i="6" s="1"/>
  <c r="I151" i="6"/>
  <c r="I31" i="6"/>
  <c r="J31" i="6" s="1"/>
  <c r="K31" i="6" s="1"/>
  <c r="I79" i="6"/>
  <c r="J79" i="6" s="1"/>
  <c r="K79" i="6" s="1"/>
  <c r="I93" i="6"/>
  <c r="J93" i="6" s="1"/>
  <c r="K93" i="6" s="1"/>
  <c r="I58" i="6"/>
  <c r="J58" i="6" s="1"/>
  <c r="K58" i="6" s="1"/>
  <c r="I117" i="6"/>
  <c r="J117" i="6" s="1"/>
  <c r="K117" i="6" s="1"/>
  <c r="I47" i="6"/>
  <c r="J47" i="6" s="1"/>
  <c r="K47" i="6" s="1"/>
  <c r="I148" i="6"/>
  <c r="J148" i="6" s="1"/>
  <c r="K148" i="6" s="1"/>
  <c r="I167" i="6"/>
  <c r="I51" i="6"/>
  <c r="I81" i="6"/>
  <c r="J81" i="6" s="1"/>
  <c r="K81" i="6" s="1"/>
  <c r="I112" i="6"/>
  <c r="J112" i="6" s="1"/>
  <c r="K112" i="6" s="1"/>
  <c r="I56" i="6"/>
  <c r="J56" i="6" s="1"/>
  <c r="K56" i="6" s="1"/>
  <c r="I106" i="6"/>
  <c r="J106" i="6" s="1"/>
  <c r="K106" i="6" s="1"/>
  <c r="I38" i="6"/>
  <c r="J38" i="6" s="1"/>
  <c r="K38" i="6" s="1"/>
  <c r="I133" i="6"/>
  <c r="I94" i="6"/>
  <c r="J94" i="6" s="1"/>
  <c r="K94" i="6" s="1"/>
  <c r="I74" i="6"/>
  <c r="I111" i="6"/>
  <c r="J111" i="6" s="1"/>
  <c r="K111" i="6" s="1"/>
  <c r="I87" i="6"/>
  <c r="I144" i="6"/>
  <c r="I115" i="6"/>
  <c r="J115" i="6" s="1"/>
  <c r="K115" i="6" s="1"/>
  <c r="I59" i="6"/>
  <c r="I153" i="6"/>
  <c r="J153" i="6" s="1"/>
  <c r="K153" i="6" s="1"/>
  <c r="I120" i="6"/>
  <c r="I85" i="6"/>
  <c r="J85" i="6" s="1"/>
  <c r="K85" i="6" s="1"/>
  <c r="I157" i="6"/>
  <c r="J157" i="6" s="1"/>
  <c r="K157" i="6" s="1"/>
  <c r="I46" i="6"/>
  <c r="J46" i="6" s="1"/>
  <c r="K46" i="6" s="1"/>
  <c r="I30" i="6"/>
  <c r="J30" i="6" s="1"/>
  <c r="K30" i="6" s="1"/>
  <c r="I150" i="6"/>
  <c r="I130" i="6"/>
  <c r="I66" i="6"/>
  <c r="J66" i="6" s="1"/>
  <c r="K66" i="6" s="1"/>
  <c r="I45" i="6"/>
  <c r="J45" i="6" s="1"/>
  <c r="K45" i="6" s="1"/>
  <c r="I26" i="6"/>
  <c r="J27" i="6" s="1"/>
  <c r="K27" i="6" s="1"/>
  <c r="I71" i="6"/>
  <c r="I39" i="6"/>
  <c r="J39" i="6" s="1"/>
  <c r="K39" i="6" s="1"/>
  <c r="I129" i="6"/>
  <c r="J129" i="6" s="1"/>
  <c r="K129" i="6" s="1"/>
  <c r="I169" i="6"/>
  <c r="J169" i="6" s="1"/>
  <c r="K169" i="6" s="1"/>
  <c r="I68" i="6"/>
  <c r="I119" i="6"/>
  <c r="J119" i="6" s="1"/>
  <c r="K119" i="6" s="1"/>
  <c r="I28" i="6"/>
  <c r="I40" i="6"/>
  <c r="I100" i="6"/>
  <c r="I25" i="6"/>
  <c r="J25" i="6" s="1"/>
  <c r="K25" i="6" s="1"/>
  <c r="I105" i="6"/>
  <c r="J105" i="6" s="1"/>
  <c r="K105" i="6" s="1"/>
  <c r="I97" i="6"/>
  <c r="J97" i="6" s="1"/>
  <c r="K97" i="6" s="1"/>
  <c r="I149" i="6"/>
  <c r="J149" i="6" s="1"/>
  <c r="K149" i="6" s="1"/>
  <c r="I166" i="6"/>
  <c r="J166" i="6" s="1"/>
  <c r="K166" i="6" s="1"/>
  <c r="I50" i="6"/>
  <c r="J50" i="6" s="1"/>
  <c r="K50" i="6" s="1"/>
  <c r="I37" i="6"/>
  <c r="I141" i="6"/>
  <c r="I158" i="6"/>
  <c r="I109" i="6"/>
  <c r="I127" i="6"/>
  <c r="I140" i="6"/>
  <c r="J140" i="6" s="1"/>
  <c r="K140" i="6" s="1"/>
  <c r="I43" i="6"/>
  <c r="I83" i="6"/>
  <c r="I103" i="6"/>
  <c r="I32" i="6"/>
  <c r="I92" i="6"/>
  <c r="I104" i="6"/>
  <c r="I164" i="6"/>
  <c r="I89" i="6"/>
  <c r="J89" i="6" s="1"/>
  <c r="K89" i="6" s="1"/>
  <c r="I136" i="6"/>
  <c r="I161" i="6"/>
  <c r="I126" i="6"/>
  <c r="I146" i="6"/>
  <c r="J146" i="6" s="1"/>
  <c r="K146" i="6" s="1"/>
  <c r="I110" i="6"/>
  <c r="J110" i="6" s="1"/>
  <c r="K110" i="6" s="1"/>
  <c r="I114" i="6"/>
  <c r="I118" i="6"/>
  <c r="I138" i="6"/>
  <c r="I86" i="6"/>
  <c r="I142" i="6"/>
  <c r="J142" i="6" s="1"/>
  <c r="K142" i="6" s="1"/>
  <c r="I95" i="6"/>
  <c r="J95" i="6" s="1"/>
  <c r="K95" i="6" s="1"/>
  <c r="I84" i="6"/>
  <c r="J84" i="6" s="1"/>
  <c r="K84" i="6" s="1"/>
  <c r="I159" i="6"/>
  <c r="J159" i="6" s="1"/>
  <c r="K159" i="6" s="1"/>
  <c r="I57" i="6"/>
  <c r="I73" i="6"/>
  <c r="J73" i="6" s="1"/>
  <c r="K73" i="6" s="1"/>
  <c r="I49" i="6"/>
  <c r="J49" i="6" s="1"/>
  <c r="K49" i="6" s="1"/>
  <c r="I145" i="6"/>
  <c r="J145" i="6" s="1"/>
  <c r="K145" i="6" s="1"/>
  <c r="I99" i="6"/>
  <c r="J99" i="6" s="1"/>
  <c r="K99" i="6" s="1"/>
  <c r="I131" i="6"/>
  <c r="I143" i="6"/>
  <c r="J143" i="6" s="1"/>
  <c r="K143" i="6" s="1"/>
  <c r="I52" i="6"/>
  <c r="I62" i="6"/>
  <c r="I82" i="6"/>
  <c r="J83" i="6" s="1"/>
  <c r="K83" i="6" s="1"/>
  <c r="I122" i="6"/>
  <c r="I154" i="6"/>
  <c r="J154" i="6" s="1"/>
  <c r="K154" i="6" s="1"/>
  <c r="I54" i="6"/>
  <c r="I53" i="6"/>
  <c r="L22" i="12" a="1"/>
  <c r="N19" i="12" a="1"/>
  <c r="N57" i="12"/>
  <c r="N63" i="12"/>
  <c r="N58" i="12"/>
  <c r="N163" i="12"/>
  <c r="N121" i="12"/>
  <c r="N122" i="12"/>
  <c r="N139" i="12"/>
  <c r="N102" i="12"/>
  <c r="N64" i="12"/>
  <c r="N99" i="12"/>
  <c r="N165" i="12"/>
  <c r="N159" i="12"/>
  <c r="N88" i="12"/>
  <c r="N60" i="12"/>
  <c r="N135" i="12"/>
  <c r="N124" i="12"/>
  <c r="N168" i="12"/>
  <c r="N117" i="12"/>
  <c r="I24" i="5"/>
  <c r="N123" i="12"/>
  <c r="N52" i="12"/>
  <c r="H12" i="12"/>
  <c r="H12" i="11"/>
  <c r="O19" i="11" s="1" a="1"/>
  <c r="N94" i="12"/>
  <c r="N65" i="12"/>
  <c r="N87" i="12"/>
  <c r="N98" i="12"/>
  <c r="N166" i="12"/>
  <c r="N162" i="12"/>
  <c r="N169" i="12"/>
  <c r="N35" i="12"/>
  <c r="N86" i="12"/>
  <c r="N53" i="12"/>
  <c r="N75" i="12"/>
  <c r="N116" i="12"/>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K23" i="6"/>
  <c r="J141" i="6"/>
  <c r="K141" i="6" s="1"/>
  <c r="J164" i="6"/>
  <c r="K164" i="6" s="1"/>
  <c r="J54" i="6"/>
  <c r="K54" i="6" s="1"/>
  <c r="J104" i="6"/>
  <c r="K104" i="6" s="1"/>
  <c r="O22" i="11" a="1"/>
  <c r="O22" i="12" a="1"/>
  <c r="J24" i="5"/>
  <c r="K24" i="5" s="1"/>
  <c r="J159" i="5" l="1"/>
  <c r="K159" i="5" s="1"/>
  <c r="J98" i="5"/>
  <c r="K98" i="5" s="1"/>
  <c r="J53" i="5"/>
  <c r="K53" i="5" s="1"/>
  <c r="J165" i="5"/>
  <c r="K165" i="5" s="1"/>
  <c r="J111" i="5"/>
  <c r="K111" i="5" s="1"/>
  <c r="J66" i="5"/>
  <c r="K66" i="5" s="1"/>
  <c r="J116" i="5"/>
  <c r="K116" i="5" s="1"/>
  <c r="J143" i="5"/>
  <c r="K143" i="5" s="1"/>
  <c r="J80" i="5"/>
  <c r="K80" i="5" s="1"/>
  <c r="J93" i="5"/>
  <c r="K93" i="5" s="1"/>
  <c r="J141" i="5"/>
  <c r="K141" i="5" s="1"/>
  <c r="J46" i="5"/>
  <c r="K46" i="5" s="1"/>
  <c r="J124" i="6"/>
  <c r="K124" i="6" s="1"/>
  <c r="J48" i="6"/>
  <c r="K48" i="6" s="1"/>
  <c r="J80" i="6"/>
  <c r="K80" i="6" s="1"/>
  <c r="J167" i="6"/>
  <c r="K167" i="6" s="1"/>
  <c r="J51" i="6"/>
  <c r="K51" i="6" s="1"/>
  <c r="J155" i="6"/>
  <c r="K155" i="6" s="1"/>
  <c r="J135" i="6"/>
  <c r="K135" i="6" s="1"/>
  <c r="J113" i="6"/>
  <c r="K113" i="6" s="1"/>
  <c r="J168" i="6"/>
  <c r="K168" i="6" s="1"/>
  <c r="J133" i="6"/>
  <c r="K133" i="6" s="1"/>
  <c r="J144" i="6"/>
  <c r="K144" i="6" s="1"/>
  <c r="J59" i="6"/>
  <c r="K59" i="6" s="1"/>
  <c r="J150" i="6"/>
  <c r="K150" i="6" s="1"/>
  <c r="J130" i="6"/>
  <c r="K130" i="6" s="1"/>
  <c r="J26" i="6"/>
  <c r="K26" i="6" s="1"/>
  <c r="J37" i="6"/>
  <c r="K37" i="6" s="1"/>
  <c r="J158" i="6"/>
  <c r="K158" i="6" s="1"/>
  <c r="J109" i="6"/>
  <c r="K109" i="6" s="1"/>
  <c r="J103" i="6"/>
  <c r="K103" i="6" s="1"/>
  <c r="J92" i="6"/>
  <c r="K92" i="6" s="1"/>
  <c r="J165" i="6"/>
  <c r="K165" i="6" s="1"/>
  <c r="J147" i="6"/>
  <c r="K147" i="6" s="1"/>
  <c r="J114" i="6"/>
  <c r="K114" i="6" s="1"/>
  <c r="J118" i="6"/>
  <c r="K118" i="6" s="1"/>
  <c r="J86" i="6"/>
  <c r="K86" i="6" s="1"/>
  <c r="J57" i="6"/>
  <c r="K57" i="6" s="1"/>
  <c r="J131" i="6"/>
  <c r="K131" i="6" s="1"/>
  <c r="J82" i="6"/>
  <c r="K82" i="6" s="1"/>
  <c r="J25" i="5"/>
  <c r="K25" i="5" s="1"/>
  <c r="J134" i="5"/>
  <c r="K134" i="5" s="1"/>
  <c r="J83" i="5"/>
  <c r="K83" i="5" s="1"/>
  <c r="J37" i="5"/>
  <c r="K37" i="5" s="1"/>
  <c r="J157" i="5"/>
  <c r="K157" i="5" s="1"/>
  <c r="J173" i="5"/>
  <c r="K173" i="5" s="1"/>
  <c r="J64" i="5"/>
  <c r="K64" i="5" s="1"/>
  <c r="J152" i="5"/>
  <c r="K152" i="5" s="1"/>
  <c r="J86" i="5"/>
  <c r="K86" i="5" s="1"/>
  <c r="J162" i="5"/>
  <c r="K162" i="5" s="1"/>
  <c r="J31" i="5"/>
  <c r="K31" i="5" s="1"/>
  <c r="J77" i="5"/>
  <c r="K77" i="5" s="1"/>
  <c r="J95" i="5"/>
  <c r="K95" i="5" s="1"/>
  <c r="J33" i="5"/>
  <c r="K33" i="5" s="1"/>
  <c r="J147" i="5"/>
  <c r="K147" i="5" s="1"/>
  <c r="J61" i="5"/>
  <c r="K61" i="5" s="1"/>
  <c r="J47" i="5"/>
  <c r="K47" i="5" s="1"/>
  <c r="J81" i="5"/>
  <c r="K81" i="5" s="1"/>
  <c r="J132" i="5"/>
  <c r="K132" i="5" s="1"/>
  <c r="J78" i="5"/>
  <c r="K78" i="5" s="1"/>
  <c r="J36" i="5"/>
  <c r="K36" i="5" s="1"/>
  <c r="J29" i="5"/>
  <c r="K29" i="5" s="1"/>
  <c r="J115" i="5"/>
  <c r="K115" i="5" s="1"/>
  <c r="J120" i="5"/>
  <c r="K120" i="5" s="1"/>
  <c r="J119" i="5"/>
  <c r="K119" i="5" s="1"/>
  <c r="J118" i="5"/>
  <c r="K118" i="5" s="1"/>
  <c r="J117" i="5"/>
  <c r="K117" i="5" s="1"/>
  <c r="K20" i="6" a="1"/>
  <c r="K42" i="6"/>
  <c r="J61" i="6"/>
  <c r="K61" i="6" s="1"/>
  <c r="J60" i="6"/>
  <c r="K60" i="6" s="1"/>
  <c r="J172" i="6"/>
  <c r="K172" i="6" s="1"/>
  <c r="J171" i="6"/>
  <c r="K171" i="6" s="1"/>
  <c r="J151" i="6"/>
  <c r="K151" i="6" s="1"/>
  <c r="J152" i="6"/>
  <c r="K152" i="6" s="1"/>
  <c r="J75" i="6"/>
  <c r="K75" i="6" s="1"/>
  <c r="J74" i="6"/>
  <c r="K74" i="6" s="1"/>
  <c r="J69" i="6"/>
  <c r="K69" i="6" s="1"/>
  <c r="J68" i="6"/>
  <c r="K68" i="6" s="1"/>
  <c r="J29" i="6"/>
  <c r="K29" i="6" s="1"/>
  <c r="J28" i="6"/>
  <c r="K28" i="6" s="1"/>
  <c r="J101" i="6"/>
  <c r="K101" i="6" s="1"/>
  <c r="J100" i="6"/>
  <c r="K100" i="6" s="1"/>
  <c r="J126" i="6"/>
  <c r="K126" i="6" s="1"/>
  <c r="J127" i="6"/>
  <c r="K127" i="6" s="1"/>
  <c r="J138" i="6"/>
  <c r="K138" i="6" s="1"/>
  <c r="J139" i="6"/>
  <c r="K139" i="6" s="1"/>
  <c r="J53" i="6"/>
  <c r="K53" i="6" s="1"/>
  <c r="J52" i="6"/>
  <c r="K52" i="6" s="1"/>
  <c r="J63" i="6"/>
  <c r="K63" i="6" s="1"/>
  <c r="J62" i="6"/>
  <c r="K62" i="6" s="1"/>
  <c r="J122" i="6"/>
  <c r="K122" i="6" s="1"/>
  <c r="J123" i="6"/>
  <c r="K123" i="6" s="1"/>
  <c r="J71" i="5"/>
  <c r="K71" i="5" s="1"/>
  <c r="J72" i="5"/>
  <c r="K72" i="5" s="1"/>
  <c r="J69" i="5"/>
  <c r="K69" i="5" s="1"/>
  <c r="J68" i="5"/>
  <c r="K68" i="5" s="1"/>
  <c r="J40" i="5"/>
  <c r="K40" i="5" s="1"/>
  <c r="J39" i="5"/>
  <c r="K39" i="5" s="1"/>
  <c r="L24" i="5" s="1" a="1"/>
  <c r="J167" i="5"/>
  <c r="K167" i="5" s="1"/>
  <c r="J168" i="5"/>
  <c r="K168" i="5" s="1"/>
  <c r="J126" i="5"/>
  <c r="K126" i="5" s="1"/>
  <c r="J125" i="5"/>
  <c r="K125" i="5" s="1"/>
  <c r="J49" i="5"/>
  <c r="K49" i="5" s="1"/>
  <c r="J50" i="5"/>
  <c r="K50" i="5" s="1"/>
  <c r="J55" i="5"/>
  <c r="K55" i="5" s="1"/>
  <c r="J56" i="5"/>
  <c r="K56" i="5" s="1"/>
  <c r="J135" i="5"/>
  <c r="K135" i="5" s="1"/>
  <c r="J136" i="5"/>
  <c r="K136" i="5" s="1"/>
  <c r="J109" i="5"/>
  <c r="K109" i="5" s="1"/>
  <c r="J108" i="5"/>
  <c r="K108" i="5" s="1"/>
  <c r="J129" i="5"/>
  <c r="K129" i="5" s="1"/>
  <c r="J128" i="5"/>
  <c r="K128" i="5" s="1"/>
  <c r="J148" i="5"/>
  <c r="K148" i="5" s="1"/>
  <c r="J149" i="5"/>
  <c r="K149" i="5" s="1"/>
  <c r="J87" i="5"/>
  <c r="K87" i="5" s="1"/>
  <c r="J88" i="5"/>
  <c r="K88" i="5" s="1"/>
  <c r="J88" i="6"/>
  <c r="K88" i="6" s="1"/>
  <c r="J87" i="6"/>
  <c r="K87" i="6" s="1"/>
  <c r="J121" i="6"/>
  <c r="K121" i="6" s="1"/>
  <c r="J120" i="6"/>
  <c r="K120" i="6" s="1"/>
  <c r="J72" i="6"/>
  <c r="K72" i="6" s="1"/>
  <c r="J71" i="6"/>
  <c r="K71" i="6" s="1"/>
  <c r="J41" i="6"/>
  <c r="K41" i="6" s="1"/>
  <c r="J40" i="6"/>
  <c r="K40" i="6" s="1"/>
  <c r="J43" i="6"/>
  <c r="K43" i="6" s="1"/>
  <c r="J44" i="6"/>
  <c r="K44" i="6" s="1"/>
  <c r="J32" i="6"/>
  <c r="K32" i="6" s="1"/>
  <c r="L23" i="6" s="1" a="1"/>
  <c r="J33" i="6"/>
  <c r="K33" i="6" s="1"/>
  <c r="J136" i="6"/>
  <c r="K136" i="6" s="1"/>
  <c r="J137" i="6"/>
  <c r="K137" i="6" s="1"/>
  <c r="J162" i="6"/>
  <c r="K162" i="6" s="1"/>
  <c r="J161" i="6"/>
  <c r="K161"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<sst xmlns="http://schemas.openxmlformats.org/spreadsheetml/2006/main" count="169" uniqueCount="135">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</sst>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 numFmtId="173" formatCode="0.0000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173" fontId="4" fillId="7" borderId="4" xfId="2" applyNumberFormat="1" applyFont="1" applyFill="1" applyBorder="1" applyAlignment="1">
      <alignment horizontal="right" vertical="top"/>
    </xf>
    <xf numFmtId="0" fontId="0" fillId="2" borderId="0" xfId="0"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xf numFmtId="0" fontId="18" fillId="2" borderId="0" xfId="0" applyFont="1" applyFill="1" applyAlignment="1">
      <alignment horizontal="justify" vertical="top"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topLeftCell="A49" workbookViewId="0">
      <selection activeCell="F59" sqref="F59:L59"/>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0"/>
    </row>
    <row r="9" spans="1:14" x14ac:dyDescent="0.35">
      <c r="F9" s="89"/>
      <c r="G9" s="89"/>
      <c r="H9" s="89"/>
      <c r="I9" s="89"/>
      <c r="J9" s="89"/>
      <c r="K9" s="89"/>
      <c r="L9" s="89"/>
      <c r="M9" s="60"/>
    </row>
    <row r="10" spans="1:14" x14ac:dyDescent="0.35">
      <c r="F10" s="89"/>
      <c r="G10" s="89"/>
      <c r="H10" s="89"/>
      <c r="I10" s="89"/>
      <c r="J10" s="89"/>
      <c r="K10" s="89"/>
      <c r="L10" s="89"/>
      <c r="M10" s="60"/>
    </row>
    <row r="11" spans="1:14" x14ac:dyDescent="0.35">
      <c r="F11" s="89"/>
      <c r="G11" s="89"/>
      <c r="H11" s="89"/>
      <c r="I11" s="89"/>
      <c r="J11" s="89"/>
      <c r="K11" s="89"/>
      <c r="L11" s="89"/>
      <c r="M11" s="60"/>
    </row>
    <row r="12" spans="1:14" x14ac:dyDescent="0.35">
      <c r="F12" s="89"/>
      <c r="G12" s="89"/>
      <c r="H12" s="89"/>
      <c r="I12" s="89"/>
      <c r="J12" s="89"/>
      <c r="K12" s="89"/>
      <c r="L12" s="89"/>
      <c r="M12" s="60"/>
    </row>
    <row r="13" spans="1:14" x14ac:dyDescent="0.35">
      <c r="F13" s="89"/>
      <c r="G13" s="89"/>
      <c r="H13" s="89"/>
      <c r="I13" s="89"/>
      <c r="J13" s="89"/>
      <c r="K13" s="89"/>
      <c r="L13" s="89"/>
      <c r="M13" s="60"/>
    </row>
    <row r="14" spans="1:14" x14ac:dyDescent="0.35">
      <c r="F14" s="89"/>
      <c r="G14" s="89"/>
      <c r="H14" s="89"/>
      <c r="I14" s="89"/>
      <c r="J14" s="89"/>
      <c r="K14" s="89"/>
      <c r="L14" s="89"/>
      <c r="M14" s="60"/>
    </row>
    <row r="15" spans="1:14" x14ac:dyDescent="0.35">
      <c r="F15" s="89"/>
      <c r="G15" s="89"/>
      <c r="H15" s="89"/>
      <c r="I15" s="89"/>
      <c r="J15" s="89"/>
      <c r="K15" s="89"/>
      <c r="L15" s="89"/>
      <c r="M15" s="60"/>
    </row>
    <row r="16" spans="1:14" x14ac:dyDescent="0.35">
      <c r="F16" s="89"/>
      <c r="G16" s="89"/>
      <c r="H16" s="89"/>
      <c r="I16" s="89"/>
      <c r="J16" s="89"/>
      <c r="K16" s="89"/>
      <c r="L16" s="89"/>
      <c r="M16" s="60"/>
    </row>
    <row r="17" spans="6:13" x14ac:dyDescent="0.35">
      <c r="F17" s="89"/>
      <c r="G17" s="89"/>
      <c r="H17" s="89"/>
      <c r="I17" s="89"/>
      <c r="J17" s="89"/>
      <c r="K17" s="89"/>
      <c r="L17" s="89"/>
      <c r="M17" s="60"/>
    </row>
    <row r="18" spans="6:13" x14ac:dyDescent="0.35">
      <c r="F18" s="60"/>
      <c r="G18" s="60"/>
      <c r="H18" s="60"/>
      <c r="I18" s="60"/>
      <c r="J18" s="60"/>
      <c r="K18" s="60"/>
      <c r="L18" s="60"/>
      <c r="M18" s="60"/>
    </row>
    <row r="19" spans="6:13" x14ac:dyDescent="0.35">
      <c r="F19" s="60"/>
      <c r="G19" s="60"/>
      <c r="H19" s="60"/>
      <c r="I19" s="60"/>
      <c r="J19" s="60"/>
      <c r="K19" s="60"/>
      <c r="L19" s="60"/>
      <c r="M19" s="60"/>
    </row>
    <row r="20" spans="6:13" x14ac:dyDescent="0.35">
      <c r="F20" s="13" t="s">
        <v>0</v>
      </c>
      <c r="H20" s="14" t="s">
        <v>1</v>
      </c>
      <c r="K20" s="8" t="s">
        <v>12</v>
      </c>
      <c r="L20" s="17"/>
    </row>
    <row r="21" spans="6:13" x14ac:dyDescent="0.35">
      <c r="F21" s="86">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4" t="s">
        <v>50</v>
      </c>
      <c r="J28" s="2" t="s">
        <v>32</v>
      </c>
      <c r="K28" s="54" t="s">
        <v>57</v>
      </c>
    </row>
    <row r="29" spans="6:13" x14ac:dyDescent="0.35">
      <c r="F29" s="2" t="s">
        <v>49</v>
      </c>
      <c r="G29" s="54" t="s">
        <v>51</v>
      </c>
      <c r="J29" s="2" t="s">
        <v>65</v>
      </c>
      <c r="K29" s="55" t="s">
        <v>66</v>
      </c>
    </row>
    <row r="30" spans="6:13" x14ac:dyDescent="0.35">
      <c r="F30" s="2" t="s">
        <v>47</v>
      </c>
      <c r="G30" s="54" t="s">
        <v>52</v>
      </c>
      <c r="J30" s="2" t="s">
        <v>48</v>
      </c>
      <c r="K30" s="55" t="s">
        <v>58</v>
      </c>
    </row>
    <row r="31" spans="6:13" x14ac:dyDescent="0.35">
      <c r="F31" s="2" t="s">
        <v>36</v>
      </c>
      <c r="G31" s="54" t="s">
        <v>53</v>
      </c>
      <c r="J31" s="2" t="s">
        <v>45</v>
      </c>
      <c r="K31" s="55" t="s">
        <v>67</v>
      </c>
    </row>
    <row r="32" spans="6:13" x14ac:dyDescent="0.35">
      <c r="F32" s="2" t="s">
        <v>19</v>
      </c>
      <c r="G32" s="54" t="s">
        <v>54</v>
      </c>
      <c r="J32" s="2" t="s">
        <v>44</v>
      </c>
      <c r="K32" s="55" t="s">
        <v>59</v>
      </c>
    </row>
    <row r="33" spans="6:13" x14ac:dyDescent="0.35">
      <c r="F33" s="2" t="s">
        <v>7</v>
      </c>
      <c r="G33" s="54" t="s">
        <v>64</v>
      </c>
      <c r="J33" s="2" t="s">
        <v>43</v>
      </c>
      <c r="K33" s="55" t="s">
        <v>60</v>
      </c>
    </row>
    <row r="34" spans="6:13" x14ac:dyDescent="0.35">
      <c r="F34" s="2" t="s">
        <v>4</v>
      </c>
      <c r="G34" s="54" t="s">
        <v>55</v>
      </c>
      <c r="J34" s="2" t="s">
        <v>34</v>
      </c>
      <c r="K34" s="55" t="s">
        <v>61</v>
      </c>
    </row>
    <row r="35" spans="6:13" x14ac:dyDescent="0.35">
      <c r="F35" s="2" t="s">
        <v>94</v>
      </c>
      <c r="G35" s="54" t="s">
        <v>95</v>
      </c>
      <c r="J35" s="2" t="s">
        <v>5</v>
      </c>
      <c r="K35" s="55" t="s">
        <v>62</v>
      </c>
    </row>
    <row r="36" spans="6:13" x14ac:dyDescent="0.35">
      <c r="F36" s="2" t="s">
        <v>35</v>
      </c>
      <c r="G36" s="54" t="s">
        <v>56</v>
      </c>
      <c r="J36" s="2" t="s">
        <v>29</v>
      </c>
      <c r="K36" s="55" t="s">
        <v>88</v>
      </c>
    </row>
    <row r="37" spans="6:13" x14ac:dyDescent="0.35">
      <c r="F37" s="2" t="s">
        <v>118</v>
      </c>
      <c r="G37" s="54" t="s">
        <v>119</v>
      </c>
      <c r="J37" s="2" t="s">
        <v>42</v>
      </c>
      <c r="K37" s="55"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0"/>
    </row>
    <row r="42" spans="6:13" ht="14.5" customHeight="1" x14ac:dyDescent="0.35">
      <c r="F42" s="53"/>
      <c r="G42" s="53"/>
      <c r="H42" s="53"/>
      <c r="I42" s="53"/>
      <c r="J42" s="53"/>
      <c r="K42" s="53"/>
      <c r="L42" s="53"/>
      <c r="M42" s="60"/>
    </row>
    <row r="43" spans="6:13" ht="15" thickBot="1" x14ac:dyDescent="0.4">
      <c r="F43" s="57" t="s">
        <v>40</v>
      </c>
      <c r="G43" s="57"/>
      <c r="H43" s="57"/>
      <c r="I43" s="57"/>
      <c r="J43" s="57"/>
      <c r="K43" s="57"/>
      <c r="L43" s="57"/>
      <c r="M43"/>
    </row>
    <row r="45" spans="6:13" ht="330.75" customHeight="1" x14ac:dyDescent="0.35">
      <c r="F45" s="89" t="s">
        <v>82</v>
      </c>
      <c r="G45" s="89"/>
      <c r="H45" s="89"/>
      <c r="I45" s="89"/>
      <c r="J45" s="89"/>
      <c r="K45" s="89"/>
      <c r="L45" s="89"/>
    </row>
    <row r="46" spans="6:13" ht="14.5" customHeight="1" x14ac:dyDescent="0.35">
      <c r="F46" s="58"/>
      <c r="G46" s="58"/>
      <c r="H46" s="58"/>
      <c r="I46" s="58"/>
      <c r="J46" s="58"/>
      <c r="K46" s="58"/>
    </row>
    <row r="48" spans="6:13" ht="109.5" customHeight="1" x14ac:dyDescent="0.35">
      <c r="F48" s="89" t="s">
        <v>97</v>
      </c>
      <c r="G48" s="89"/>
      <c r="H48" s="89"/>
      <c r="I48" s="89"/>
      <c r="J48" s="89"/>
      <c r="K48" s="89"/>
      <c r="L48" s="89"/>
    </row>
    <row r="49" spans="6:13" ht="101.5" customHeight="1" x14ac:dyDescent="0.35">
      <c r="F49" s="91" t="s">
        <v>87</v>
      </c>
      <c r="G49" s="91"/>
      <c r="H49" s="91"/>
      <c r="I49" s="91"/>
      <c r="J49" s="91"/>
      <c r="K49" s="91"/>
      <c r="L49" s="91"/>
    </row>
    <row r="50" spans="6:13" ht="14.5" customHeight="1" x14ac:dyDescent="0.35">
      <c r="F50" s="53"/>
      <c r="G50" s="53"/>
      <c r="H50" s="53"/>
      <c r="I50" s="53"/>
      <c r="J50" s="53"/>
      <c r="K50" s="53"/>
      <c r="L50" s="53"/>
    </row>
    <row r="51" spans="6:13" ht="101.5" customHeight="1" x14ac:dyDescent="0.35">
      <c r="F51" s="90" t="s">
        <v>131</v>
      </c>
      <c r="G51" s="91"/>
      <c r="H51" s="91"/>
      <c r="I51" s="91"/>
      <c r="J51" s="91"/>
      <c r="K51" s="91"/>
      <c r="L51" s="91"/>
    </row>
    <row r="54" spans="6:13" ht="65.5" customHeight="1" x14ac:dyDescent="0.35">
      <c r="F54" s="89" t="s">
        <v>73</v>
      </c>
      <c r="G54" s="89"/>
      <c r="H54" s="89"/>
      <c r="I54" s="89"/>
      <c r="J54" s="89"/>
      <c r="K54" s="89"/>
      <c r="L54" s="89"/>
    </row>
    <row r="56" spans="6:13" ht="15" thickBot="1" x14ac:dyDescent="0.4">
      <c r="F56" s="57" t="s">
        <v>68</v>
      </c>
      <c r="G56" s="57"/>
      <c r="H56" s="57"/>
      <c r="I56" s="57"/>
      <c r="J56" s="57"/>
      <c r="K56" s="57"/>
      <c r="L56" s="57"/>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7" t="s">
        <v>70</v>
      </c>
      <c r="G64" s="57"/>
      <c r="H64" s="57"/>
      <c r="I64" s="57"/>
      <c r="J64" s="57"/>
      <c r="K64" s="57"/>
      <c r="L64" s="57"/>
    </row>
    <row r="67" spans="6:12" ht="221.5" customHeight="1" x14ac:dyDescent="0.35">
      <c r="F67" s="92" t="s">
        <v>132</v>
      </c>
      <c r="G67" s="92"/>
      <c r="H67" s="92"/>
      <c r="I67" s="92"/>
      <c r="J67" s="92"/>
      <c r="K67" s="92"/>
      <c r="L67" s="92"/>
    </row>
    <row r="69" spans="6:12" ht="57" customHeight="1" x14ac:dyDescent="0.35">
      <c r="F69" s="89" t="s">
        <v>79</v>
      </c>
      <c r="G69" s="89"/>
      <c r="H69" s="89"/>
      <c r="I69" s="89"/>
      <c r="J69" s="89"/>
      <c r="K69" s="89"/>
      <c r="L69" s="89"/>
    </row>
    <row r="70" spans="6:12" ht="14.5" customHeight="1" thickBot="1" x14ac:dyDescent="0.4">
      <c r="F70" s="57" t="s">
        <v>100</v>
      </c>
      <c r="G70" s="57"/>
      <c r="H70" s="57"/>
      <c r="I70" s="57"/>
      <c r="J70" s="57"/>
      <c r="K70" s="57"/>
      <c r="L70" s="57"/>
    </row>
    <row r="71" spans="6:12" ht="14.5" customHeight="1" x14ac:dyDescent="0.35">
      <c r="F71" s="53"/>
      <c r="G71" s="53"/>
      <c r="H71" s="53"/>
      <c r="I71" s="53"/>
      <c r="J71" s="53"/>
      <c r="K71" s="53"/>
      <c r="L71" s="53"/>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75:L75"/>
    <mergeCell ref="F58:L58"/>
    <mergeCell ref="F59:L59"/>
    <mergeCell ref="F61:L61"/>
    <mergeCell ref="F67:L67"/>
    <mergeCell ref="F69:L69"/>
    <mergeCell ref="F72:L72"/>
    <mergeCell ref="F41:L41"/>
    <mergeCell ref="F45:L45"/>
    <mergeCell ref="F48:L48"/>
    <mergeCell ref="F54:L54"/>
    <mergeCell ref="F8:L17"/>
    <mergeCell ref="F51:L51"/>
    <mergeCell ref="F49:L49"/>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B10" workbookViewId="0">
      <selection activeCell="J20" sqref="J20"/>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7"/>
      <c r="H8" s="63" t="s">
        <v>3</v>
      </c>
      <c r="I8" s="7"/>
      <c r="J8" s="7"/>
      <c r="K8" s="62"/>
      <c r="L8" s="64" t="s">
        <v>8</v>
      </c>
      <c r="M8" s="7"/>
    </row>
    <row r="9" spans="1:14" x14ac:dyDescent="0.35">
      <c r="G9" s="7"/>
      <c r="H9" s="7"/>
      <c r="I9" s="7"/>
      <c r="J9" s="7"/>
      <c r="K9" s="7"/>
      <c r="L9" s="7"/>
      <c r="M9" s="7"/>
    </row>
    <row r="10" spans="1:14" x14ac:dyDescent="0.35">
      <c r="G10" s="16" t="s">
        <v>81</v>
      </c>
      <c r="H10" s="44" t="b">
        <v>1</v>
      </c>
      <c r="I10" s="7"/>
      <c r="J10" s="7"/>
      <c r="K10" s="12" t="s">
        <v>9</v>
      </c>
      <c r="L10" s="83">
        <v>0.01</v>
      </c>
      <c r="M10" s="7"/>
    </row>
    <row r="11" spans="1:14" x14ac:dyDescent="0.35">
      <c r="G11" s="16" t="s">
        <v>78</v>
      </c>
      <c r="H11" s="44" t="s">
        <v>35</v>
      </c>
      <c r="I11" s="7"/>
      <c r="J11" s="7"/>
      <c r="K11" s="12" t="s">
        <v>10</v>
      </c>
      <c r="L11" s="83">
        <v>1.4E-2</v>
      </c>
      <c r="M11" s="7"/>
    </row>
    <row r="12" spans="1:14" x14ac:dyDescent="0.35">
      <c r="G12" s="16" t="s">
        <v>37</v>
      </c>
      <c r="H12" s="35">
        <v>1</v>
      </c>
      <c r="I12" s="7"/>
      <c r="J12" s="7"/>
      <c r="K12" s="12" t="s">
        <v>11</v>
      </c>
      <c r="L12" s="22">
        <v>0.5</v>
      </c>
      <c r="M12" s="7"/>
    </row>
    <row r="13" spans="1:14" x14ac:dyDescent="0.35">
      <c r="G13" s="12" t="s">
        <v>4</v>
      </c>
      <c r="H13" s="68"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4">
        <v>10</v>
      </c>
      <c r="I16" s="7"/>
      <c r="J16" s="7"/>
      <c r="K16" s="7"/>
      <c r="L16" s="7"/>
      <c r="M16" s="7"/>
    </row>
    <row r="17" spans="6:13" x14ac:dyDescent="0.35">
      <c r="G17" s="12" t="s">
        <v>92</v>
      </c>
      <c r="H17" s="67">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7" t="s">
        <v>83</v>
      </c>
      <c r="G20" s="57"/>
      <c r="H20" s="62"/>
      <c r="I20" s="62"/>
      <c r="J20" s="57"/>
      <c r="K20" s="62"/>
      <c r="L20" s="62"/>
    </row>
    <row r="21" spans="6:13" x14ac:dyDescent="0.35">
      <c r="H21" s="7"/>
      <c r="I21" s="7"/>
      <c r="J21" s="10"/>
      <c r="K21" s="7"/>
      <c r="L21" s="7"/>
    </row>
    <row r="22" spans="6:13" x14ac:dyDescent="0.35">
      <c r="H22" s="12" t="s">
        <v>86</v>
      </c>
      <c r="I22" s="65" t="str">
        <f>IF(V.EXTRAPOLATION_SELECTED,
    IF(SUM(R.LLFR_WEIGHTS) = 1,
       "OK",
       "ERROR"),
    "")</f>
        <v>OK</v>
      </c>
      <c r="J22" s="10"/>
      <c r="K22" s="12" t="s">
        <v>32</v>
      </c>
      <c r="L22" s="45" cm="1">
        <f t="array" ref="L22">IF(V.EXTRAPOLATION_SELECTED,
    GetLLFR(R.BOOTSTRAPPED_CURVE,R.DLT,R.LLFR_WEIGHTS),
    V.INPUT_LLFR)</f>
        <v>3.1883027974220289E-2</v>
      </c>
    </row>
    <row r="23" spans="6:13" x14ac:dyDescent="0.35">
      <c r="H23" s="7"/>
      <c r="I23" s="7"/>
      <c r="J23" s="10"/>
      <c r="K23" s="7"/>
      <c r="L23" s="7"/>
    </row>
    <row r="24" spans="6:13" ht="41.15" customHeight="1" x14ac:dyDescent="0.35">
      <c r="G24" s="36" t="s">
        <v>13</v>
      </c>
      <c r="H24" s="37" t="s">
        <v>7</v>
      </c>
      <c r="I24" s="36" t="s">
        <v>39</v>
      </c>
      <c r="J24" s="36" t="str">
        <f>IF(V.EXTRAPOLATION_SELECTED,
    "Input Rate",
    "Input RFR")</f>
        <v>Input Rate</v>
      </c>
      <c r="K24" s="36" t="s">
        <v>38</v>
      </c>
      <c r="L24" s="36" t="str">
        <f>IF(V.EXTRAPOLATION_SELECTED,
    "Extrapolated Zero Rate AC / Basic RFR",
    "Basic RFR")</f>
        <v>Extrapolated Zero Rate AC / Basic RFR</v>
      </c>
    </row>
    <row r="25" spans="6:13" x14ac:dyDescent="0.35">
      <c r="G25" s="7">
        <v>1</v>
      </c>
      <c r="H25" s="38">
        <v>1</v>
      </c>
      <c r="I25" s="42">
        <v>0</v>
      </c>
      <c r="J25" s="40">
        <v>2.1760000000000002E-2</v>
      </c>
      <c r="K25" s="46" cm="1">
        <f t="array" ref="K25:K174">IF(V.EXTRAPOLATION_SELECTED,
    _xlfn.LET(_xlpm.LLP, MAX(_xlfn._xlws.FILTER(R.MATURITY,R.DLT=1)),
     BootstrapCurve(V.INSTRUMENT,R.BASECURVE,R.DLT,"A",V.CRA,V.COUPON_FREQ,_xlpm.LLP,"C", "Z")),
    "")</f>
        <v>2.0547447887660109E-2</v>
      </c>
      <c r="L25" s="47" cm="1">
        <f t="array" ref="L25:L174">IF(V.EXTRAPOLATION_SELECTED,
    ROUND(Extrapolation(R.BOOTSTRAPPED_CURVE, "Z", V.FSP, V.UFR, V.LLFR, V.ALPHA, "A"), 5),
    R.BASECURVE)</f>
        <v>2.0760000000000001E-2</v>
      </c>
    </row>
    <row r="26" spans="6:13" x14ac:dyDescent="0.35">
      <c r="G26" s="7">
        <v>2</v>
      </c>
      <c r="H26" s="38">
        <v>1</v>
      </c>
      <c r="I26" s="42">
        <v>0</v>
      </c>
      <c r="J26" s="40">
        <v>2.2620999999999999E-2</v>
      </c>
      <c r="K26" s="46">
        <v>2.1390581515523904E-2</v>
      </c>
      <c r="L26" s="48">
        <v>2.162E-2</v>
      </c>
    </row>
    <row r="27" spans="6:13" x14ac:dyDescent="0.35">
      <c r="G27" s="7">
        <v>3</v>
      </c>
      <c r="H27" s="38">
        <v>1</v>
      </c>
      <c r="I27" s="42">
        <v>0</v>
      </c>
      <c r="J27" s="40">
        <v>2.3795E-2</v>
      </c>
      <c r="K27" s="46">
        <v>2.2539075881686164E-2</v>
      </c>
      <c r="L27" s="48">
        <v>2.2790000000000001E-2</v>
      </c>
    </row>
    <row r="28" spans="6:13" x14ac:dyDescent="0.35">
      <c r="G28" s="2">
        <v>4</v>
      </c>
      <c r="H28" s="38">
        <v>1</v>
      </c>
      <c r="I28" s="43">
        <v>0</v>
      </c>
      <c r="J28" s="40">
        <v>2.4799999999999999E-2</v>
      </c>
      <c r="K28" s="46">
        <v>2.3521195041345869E-2</v>
      </c>
      <c r="L28" s="48">
        <v>2.3800000000000002E-2</v>
      </c>
    </row>
    <row r="29" spans="6:13" x14ac:dyDescent="0.35">
      <c r="G29" s="2">
        <v>5</v>
      </c>
      <c r="H29" s="38">
        <v>1</v>
      </c>
      <c r="I29" s="43">
        <v>0</v>
      </c>
      <c r="J29" s="40">
        <v>2.5690000000000001E-2</v>
      </c>
      <c r="K29" s="46">
        <v>2.4390127822076231E-2</v>
      </c>
      <c r="L29" s="48">
        <v>2.469E-2</v>
      </c>
    </row>
    <row r="30" spans="6:13" x14ac:dyDescent="0.35">
      <c r="G30" s="7">
        <v>6</v>
      </c>
      <c r="H30" s="38">
        <v>1</v>
      </c>
      <c r="I30" s="43">
        <v>0</v>
      </c>
      <c r="J30" s="40">
        <v>2.6509999999999999E-2</v>
      </c>
      <c r="K30" s="46">
        <v>2.5190049823563539E-2</v>
      </c>
      <c r="L30" s="48">
        <v>2.5510000000000001E-2</v>
      </c>
    </row>
    <row r="31" spans="6:13" x14ac:dyDescent="0.35">
      <c r="G31" s="7">
        <v>7</v>
      </c>
      <c r="H31" s="38">
        <v>1</v>
      </c>
      <c r="I31" s="43">
        <v>0</v>
      </c>
      <c r="J31" s="40">
        <v>2.7320000000000001E-2</v>
      </c>
      <c r="K31" s="46">
        <v>2.5979588958947652E-2</v>
      </c>
      <c r="L31" s="48">
        <v>2.632E-2</v>
      </c>
    </row>
    <row r="32" spans="6:13" x14ac:dyDescent="0.35">
      <c r="G32" s="7">
        <v>8</v>
      </c>
      <c r="H32" s="38">
        <v>1</v>
      </c>
      <c r="I32" s="43">
        <v>0</v>
      </c>
      <c r="J32" s="40">
        <v>2.8000000000000001E-2</v>
      </c>
      <c r="K32" s="46">
        <v>2.6641930946421116E-2</v>
      </c>
      <c r="L32" s="48">
        <v>2.7E-2</v>
      </c>
    </row>
    <row r="33" spans="7:12" x14ac:dyDescent="0.35">
      <c r="G33" s="2">
        <v>9</v>
      </c>
      <c r="H33" s="38">
        <v>1</v>
      </c>
      <c r="I33" s="43">
        <v>0</v>
      </c>
      <c r="J33" s="40">
        <v>2.8631E-2</v>
      </c>
      <c r="K33" s="46">
        <v>2.7256153178868793E-2</v>
      </c>
      <c r="L33" s="48">
        <v>2.7629999999999998E-2</v>
      </c>
    </row>
    <row r="34" spans="7:12" x14ac:dyDescent="0.35">
      <c r="G34" s="2">
        <v>10</v>
      </c>
      <c r="H34" s="38">
        <v>1</v>
      </c>
      <c r="I34" s="43">
        <v>0</v>
      </c>
      <c r="J34" s="40">
        <v>2.9270000000000001E-2</v>
      </c>
      <c r="K34" s="46">
        <v>2.7877778461970277E-2</v>
      </c>
      <c r="L34" s="48">
        <v>2.827E-2</v>
      </c>
    </row>
    <row r="35" spans="7:12" x14ac:dyDescent="0.35">
      <c r="G35" s="7">
        <v>11</v>
      </c>
      <c r="H35" s="38">
        <v>1</v>
      </c>
      <c r="I35" s="43">
        <v>0</v>
      </c>
      <c r="J35" s="40">
        <v>2.9790000000000001E-2</v>
      </c>
      <c r="K35" s="46">
        <v>2.8383354391769474E-2</v>
      </c>
      <c r="L35" s="48">
        <v>2.879E-2</v>
      </c>
    </row>
    <row r="36" spans="7:12" x14ac:dyDescent="0.35">
      <c r="G36" s="7">
        <v>12</v>
      </c>
      <c r="H36" s="38">
        <v>1</v>
      </c>
      <c r="I36" s="43">
        <v>0</v>
      </c>
      <c r="J36" s="40">
        <v>3.0269999999999998E-2</v>
      </c>
      <c r="K36" s="46">
        <v>2.8849813104054985E-2</v>
      </c>
      <c r="L36" s="48">
        <v>2.9270000000000001E-2</v>
      </c>
    </row>
    <row r="37" spans="7:12" x14ac:dyDescent="0.35">
      <c r="G37" s="7">
        <v>13</v>
      </c>
      <c r="H37" s="38">
        <v>1</v>
      </c>
      <c r="I37" s="43">
        <v>0</v>
      </c>
      <c r="J37" s="40">
        <v>3.0779000000000001E-2</v>
      </c>
      <c r="K37" s="46">
        <v>2.934421611279172E-2</v>
      </c>
      <c r="L37" s="48">
        <v>2.9780000000000001E-2</v>
      </c>
    </row>
    <row r="38" spans="7:12" x14ac:dyDescent="0.35">
      <c r="G38" s="2">
        <v>14</v>
      </c>
      <c r="H38" s="38">
        <v>0</v>
      </c>
      <c r="I38" s="43">
        <v>0</v>
      </c>
      <c r="J38" s="40">
        <v>3.1123999999999999E-2</v>
      </c>
      <c r="K38" s="46">
        <v>2.968277400823564E-2</v>
      </c>
      <c r="L38" s="48">
        <v>3.0130000000000001E-2</v>
      </c>
    </row>
    <row r="39" spans="7:12" x14ac:dyDescent="0.35">
      <c r="G39" s="2">
        <v>15</v>
      </c>
      <c r="H39" s="38">
        <v>1</v>
      </c>
      <c r="I39" s="43">
        <v>0</v>
      </c>
      <c r="J39" s="40">
        <v>3.143E-2</v>
      </c>
      <c r="K39" s="46">
        <v>2.9976190850953703E-2</v>
      </c>
      <c r="L39" s="48">
        <v>3.0429999999999999E-2</v>
      </c>
    </row>
    <row r="40" spans="7:12" x14ac:dyDescent="0.35">
      <c r="G40" s="7">
        <v>16</v>
      </c>
      <c r="H40" s="38">
        <v>0</v>
      </c>
      <c r="I40" s="43">
        <v>0</v>
      </c>
      <c r="J40" s="40">
        <v>3.1741999999999999E-2</v>
      </c>
      <c r="K40" s="46">
        <v>3.0194450992086792E-2</v>
      </c>
      <c r="L40" s="48">
        <v>3.065E-2</v>
      </c>
    </row>
    <row r="41" spans="7:12" x14ac:dyDescent="0.35">
      <c r="G41" s="7">
        <v>17</v>
      </c>
      <c r="H41" s="38">
        <v>0</v>
      </c>
      <c r="I41" s="43">
        <v>0</v>
      </c>
      <c r="J41" s="40">
        <v>3.1960000000000002E-2</v>
      </c>
      <c r="K41" s="46">
        <v>3.0387033469557165E-2</v>
      </c>
      <c r="L41" s="48">
        <v>3.0849999999999999E-2</v>
      </c>
    </row>
    <row r="42" spans="7:12" x14ac:dyDescent="0.35">
      <c r="G42" s="7">
        <v>18</v>
      </c>
      <c r="H42" s="38">
        <v>0</v>
      </c>
      <c r="I42" s="43">
        <v>0</v>
      </c>
      <c r="J42" s="40">
        <v>3.2131E-2</v>
      </c>
      <c r="K42" s="46">
        <v>3.0558217893975267E-2</v>
      </c>
      <c r="L42" s="48">
        <v>3.1029999999999999E-2</v>
      </c>
    </row>
    <row r="43" spans="7:12" x14ac:dyDescent="0.35">
      <c r="G43" s="2">
        <v>19</v>
      </c>
      <c r="H43" s="38">
        <v>0</v>
      </c>
      <c r="I43" s="43">
        <v>0</v>
      </c>
      <c r="J43" s="40">
        <v>3.2272000000000002E-2</v>
      </c>
      <c r="K43" s="46">
        <v>3.0711382905296736E-2</v>
      </c>
      <c r="L43" s="48">
        <v>3.1189999999999999E-2</v>
      </c>
    </row>
    <row r="44" spans="7:12" x14ac:dyDescent="0.35">
      <c r="G44" s="2">
        <v>20</v>
      </c>
      <c r="H44" s="38">
        <v>1</v>
      </c>
      <c r="I44" s="43">
        <v>0.33</v>
      </c>
      <c r="J44" s="40">
        <v>3.2329999999999998E-2</v>
      </c>
      <c r="K44" s="46">
        <v>3.084923141548605E-2</v>
      </c>
      <c r="L44" s="48">
        <v>3.1329999999999997E-2</v>
      </c>
    </row>
    <row r="45" spans="7:12" x14ac:dyDescent="0.35">
      <c r="G45" s="7">
        <v>21</v>
      </c>
      <c r="H45" s="39">
        <v>0</v>
      </c>
      <c r="I45" s="43">
        <v>0</v>
      </c>
      <c r="J45" s="40">
        <v>3.2460000000000003E-2</v>
      </c>
      <c r="K45" s="46">
        <v>3.0888474775886882E-2</v>
      </c>
      <c r="L45" s="48">
        <v>3.1379999999999998E-2</v>
      </c>
    </row>
    <row r="46" spans="7:12" x14ac:dyDescent="0.35">
      <c r="G46" s="7">
        <v>22</v>
      </c>
      <c r="H46" s="39">
        <v>0</v>
      </c>
      <c r="I46" s="43">
        <v>0</v>
      </c>
      <c r="J46" s="40">
        <v>3.2510999999999998E-2</v>
      </c>
      <c r="K46" s="46">
        <v>3.0924150558069449E-2</v>
      </c>
      <c r="L46" s="48">
        <v>3.143E-2</v>
      </c>
    </row>
    <row r="47" spans="7:12" x14ac:dyDescent="0.35">
      <c r="G47" s="7">
        <v>23</v>
      </c>
      <c r="H47" s="39">
        <v>0</v>
      </c>
      <c r="I47" s="43">
        <v>0</v>
      </c>
      <c r="J47" s="40">
        <v>3.2542000000000001E-2</v>
      </c>
      <c r="K47" s="46">
        <v>3.0956724098323101E-2</v>
      </c>
      <c r="L47" s="48">
        <v>3.1480000000000001E-2</v>
      </c>
    </row>
    <row r="48" spans="7:12" x14ac:dyDescent="0.35">
      <c r="G48" s="2">
        <v>24</v>
      </c>
      <c r="H48" s="39">
        <v>0</v>
      </c>
      <c r="I48" s="43">
        <v>0</v>
      </c>
      <c r="J48" s="40">
        <v>3.2550999999999997E-2</v>
      </c>
      <c r="K48" s="46">
        <v>3.0986583176888956E-2</v>
      </c>
      <c r="L48" s="48">
        <v>3.1530000000000002E-2</v>
      </c>
    </row>
    <row r="49" spans="7:12" x14ac:dyDescent="0.35">
      <c r="G49" s="2">
        <v>25</v>
      </c>
      <c r="H49" s="39">
        <v>1</v>
      </c>
      <c r="I49" s="43">
        <v>0.12</v>
      </c>
      <c r="J49" s="40">
        <v>3.2500000000000001E-2</v>
      </c>
      <c r="K49" s="46">
        <v>3.1014053529169538E-2</v>
      </c>
      <c r="L49" s="48">
        <v>3.1570000000000001E-2</v>
      </c>
    </row>
    <row r="50" spans="7:12" x14ac:dyDescent="0.35">
      <c r="G50" s="7">
        <v>26</v>
      </c>
      <c r="H50" s="39">
        <v>0</v>
      </c>
      <c r="I50" s="43">
        <v>0</v>
      </c>
      <c r="J50" s="40">
        <v>3.2539999999999999E-2</v>
      </c>
      <c r="K50" s="46">
        <v>3.0998616195658104E-2</v>
      </c>
      <c r="L50" s="48">
        <v>3.1609999999999999E-2</v>
      </c>
    </row>
    <row r="51" spans="7:12" x14ac:dyDescent="0.35">
      <c r="G51" s="7">
        <v>27</v>
      </c>
      <c r="H51" s="39">
        <v>0</v>
      </c>
      <c r="I51" s="43">
        <v>0</v>
      </c>
      <c r="J51" s="40">
        <v>3.2528000000000001E-2</v>
      </c>
      <c r="K51" s="46">
        <v>3.0984322368332706E-2</v>
      </c>
      <c r="L51" s="48">
        <v>3.1649999999999998E-2</v>
      </c>
    </row>
    <row r="52" spans="7:12" x14ac:dyDescent="0.35">
      <c r="G52" s="7">
        <v>28</v>
      </c>
      <c r="H52" s="39">
        <v>0</v>
      </c>
      <c r="I52" s="43">
        <v>0</v>
      </c>
      <c r="J52" s="40">
        <v>3.2509999999999997E-2</v>
      </c>
      <c r="K52" s="46">
        <v>3.0971049528673404E-2</v>
      </c>
      <c r="L52" s="48">
        <v>3.1690000000000003E-2</v>
      </c>
    </row>
    <row r="53" spans="7:12" x14ac:dyDescent="0.35">
      <c r="G53" s="2">
        <v>29</v>
      </c>
      <c r="H53" s="39">
        <v>0</v>
      </c>
      <c r="I53" s="43">
        <v>0</v>
      </c>
      <c r="J53" s="40">
        <v>3.2489999999999998E-2</v>
      </c>
      <c r="K53" s="46">
        <v>3.0958692057266472E-2</v>
      </c>
      <c r="L53" s="48">
        <v>3.1730000000000001E-2</v>
      </c>
    </row>
    <row r="54" spans="7:12" x14ac:dyDescent="0.35">
      <c r="G54" s="2">
        <v>30</v>
      </c>
      <c r="H54" s="39">
        <v>1</v>
      </c>
      <c r="I54" s="43">
        <v>0.48</v>
      </c>
      <c r="J54" s="40">
        <v>3.2431000000000001E-2</v>
      </c>
      <c r="K54" s="46">
        <v>3.0947158417286666E-2</v>
      </c>
      <c r="L54" s="48">
        <v>3.1759999999999997E-2</v>
      </c>
    </row>
    <row r="55" spans="7:12" x14ac:dyDescent="0.35">
      <c r="G55" s="7">
        <v>31</v>
      </c>
      <c r="H55" s="39">
        <v>0</v>
      </c>
      <c r="I55" s="43">
        <v>0</v>
      </c>
      <c r="J55" s="41" t="e">
        <f>NA()</f>
        <v>#N/A</v>
      </c>
      <c r="K55" s="46">
        <v>3.0900737881867854E-2</v>
      </c>
      <c r="L55" s="48">
        <v>3.1800000000000002E-2</v>
      </c>
    </row>
    <row r="56" spans="7:12" x14ac:dyDescent="0.35">
      <c r="G56" s="7">
        <v>32</v>
      </c>
      <c r="H56" s="39">
        <v>0</v>
      </c>
      <c r="I56" s="43">
        <v>0</v>
      </c>
      <c r="J56" s="41" t="e">
        <f>NA()</f>
        <v>#N/A</v>
      </c>
      <c r="K56" s="46">
        <v>3.0857218629912721E-2</v>
      </c>
      <c r="L56" s="48">
        <v>3.1829999999999997E-2</v>
      </c>
    </row>
    <row r="57" spans="7:12" x14ac:dyDescent="0.35">
      <c r="G57" s="7">
        <v>33</v>
      </c>
      <c r="H57" s="39">
        <v>0</v>
      </c>
      <c r="I57" s="43">
        <v>0</v>
      </c>
      <c r="J57" s="41" t="e">
        <f>NA()</f>
        <v>#N/A</v>
      </c>
      <c r="K57" s="46">
        <v>3.0816336908379108E-2</v>
      </c>
      <c r="L57" s="48">
        <v>3.1859999999999999E-2</v>
      </c>
    </row>
    <row r="58" spans="7:12" x14ac:dyDescent="0.35">
      <c r="G58" s="2">
        <v>34</v>
      </c>
      <c r="H58" s="39">
        <v>0</v>
      </c>
      <c r="I58" s="43">
        <v>0</v>
      </c>
      <c r="J58" s="41" t="e">
        <f>NA()</f>
        <v>#N/A</v>
      </c>
      <c r="K58" s="46">
        <v>3.077785999399453E-2</v>
      </c>
      <c r="L58" s="48">
        <v>3.1890000000000002E-2</v>
      </c>
    </row>
    <row r="59" spans="7:12" x14ac:dyDescent="0.35">
      <c r="G59" s="2">
        <v>35</v>
      </c>
      <c r="H59" s="39">
        <v>0</v>
      </c>
      <c r="I59" s="43">
        <v>0</v>
      </c>
      <c r="J59" s="41" t="e">
        <f>NA()</f>
        <v>#N/A</v>
      </c>
      <c r="K59" s="46">
        <v>3.0741581760431933E-2</v>
      </c>
      <c r="L59" s="48">
        <v>3.1919999999999997E-2</v>
      </c>
    </row>
    <row r="60" spans="7:12" x14ac:dyDescent="0.35">
      <c r="G60" s="7">
        <v>36</v>
      </c>
      <c r="H60" s="39">
        <v>0</v>
      </c>
      <c r="I60" s="43">
        <v>0</v>
      </c>
      <c r="J60" s="41" t="e">
        <f>NA()</f>
        <v>#N/A</v>
      </c>
      <c r="K60" s="46">
        <v>3.0707318984289481E-2</v>
      </c>
      <c r="L60" s="48">
        <v>3.1949999999999999E-2</v>
      </c>
    </row>
    <row r="61" spans="7:12" x14ac:dyDescent="0.35">
      <c r="G61" s="7">
        <v>37</v>
      </c>
      <c r="H61" s="39">
        <v>0</v>
      </c>
      <c r="I61" s="43">
        <v>0</v>
      </c>
      <c r="J61" s="41" t="e">
        <f>NA()</f>
        <v>#N/A</v>
      </c>
      <c r="K61" s="46">
        <v>3.0674908250100667E-2</v>
      </c>
      <c r="L61" s="48">
        <v>3.1969999999999998E-2</v>
      </c>
    </row>
    <row r="62" spans="7:12" x14ac:dyDescent="0.35">
      <c r="G62" s="7">
        <v>38</v>
      </c>
      <c r="H62" s="39">
        <v>0</v>
      </c>
      <c r="I62" s="43">
        <v>0</v>
      </c>
      <c r="J62" s="41" t="e">
        <f>NA()</f>
        <v>#N/A</v>
      </c>
      <c r="K62" s="46">
        <v>3.0644203344027059E-2</v>
      </c>
      <c r="L62" s="48">
        <v>3.2000000000000001E-2</v>
      </c>
    </row>
    <row r="63" spans="7:12" x14ac:dyDescent="0.35">
      <c r="G63" s="2">
        <v>39</v>
      </c>
      <c r="H63" s="39">
        <v>0</v>
      </c>
      <c r="I63" s="43">
        <v>0</v>
      </c>
      <c r="J63" s="41" t="e">
        <f>NA()</f>
        <v>#N/A</v>
      </c>
      <c r="K63" s="46">
        <v>3.0615073048521329E-2</v>
      </c>
      <c r="L63" s="48">
        <v>3.202E-2</v>
      </c>
    </row>
    <row r="64" spans="7:12" x14ac:dyDescent="0.35">
      <c r="G64" s="2">
        <v>40</v>
      </c>
      <c r="H64" s="39">
        <v>1</v>
      </c>
      <c r="I64" s="43">
        <v>0.04</v>
      </c>
      <c r="J64" s="40">
        <v>3.2059999999999998E-2</v>
      </c>
      <c r="K64" s="46">
        <v>3.0587399267790888E-2</v>
      </c>
      <c r="L64" s="48">
        <v>3.2039999999999999E-2</v>
      </c>
    </row>
    <row r="65" spans="7:12" x14ac:dyDescent="0.35">
      <c r="G65" s="7">
        <v>41</v>
      </c>
      <c r="H65" s="39">
        <v>0</v>
      </c>
      <c r="I65" s="43">
        <v>0</v>
      </c>
      <c r="J65" s="41" t="e">
        <f>NA()</f>
        <v>#N/A</v>
      </c>
      <c r="K65" s="46">
        <v>3.0498658848875294E-2</v>
      </c>
      <c r="L65" s="48">
        <v>3.2059999999999998E-2</v>
      </c>
    </row>
    <row r="66" spans="7:12" x14ac:dyDescent="0.35">
      <c r="G66" s="7">
        <v>42</v>
      </c>
      <c r="H66" s="39">
        <v>0</v>
      </c>
      <c r="I66" s="43">
        <v>0</v>
      </c>
      <c r="J66" s="41" t="e">
        <f>NA()</f>
        <v>#N/A</v>
      </c>
      <c r="K66" s="46">
        <v>3.0414144164193777E-2</v>
      </c>
      <c r="L66" s="48">
        <v>3.209E-2</v>
      </c>
    </row>
    <row r="67" spans="7:12" x14ac:dyDescent="0.35">
      <c r="G67" s="7">
        <v>43</v>
      </c>
      <c r="H67" s="39">
        <v>0</v>
      </c>
      <c r="I67" s="43">
        <v>0</v>
      </c>
      <c r="J67" s="41" t="e">
        <f>NA()</f>
        <v>#N/A</v>
      </c>
      <c r="K67" s="46">
        <v>3.0333560395078847E-2</v>
      </c>
      <c r="L67" s="48">
        <v>3.211E-2</v>
      </c>
    </row>
    <row r="68" spans="7:12" x14ac:dyDescent="0.35">
      <c r="G68" s="2">
        <v>44</v>
      </c>
      <c r="H68" s="39">
        <v>0</v>
      </c>
      <c r="I68" s="43">
        <v>0</v>
      </c>
      <c r="J68" s="41" t="e">
        <f>NA()</f>
        <v>#N/A</v>
      </c>
      <c r="K68" s="46">
        <v>3.0256639524560047E-2</v>
      </c>
      <c r="L68" s="48">
        <v>3.2120000000000003E-2</v>
      </c>
    </row>
    <row r="69" spans="7:12" x14ac:dyDescent="0.35">
      <c r="G69" s="2">
        <v>45</v>
      </c>
      <c r="H69" s="39">
        <v>0</v>
      </c>
      <c r="I69" s="43">
        <v>0</v>
      </c>
      <c r="J69" s="41" t="e">
        <f>NA()</f>
        <v>#N/A</v>
      </c>
      <c r="K69" s="46">
        <v>3.0183137359397635E-2</v>
      </c>
      <c r="L69" s="48">
        <v>3.2140000000000002E-2</v>
      </c>
    </row>
    <row r="70" spans="7:12" x14ac:dyDescent="0.35">
      <c r="G70" s="7">
        <v>46</v>
      </c>
      <c r="H70" s="39">
        <v>0</v>
      </c>
      <c r="I70" s="43">
        <v>0</v>
      </c>
      <c r="J70" s="41" t="e">
        <f>NA()</f>
        <v>#N/A</v>
      </c>
      <c r="K70" s="46">
        <v>3.0112830940546634E-2</v>
      </c>
      <c r="L70" s="48">
        <v>3.2160000000000001E-2</v>
      </c>
    </row>
    <row r="71" spans="7:12" x14ac:dyDescent="0.35">
      <c r="G71" s="7">
        <v>47</v>
      </c>
      <c r="H71" s="39">
        <v>0</v>
      </c>
      <c r="I71" s="43">
        <v>0</v>
      </c>
      <c r="J71" s="41" t="e">
        <f>NA()</f>
        <v>#N/A</v>
      </c>
      <c r="K71" s="46">
        <v>3.0045516284199932E-2</v>
      </c>
      <c r="L71" s="48">
        <v>3.218E-2</v>
      </c>
    </row>
    <row r="72" spans="7:12" x14ac:dyDescent="0.35">
      <c r="G72" s="7">
        <v>48</v>
      </c>
      <c r="H72" s="39">
        <v>0</v>
      </c>
      <c r="I72" s="43">
        <v>0</v>
      </c>
      <c r="J72" s="41" t="e">
        <f>NA()</f>
        <v>#N/A</v>
      </c>
      <c r="K72" s="46">
        <v>2.9981006405201013E-2</v>
      </c>
      <c r="L72" s="48">
        <v>3.2190000000000003E-2</v>
      </c>
    </row>
    <row r="73" spans="7:12" x14ac:dyDescent="0.35">
      <c r="G73" s="2">
        <v>49</v>
      </c>
      <c r="H73" s="39">
        <v>0</v>
      </c>
      <c r="I73" s="43">
        <v>0</v>
      </c>
      <c r="J73" s="41" t="e">
        <f>NA()</f>
        <v>#N/A</v>
      </c>
      <c r="K73" s="46">
        <v>2.9919129582487759E-2</v>
      </c>
      <c r="L73" s="48">
        <v>3.2210000000000003E-2</v>
      </c>
    </row>
    <row r="74" spans="7:12" x14ac:dyDescent="0.35">
      <c r="G74" s="2">
        <v>50</v>
      </c>
      <c r="H74" s="39">
        <v>1</v>
      </c>
      <c r="I74" s="43">
        <v>0.03</v>
      </c>
      <c r="J74" s="40">
        <v>3.1309999999999998E-2</v>
      </c>
      <c r="K74" s="46">
        <v>2.9859727832683033E-2</v>
      </c>
      <c r="L74" s="48">
        <v>3.2230000000000002E-2</v>
      </c>
    </row>
    <row r="75" spans="7:12" x14ac:dyDescent="0.35">
      <c r="G75" s="7">
        <v>51</v>
      </c>
      <c r="H75" s="39">
        <v>0</v>
      </c>
      <c r="I75" s="43">
        <v>0</v>
      </c>
      <c r="J75" s="41" t="e">
        <f>NA()</f>
        <v>#N/A</v>
      </c>
      <c r="K75" s="56" t="e">
        <v>#N/A</v>
      </c>
      <c r="L75" s="48">
        <v>3.2239999999999998E-2</v>
      </c>
    </row>
    <row r="76" spans="7:12" x14ac:dyDescent="0.35">
      <c r="G76" s="7">
        <v>52</v>
      </c>
      <c r="H76" s="39">
        <v>0</v>
      </c>
      <c r="I76" s="43">
        <v>0</v>
      </c>
      <c r="J76" s="41" t="e">
        <f>NA()</f>
        <v>#N/A</v>
      </c>
      <c r="K76" s="56" t="e">
        <v>#N/A</v>
      </c>
      <c r="L76" s="48">
        <v>3.2259999999999997E-2</v>
      </c>
    </row>
    <row r="77" spans="7:12" x14ac:dyDescent="0.35">
      <c r="G77" s="7">
        <v>53</v>
      </c>
      <c r="H77" s="39">
        <v>0</v>
      </c>
      <c r="I77" s="43">
        <v>0</v>
      </c>
      <c r="J77" s="41" t="e">
        <f>NA()</f>
        <v>#N/A</v>
      </c>
      <c r="K77" s="56" t="e">
        <v>#N/A</v>
      </c>
      <c r="L77" s="48">
        <v>3.227E-2</v>
      </c>
    </row>
    <row r="78" spans="7:12" x14ac:dyDescent="0.35">
      <c r="G78" s="2">
        <v>54</v>
      </c>
      <c r="H78" s="39">
        <v>0</v>
      </c>
      <c r="I78" s="43">
        <v>0</v>
      </c>
      <c r="J78" s="41" t="e">
        <f>NA()</f>
        <v>#N/A</v>
      </c>
      <c r="K78" s="56" t="e">
        <v>#N/A</v>
      </c>
      <c r="L78" s="48">
        <v>3.2280000000000003E-2</v>
      </c>
    </row>
    <row r="79" spans="7:12" x14ac:dyDescent="0.35">
      <c r="G79" s="2">
        <v>55</v>
      </c>
      <c r="H79" s="39">
        <v>0</v>
      </c>
      <c r="I79" s="43">
        <v>0</v>
      </c>
      <c r="J79" s="41" t="e">
        <f>NA()</f>
        <v>#N/A</v>
      </c>
      <c r="K79" s="56" t="e">
        <v>#N/A</v>
      </c>
      <c r="L79" s="48">
        <v>3.2289999999999999E-2</v>
      </c>
    </row>
    <row r="80" spans="7:12" x14ac:dyDescent="0.35">
      <c r="G80" s="7">
        <v>56</v>
      </c>
      <c r="H80" s="39">
        <v>0</v>
      </c>
      <c r="I80" s="43">
        <v>0</v>
      </c>
      <c r="J80" s="41" t="e">
        <f>NA()</f>
        <v>#N/A</v>
      </c>
      <c r="K80" s="56" t="e">
        <v>#N/A</v>
      </c>
      <c r="L80" s="48">
        <v>3.2309999999999998E-2</v>
      </c>
    </row>
    <row r="81" spans="7:12" x14ac:dyDescent="0.35">
      <c r="G81" s="7">
        <v>57</v>
      </c>
      <c r="H81" s="39">
        <v>0</v>
      </c>
      <c r="I81" s="43">
        <v>0</v>
      </c>
      <c r="J81" s="41" t="e">
        <f>NA()</f>
        <v>#N/A</v>
      </c>
      <c r="K81" s="56" t="e">
        <v>#N/A</v>
      </c>
      <c r="L81" s="48">
        <v>3.2320000000000002E-2</v>
      </c>
    </row>
    <row r="82" spans="7:12" x14ac:dyDescent="0.35">
      <c r="G82" s="7">
        <v>58</v>
      </c>
      <c r="H82" s="39">
        <v>0</v>
      </c>
      <c r="I82" s="43">
        <v>0</v>
      </c>
      <c r="J82" s="41" t="e">
        <f>NA()</f>
        <v>#N/A</v>
      </c>
      <c r="K82" s="56" t="e">
        <v>#N/A</v>
      </c>
      <c r="L82" s="48">
        <v>3.2329999999999998E-2</v>
      </c>
    </row>
    <row r="83" spans="7:12" x14ac:dyDescent="0.35">
      <c r="G83" s="2">
        <v>59</v>
      </c>
      <c r="H83" s="39">
        <v>0</v>
      </c>
      <c r="I83" s="43">
        <v>0</v>
      </c>
      <c r="J83" s="41" t="e">
        <f>NA()</f>
        <v>#N/A</v>
      </c>
      <c r="K83" s="56" t="e">
        <v>#N/A</v>
      </c>
      <c r="L83" s="48">
        <v>3.2340000000000001E-2</v>
      </c>
    </row>
    <row r="84" spans="7:12" x14ac:dyDescent="0.35">
      <c r="G84" s="2">
        <v>60</v>
      </c>
      <c r="H84" s="39">
        <v>0</v>
      </c>
      <c r="I84" s="43">
        <v>0</v>
      </c>
      <c r="J84" s="41" t="e">
        <f>NA()</f>
        <v>#N/A</v>
      </c>
      <c r="K84" s="56" t="e">
        <v>#N/A</v>
      </c>
      <c r="L84" s="48">
        <v>3.2349999999999997E-2</v>
      </c>
    </row>
    <row r="85" spans="7:12" x14ac:dyDescent="0.35">
      <c r="G85" s="7">
        <v>61</v>
      </c>
      <c r="H85" s="39">
        <v>0</v>
      </c>
      <c r="I85" s="43">
        <v>0</v>
      </c>
      <c r="J85" s="41" t="e">
        <f>NA()</f>
        <v>#N/A</v>
      </c>
      <c r="K85" s="56" t="e">
        <v>#N/A</v>
      </c>
      <c r="L85" s="48">
        <v>3.236E-2</v>
      </c>
    </row>
    <row r="86" spans="7:12" x14ac:dyDescent="0.35">
      <c r="G86" s="7">
        <v>62</v>
      </c>
      <c r="H86" s="39">
        <v>0</v>
      </c>
      <c r="I86" s="43">
        <v>0</v>
      </c>
      <c r="J86" s="41" t="e">
        <f>NA()</f>
        <v>#N/A</v>
      </c>
      <c r="K86" s="56" t="e">
        <v>#N/A</v>
      </c>
      <c r="L86" s="48">
        <v>3.2370000000000003E-2</v>
      </c>
    </row>
    <row r="87" spans="7:12" x14ac:dyDescent="0.35">
      <c r="G87" s="7">
        <v>63</v>
      </c>
      <c r="H87" s="39">
        <v>0</v>
      </c>
      <c r="I87" s="43">
        <v>0</v>
      </c>
      <c r="J87" s="41" t="e">
        <f>NA()</f>
        <v>#N/A</v>
      </c>
      <c r="K87" s="56" t="e">
        <v>#N/A</v>
      </c>
      <c r="L87" s="48">
        <v>3.2379999999999999E-2</v>
      </c>
    </row>
    <row r="88" spans="7:12" x14ac:dyDescent="0.35">
      <c r="G88" s="2">
        <v>64</v>
      </c>
      <c r="H88" s="39">
        <v>0</v>
      </c>
      <c r="I88" s="43">
        <v>0</v>
      </c>
      <c r="J88" s="41" t="e">
        <f>NA()</f>
        <v>#N/A</v>
      </c>
      <c r="K88" s="56" t="e">
        <v>#N/A</v>
      </c>
      <c r="L88" s="48">
        <v>3.2390000000000002E-2</v>
      </c>
    </row>
    <row r="89" spans="7:12" x14ac:dyDescent="0.35">
      <c r="G89" s="2">
        <v>65</v>
      </c>
      <c r="H89" s="39">
        <v>0</v>
      </c>
      <c r="I89" s="43">
        <v>0</v>
      </c>
      <c r="J89" s="41" t="e">
        <f>NA()</f>
        <v>#N/A</v>
      </c>
      <c r="K89" s="56" t="e">
        <v>#N/A</v>
      </c>
      <c r="L89" s="48">
        <v>3.2399999999999998E-2</v>
      </c>
    </row>
    <row r="90" spans="7:12" x14ac:dyDescent="0.35">
      <c r="G90" s="7">
        <v>66</v>
      </c>
      <c r="H90" s="39">
        <v>0</v>
      </c>
      <c r="I90" s="43">
        <v>0</v>
      </c>
      <c r="J90" s="41" t="e">
        <f>NA()</f>
        <v>#N/A</v>
      </c>
      <c r="K90" s="56" t="e">
        <v>#N/A</v>
      </c>
      <c r="L90" s="48">
        <v>3.2410000000000001E-2</v>
      </c>
    </row>
    <row r="91" spans="7:12" x14ac:dyDescent="0.35">
      <c r="G91" s="7">
        <v>67</v>
      </c>
      <c r="H91" s="39">
        <v>0</v>
      </c>
      <c r="I91" s="43">
        <v>0</v>
      </c>
      <c r="J91" s="41" t="e">
        <f>NA()</f>
        <v>#N/A</v>
      </c>
      <c r="K91" s="56" t="e">
        <v>#N/A</v>
      </c>
      <c r="L91" s="48">
        <v>3.2419999999999997E-2</v>
      </c>
    </row>
    <row r="92" spans="7:12" x14ac:dyDescent="0.35">
      <c r="G92" s="7">
        <v>68</v>
      </c>
      <c r="H92" s="39">
        <v>0</v>
      </c>
      <c r="I92" s="43">
        <v>0</v>
      </c>
      <c r="J92" s="41" t="e">
        <f>NA()</f>
        <v>#N/A</v>
      </c>
      <c r="K92" s="56" t="e">
        <v>#N/A</v>
      </c>
      <c r="L92" s="48">
        <v>3.243E-2</v>
      </c>
    </row>
    <row r="93" spans="7:12" x14ac:dyDescent="0.35">
      <c r="G93" s="2">
        <v>69</v>
      </c>
      <c r="H93" s="39">
        <v>0</v>
      </c>
      <c r="I93" s="43">
        <v>0</v>
      </c>
      <c r="J93" s="41" t="e">
        <f>NA()</f>
        <v>#N/A</v>
      </c>
      <c r="K93" s="56" t="e">
        <v>#N/A</v>
      </c>
      <c r="L93" s="48">
        <v>3.2439999999999997E-2</v>
      </c>
    </row>
    <row r="94" spans="7:12" x14ac:dyDescent="0.35">
      <c r="G94" s="2">
        <v>70</v>
      </c>
      <c r="H94" s="39">
        <v>0</v>
      </c>
      <c r="I94" s="43">
        <v>0</v>
      </c>
      <c r="J94" s="41" t="e">
        <f>NA()</f>
        <v>#N/A</v>
      </c>
      <c r="K94" s="56" t="e">
        <v>#N/A</v>
      </c>
      <c r="L94" s="48">
        <v>3.2439999999999997E-2</v>
      </c>
    </row>
    <row r="95" spans="7:12" x14ac:dyDescent="0.35">
      <c r="G95" s="7">
        <v>71</v>
      </c>
      <c r="H95" s="39">
        <v>0</v>
      </c>
      <c r="I95" s="43">
        <v>0</v>
      </c>
      <c r="J95" s="41" t="e">
        <f>NA()</f>
        <v>#N/A</v>
      </c>
      <c r="K95" s="56" t="e">
        <v>#N/A</v>
      </c>
      <c r="L95" s="48">
        <v>3.245E-2</v>
      </c>
    </row>
    <row r="96" spans="7:12" x14ac:dyDescent="0.35">
      <c r="G96" s="7">
        <v>72</v>
      </c>
      <c r="H96" s="39">
        <v>0</v>
      </c>
      <c r="I96" s="43">
        <v>0</v>
      </c>
      <c r="J96" s="41" t="e">
        <f>NA()</f>
        <v>#N/A</v>
      </c>
      <c r="K96" s="56" t="e">
        <v>#N/A</v>
      </c>
      <c r="L96" s="48">
        <v>3.2460000000000003E-2</v>
      </c>
    </row>
    <row r="97" spans="7:12" x14ac:dyDescent="0.35">
      <c r="G97" s="7">
        <v>73</v>
      </c>
      <c r="H97" s="39">
        <v>0</v>
      </c>
      <c r="I97" s="43">
        <v>0</v>
      </c>
      <c r="J97" s="41" t="e">
        <f>NA()</f>
        <v>#N/A</v>
      </c>
      <c r="K97" s="56" t="e">
        <v>#N/A</v>
      </c>
      <c r="L97" s="48">
        <v>3.2469999999999999E-2</v>
      </c>
    </row>
    <row r="98" spans="7:12" x14ac:dyDescent="0.35">
      <c r="G98" s="2">
        <v>74</v>
      </c>
      <c r="H98" s="39">
        <v>0</v>
      </c>
      <c r="I98" s="43">
        <v>0</v>
      </c>
      <c r="J98" s="41" t="e">
        <f>NA()</f>
        <v>#N/A</v>
      </c>
      <c r="K98" s="56" t="e">
        <v>#N/A</v>
      </c>
      <c r="L98" s="48">
        <v>3.2469999999999999E-2</v>
      </c>
    </row>
    <row r="99" spans="7:12" x14ac:dyDescent="0.35">
      <c r="G99" s="2">
        <v>75</v>
      </c>
      <c r="H99" s="39">
        <v>0</v>
      </c>
      <c r="I99" s="43">
        <v>0</v>
      </c>
      <c r="J99" s="41" t="e">
        <f>NA()</f>
        <v>#N/A</v>
      </c>
      <c r="K99" s="56" t="e">
        <v>#N/A</v>
      </c>
      <c r="L99" s="48">
        <v>3.2480000000000002E-2</v>
      </c>
    </row>
    <row r="100" spans="7:12" x14ac:dyDescent="0.35">
      <c r="G100" s="7">
        <v>76</v>
      </c>
      <c r="H100" s="39">
        <v>0</v>
      </c>
      <c r="I100" s="43">
        <v>0</v>
      </c>
      <c r="J100" s="41" t="e">
        <f>NA()</f>
        <v>#N/A</v>
      </c>
      <c r="K100" s="56" t="e">
        <v>#N/A</v>
      </c>
      <c r="L100" s="48">
        <v>3.2489999999999998E-2</v>
      </c>
    </row>
    <row r="101" spans="7:12" x14ac:dyDescent="0.35">
      <c r="G101" s="7">
        <v>77</v>
      </c>
      <c r="H101" s="39">
        <v>0</v>
      </c>
      <c r="I101" s="43">
        <v>0</v>
      </c>
      <c r="J101" s="41" t="e">
        <f>NA()</f>
        <v>#N/A</v>
      </c>
      <c r="K101" s="56" t="e">
        <v>#N/A</v>
      </c>
      <c r="L101" s="48">
        <v>3.2489999999999998E-2</v>
      </c>
    </row>
    <row r="102" spans="7:12" x14ac:dyDescent="0.35">
      <c r="G102" s="7">
        <v>78</v>
      </c>
      <c r="H102" s="39">
        <v>0</v>
      </c>
      <c r="I102" s="43">
        <v>0</v>
      </c>
      <c r="J102" s="41" t="e">
        <f>NA()</f>
        <v>#N/A</v>
      </c>
      <c r="K102" s="56" t="e">
        <v>#N/A</v>
      </c>
      <c r="L102" s="48">
        <v>3.2500000000000001E-2</v>
      </c>
    </row>
    <row r="103" spans="7:12" x14ac:dyDescent="0.35">
      <c r="G103" s="2">
        <v>79</v>
      </c>
      <c r="H103" s="39">
        <v>0</v>
      </c>
      <c r="I103" s="43">
        <v>0</v>
      </c>
      <c r="J103" s="41" t="e">
        <f>NA()</f>
        <v>#N/A</v>
      </c>
      <c r="K103" s="56" t="e">
        <v>#N/A</v>
      </c>
      <c r="L103" s="48">
        <v>3.2509999999999997E-2</v>
      </c>
    </row>
    <row r="104" spans="7:12" x14ac:dyDescent="0.35">
      <c r="G104" s="2">
        <v>80</v>
      </c>
      <c r="H104" s="39">
        <v>0</v>
      </c>
      <c r="I104" s="43">
        <v>0</v>
      </c>
      <c r="J104" s="41" t="e">
        <f>NA()</f>
        <v>#N/A</v>
      </c>
      <c r="K104" s="56" t="e">
        <v>#N/A</v>
      </c>
      <c r="L104" s="48">
        <v>3.2509999999999997E-2</v>
      </c>
    </row>
    <row r="105" spans="7:12" x14ac:dyDescent="0.35">
      <c r="G105" s="7">
        <v>81</v>
      </c>
      <c r="H105" s="39">
        <v>0</v>
      </c>
      <c r="I105" s="43">
        <v>0</v>
      </c>
      <c r="J105" s="41" t="e">
        <f>NA()</f>
        <v>#N/A</v>
      </c>
      <c r="K105" s="56" t="e">
        <v>#N/A</v>
      </c>
      <c r="L105" s="48">
        <v>3.252E-2</v>
      </c>
    </row>
    <row r="106" spans="7:12" x14ac:dyDescent="0.35">
      <c r="G106" s="7">
        <v>82</v>
      </c>
      <c r="H106" s="39">
        <v>0</v>
      </c>
      <c r="I106" s="43">
        <v>0</v>
      </c>
      <c r="J106" s="41" t="e">
        <f>NA()</f>
        <v>#N/A</v>
      </c>
      <c r="K106" s="56" t="e">
        <v>#N/A</v>
      </c>
      <c r="L106" s="48">
        <v>3.2530000000000003E-2</v>
      </c>
    </row>
    <row r="107" spans="7:12" x14ac:dyDescent="0.35">
      <c r="G107" s="7">
        <v>83</v>
      </c>
      <c r="H107" s="39">
        <v>0</v>
      </c>
      <c r="I107" s="43">
        <v>0</v>
      </c>
      <c r="J107" s="41" t="e">
        <f>NA()</f>
        <v>#N/A</v>
      </c>
      <c r="K107" s="56" t="e">
        <v>#N/A</v>
      </c>
      <c r="L107" s="48">
        <v>3.2530000000000003E-2</v>
      </c>
    </row>
    <row r="108" spans="7:12" x14ac:dyDescent="0.35">
      <c r="G108" s="2">
        <v>84</v>
      </c>
      <c r="H108" s="39">
        <v>0</v>
      </c>
      <c r="I108" s="43">
        <v>0</v>
      </c>
      <c r="J108" s="41" t="e">
        <f>NA()</f>
        <v>#N/A</v>
      </c>
      <c r="K108" s="56" t="e">
        <v>#N/A</v>
      </c>
      <c r="L108" s="48">
        <v>3.2539999999999999E-2</v>
      </c>
    </row>
    <row r="109" spans="7:12" x14ac:dyDescent="0.35">
      <c r="G109" s="2">
        <v>85</v>
      </c>
      <c r="H109" s="39">
        <v>0</v>
      </c>
      <c r="I109" s="43">
        <v>0</v>
      </c>
      <c r="J109" s="41" t="e">
        <f>NA()</f>
        <v>#N/A</v>
      </c>
      <c r="K109" s="56" t="e">
        <v>#N/A</v>
      </c>
      <c r="L109" s="48">
        <v>3.2539999999999999E-2</v>
      </c>
    </row>
    <row r="110" spans="7:12" x14ac:dyDescent="0.35">
      <c r="G110" s="7">
        <v>86</v>
      </c>
      <c r="H110" s="39">
        <v>0</v>
      </c>
      <c r="I110" s="43">
        <v>0</v>
      </c>
      <c r="J110" s="41" t="e">
        <f>NA()</f>
        <v>#N/A</v>
      </c>
      <c r="K110" s="56" t="e">
        <v>#N/A</v>
      </c>
      <c r="L110" s="48">
        <v>3.2550000000000003E-2</v>
      </c>
    </row>
    <row r="111" spans="7:12" x14ac:dyDescent="0.35">
      <c r="G111" s="7">
        <v>87</v>
      </c>
      <c r="H111" s="39">
        <v>0</v>
      </c>
      <c r="I111" s="43">
        <v>0</v>
      </c>
      <c r="J111" s="41" t="e">
        <f>NA()</f>
        <v>#N/A</v>
      </c>
      <c r="K111" s="56" t="e">
        <v>#N/A</v>
      </c>
      <c r="L111" s="48">
        <v>3.2550000000000003E-2</v>
      </c>
    </row>
    <row r="112" spans="7:12" x14ac:dyDescent="0.35">
      <c r="G112" s="7">
        <v>88</v>
      </c>
      <c r="H112" s="39">
        <v>0</v>
      </c>
      <c r="I112" s="43">
        <v>0</v>
      </c>
      <c r="J112" s="41" t="e">
        <f>NA()</f>
        <v>#N/A</v>
      </c>
      <c r="K112" s="56" t="e">
        <v>#N/A</v>
      </c>
      <c r="L112" s="48">
        <v>3.2559999999999999E-2</v>
      </c>
    </row>
    <row r="113" spans="7:12" x14ac:dyDescent="0.35">
      <c r="G113" s="2">
        <v>89</v>
      </c>
      <c r="H113" s="39">
        <v>0</v>
      </c>
      <c r="I113" s="43">
        <v>0</v>
      </c>
      <c r="J113" s="41" t="e">
        <f>NA()</f>
        <v>#N/A</v>
      </c>
      <c r="K113" s="56" t="e">
        <v>#N/A</v>
      </c>
      <c r="L113" s="48">
        <v>3.2559999999999999E-2</v>
      </c>
    </row>
    <row r="114" spans="7:12" x14ac:dyDescent="0.35">
      <c r="G114" s="2">
        <v>90</v>
      </c>
      <c r="H114" s="39">
        <v>0</v>
      </c>
      <c r="I114" s="43">
        <v>0</v>
      </c>
      <c r="J114" s="41" t="e">
        <f>NA()</f>
        <v>#N/A</v>
      </c>
      <c r="K114" s="56" t="e">
        <v>#N/A</v>
      </c>
      <c r="L114" s="48">
        <v>3.2570000000000002E-2</v>
      </c>
    </row>
    <row r="115" spans="7:12" x14ac:dyDescent="0.35">
      <c r="G115" s="7">
        <v>91</v>
      </c>
      <c r="H115" s="39">
        <v>0</v>
      </c>
      <c r="I115" s="43">
        <v>0</v>
      </c>
      <c r="J115" s="41" t="e">
        <f>NA()</f>
        <v>#N/A</v>
      </c>
      <c r="K115" s="56" t="e">
        <v>#N/A</v>
      </c>
      <c r="L115" s="48">
        <v>3.2570000000000002E-2</v>
      </c>
    </row>
    <row r="116" spans="7:12" x14ac:dyDescent="0.35">
      <c r="G116" s="7">
        <v>92</v>
      </c>
      <c r="H116" s="39">
        <v>0</v>
      </c>
      <c r="I116" s="43">
        <v>0</v>
      </c>
      <c r="J116" s="41" t="e">
        <f>NA()</f>
        <v>#N/A</v>
      </c>
      <c r="K116" s="56" t="e">
        <v>#N/A</v>
      </c>
      <c r="L116" s="48">
        <v>3.2579999999999998E-2</v>
      </c>
    </row>
    <row r="117" spans="7:12" x14ac:dyDescent="0.35">
      <c r="G117" s="7">
        <v>93</v>
      </c>
      <c r="H117" s="39">
        <v>0</v>
      </c>
      <c r="I117" s="43">
        <v>0</v>
      </c>
      <c r="J117" s="41" t="e">
        <f>NA()</f>
        <v>#N/A</v>
      </c>
      <c r="K117" s="56" t="e">
        <v>#N/A</v>
      </c>
      <c r="L117" s="48">
        <v>3.2579999999999998E-2</v>
      </c>
    </row>
    <row r="118" spans="7:12" x14ac:dyDescent="0.35">
      <c r="G118" s="2">
        <v>94</v>
      </c>
      <c r="H118" s="39">
        <v>0</v>
      </c>
      <c r="I118" s="43">
        <v>0</v>
      </c>
      <c r="J118" s="41" t="e">
        <f>NA()</f>
        <v>#N/A</v>
      </c>
      <c r="K118" s="56" t="e">
        <v>#N/A</v>
      </c>
      <c r="L118" s="48">
        <v>3.2590000000000001E-2</v>
      </c>
    </row>
    <row r="119" spans="7:12" x14ac:dyDescent="0.35">
      <c r="G119" s="2">
        <v>95</v>
      </c>
      <c r="H119" s="39">
        <v>0</v>
      </c>
      <c r="I119" s="43">
        <v>0</v>
      </c>
      <c r="J119" s="41" t="e">
        <f>NA()</f>
        <v>#N/A</v>
      </c>
      <c r="K119" s="56" t="e">
        <v>#N/A</v>
      </c>
      <c r="L119" s="48">
        <v>3.2590000000000001E-2</v>
      </c>
    </row>
    <row r="120" spans="7:12" x14ac:dyDescent="0.35">
      <c r="G120" s="7">
        <v>96</v>
      </c>
      <c r="H120" s="39">
        <v>0</v>
      </c>
      <c r="I120" s="43">
        <v>0</v>
      </c>
      <c r="J120" s="41" t="e">
        <f>NA()</f>
        <v>#N/A</v>
      </c>
      <c r="K120" s="56" t="e">
        <v>#N/A</v>
      </c>
      <c r="L120" s="48">
        <v>3.2590000000000001E-2</v>
      </c>
    </row>
    <row r="121" spans="7:12" x14ac:dyDescent="0.35">
      <c r="G121" s="7">
        <v>97</v>
      </c>
      <c r="H121" s="39">
        <v>0</v>
      </c>
      <c r="I121" s="43">
        <v>0</v>
      </c>
      <c r="J121" s="41" t="e">
        <f>NA()</f>
        <v>#N/A</v>
      </c>
      <c r="K121" s="56" t="e">
        <v>#N/A</v>
      </c>
      <c r="L121" s="48">
        <v>3.2599999999999997E-2</v>
      </c>
    </row>
    <row r="122" spans="7:12" x14ac:dyDescent="0.35">
      <c r="G122" s="7">
        <v>98</v>
      </c>
      <c r="H122" s="39">
        <v>0</v>
      </c>
      <c r="I122" s="43">
        <v>0</v>
      </c>
      <c r="J122" s="41" t="e">
        <f>NA()</f>
        <v>#N/A</v>
      </c>
      <c r="K122" s="56" t="e">
        <v>#N/A</v>
      </c>
      <c r="L122" s="48">
        <v>3.2599999999999997E-2</v>
      </c>
    </row>
    <row r="123" spans="7:12" x14ac:dyDescent="0.35">
      <c r="G123" s="2">
        <v>99</v>
      </c>
      <c r="H123" s="39">
        <v>0</v>
      </c>
      <c r="I123" s="43">
        <v>0</v>
      </c>
      <c r="J123" s="41" t="e">
        <f>NA()</f>
        <v>#N/A</v>
      </c>
      <c r="K123" s="56" t="e">
        <v>#N/A</v>
      </c>
      <c r="L123" s="48">
        <v>3.261E-2</v>
      </c>
    </row>
    <row r="124" spans="7:12" x14ac:dyDescent="0.35">
      <c r="G124" s="2">
        <v>100</v>
      </c>
      <c r="H124" s="39">
        <v>0</v>
      </c>
      <c r="I124" s="43">
        <v>0</v>
      </c>
      <c r="J124" s="41" t="e">
        <f>NA()</f>
        <v>#N/A</v>
      </c>
      <c r="K124" s="56" t="e">
        <v>#N/A</v>
      </c>
      <c r="L124" s="48">
        <v>3.261E-2</v>
      </c>
    </row>
    <row r="125" spans="7:12" x14ac:dyDescent="0.35">
      <c r="G125" s="7">
        <v>101</v>
      </c>
      <c r="H125" s="39">
        <v>0</v>
      </c>
      <c r="I125" s="43">
        <v>0</v>
      </c>
      <c r="J125" s="41" t="e">
        <f>NA()</f>
        <v>#N/A</v>
      </c>
      <c r="K125" s="56" t="e">
        <v>#N/A</v>
      </c>
      <c r="L125" s="48">
        <v>3.261E-2</v>
      </c>
    </row>
    <row r="126" spans="7:12" x14ac:dyDescent="0.35">
      <c r="G126" s="7">
        <v>102</v>
      </c>
      <c r="H126" s="39">
        <v>0</v>
      </c>
      <c r="I126" s="43">
        <v>0</v>
      </c>
      <c r="J126" s="41" t="e">
        <f>NA()</f>
        <v>#N/A</v>
      </c>
      <c r="K126" s="56" t="e">
        <v>#N/A</v>
      </c>
      <c r="L126" s="48">
        <v>3.2620000000000003E-2</v>
      </c>
    </row>
    <row r="127" spans="7:12" x14ac:dyDescent="0.35">
      <c r="G127" s="7">
        <v>103</v>
      </c>
      <c r="H127" s="39">
        <v>0</v>
      </c>
      <c r="I127" s="43">
        <v>0</v>
      </c>
      <c r="J127" s="41" t="e">
        <f>NA()</f>
        <v>#N/A</v>
      </c>
      <c r="K127" s="56" t="e">
        <v>#N/A</v>
      </c>
      <c r="L127" s="48">
        <v>3.2620000000000003E-2</v>
      </c>
    </row>
    <row r="128" spans="7:12" x14ac:dyDescent="0.35">
      <c r="G128" s="2">
        <v>104</v>
      </c>
      <c r="H128" s="39">
        <v>0</v>
      </c>
      <c r="I128" s="43">
        <v>0</v>
      </c>
      <c r="J128" s="41" t="e">
        <f>NA()</f>
        <v>#N/A</v>
      </c>
      <c r="K128" s="56" t="e">
        <v>#N/A</v>
      </c>
      <c r="L128" s="48">
        <v>3.2629999999999999E-2</v>
      </c>
    </row>
    <row r="129" spans="7:12" x14ac:dyDescent="0.35">
      <c r="G129" s="2">
        <v>105</v>
      </c>
      <c r="H129" s="39">
        <v>0</v>
      </c>
      <c r="I129" s="43">
        <v>0</v>
      </c>
      <c r="J129" s="41" t="e">
        <f>NA()</f>
        <v>#N/A</v>
      </c>
      <c r="K129" s="56" t="e">
        <v>#N/A</v>
      </c>
      <c r="L129" s="48">
        <v>3.2629999999999999E-2</v>
      </c>
    </row>
    <row r="130" spans="7:12" x14ac:dyDescent="0.35">
      <c r="G130" s="7">
        <v>106</v>
      </c>
      <c r="H130" s="39">
        <v>0</v>
      </c>
      <c r="I130" s="43">
        <v>0</v>
      </c>
      <c r="J130" s="41" t="e">
        <f>NA()</f>
        <v>#N/A</v>
      </c>
      <c r="K130" s="56" t="e">
        <v>#N/A</v>
      </c>
      <c r="L130" s="48">
        <v>3.2629999999999999E-2</v>
      </c>
    </row>
    <row r="131" spans="7:12" x14ac:dyDescent="0.35">
      <c r="G131" s="7">
        <v>107</v>
      </c>
      <c r="H131" s="39">
        <v>0</v>
      </c>
      <c r="I131" s="43">
        <v>0</v>
      </c>
      <c r="J131" s="41" t="e">
        <f>NA()</f>
        <v>#N/A</v>
      </c>
      <c r="K131" s="56" t="e">
        <v>#N/A</v>
      </c>
      <c r="L131" s="48">
        <v>3.2640000000000002E-2</v>
      </c>
    </row>
    <row r="132" spans="7:12" x14ac:dyDescent="0.35">
      <c r="G132" s="7">
        <v>108</v>
      </c>
      <c r="H132" s="39">
        <v>0</v>
      </c>
      <c r="I132" s="43">
        <v>0</v>
      </c>
      <c r="J132" s="41" t="e">
        <f>NA()</f>
        <v>#N/A</v>
      </c>
      <c r="K132" s="56" t="e">
        <v>#N/A</v>
      </c>
      <c r="L132" s="48">
        <v>3.2640000000000002E-2</v>
      </c>
    </row>
    <row r="133" spans="7:12" x14ac:dyDescent="0.35">
      <c r="G133" s="2">
        <v>109</v>
      </c>
      <c r="H133" s="39">
        <v>0</v>
      </c>
      <c r="I133" s="43">
        <v>0</v>
      </c>
      <c r="J133" s="41" t="e">
        <f>NA()</f>
        <v>#N/A</v>
      </c>
      <c r="K133" s="56" t="e">
        <v>#N/A</v>
      </c>
      <c r="L133" s="48">
        <v>3.2640000000000002E-2</v>
      </c>
    </row>
    <row r="134" spans="7:12" x14ac:dyDescent="0.35">
      <c r="G134" s="2">
        <v>110</v>
      </c>
      <c r="H134" s="39">
        <v>0</v>
      </c>
      <c r="I134" s="43">
        <v>0</v>
      </c>
      <c r="J134" s="41" t="e">
        <f>NA()</f>
        <v>#N/A</v>
      </c>
      <c r="K134" s="56" t="e">
        <v>#N/A</v>
      </c>
      <c r="L134" s="48">
        <v>3.2649999999999998E-2</v>
      </c>
    </row>
    <row r="135" spans="7:12" x14ac:dyDescent="0.35">
      <c r="G135" s="7">
        <v>111</v>
      </c>
      <c r="H135" s="39">
        <v>0</v>
      </c>
      <c r="I135" s="43">
        <v>0</v>
      </c>
      <c r="J135" s="41" t="e">
        <f>NA()</f>
        <v>#N/A</v>
      </c>
      <c r="K135" s="56" t="e">
        <v>#N/A</v>
      </c>
      <c r="L135" s="48">
        <v>3.2649999999999998E-2</v>
      </c>
    </row>
    <row r="136" spans="7:12" x14ac:dyDescent="0.35">
      <c r="G136" s="7">
        <v>112</v>
      </c>
      <c r="H136" s="39">
        <v>0</v>
      </c>
      <c r="I136" s="43">
        <v>0</v>
      </c>
      <c r="J136" s="41" t="e">
        <f>NA()</f>
        <v>#N/A</v>
      </c>
      <c r="K136" s="56" t="e">
        <v>#N/A</v>
      </c>
      <c r="L136" s="48">
        <v>3.2649999999999998E-2</v>
      </c>
    </row>
    <row r="137" spans="7:12" x14ac:dyDescent="0.35">
      <c r="G137" s="7">
        <v>113</v>
      </c>
      <c r="H137" s="39">
        <v>0</v>
      </c>
      <c r="I137" s="43">
        <v>0</v>
      </c>
      <c r="J137" s="41" t="e">
        <f>NA()</f>
        <v>#N/A</v>
      </c>
      <c r="K137" s="56" t="e">
        <v>#N/A</v>
      </c>
      <c r="L137" s="48">
        <v>3.2660000000000002E-2</v>
      </c>
    </row>
    <row r="138" spans="7:12" x14ac:dyDescent="0.35">
      <c r="G138" s="2">
        <v>114</v>
      </c>
      <c r="H138" s="39">
        <v>0</v>
      </c>
      <c r="I138" s="43">
        <v>0</v>
      </c>
      <c r="J138" s="41" t="e">
        <f>NA()</f>
        <v>#N/A</v>
      </c>
      <c r="K138" s="56" t="e">
        <v>#N/A</v>
      </c>
      <c r="L138" s="48">
        <v>3.2660000000000002E-2</v>
      </c>
    </row>
    <row r="139" spans="7:12" x14ac:dyDescent="0.35">
      <c r="G139" s="2">
        <v>115</v>
      </c>
      <c r="H139" s="39">
        <v>0</v>
      </c>
      <c r="I139" s="43">
        <v>0</v>
      </c>
      <c r="J139" s="41" t="e">
        <f>NA()</f>
        <v>#N/A</v>
      </c>
      <c r="K139" s="56" t="e">
        <v>#N/A</v>
      </c>
      <c r="L139" s="48">
        <v>3.2660000000000002E-2</v>
      </c>
    </row>
    <row r="140" spans="7:12" x14ac:dyDescent="0.35">
      <c r="G140" s="7">
        <v>116</v>
      </c>
      <c r="H140" s="39">
        <v>0</v>
      </c>
      <c r="I140" s="43">
        <v>0</v>
      </c>
      <c r="J140" s="41" t="e">
        <f>NA()</f>
        <v>#N/A</v>
      </c>
      <c r="K140" s="56" t="e">
        <v>#N/A</v>
      </c>
      <c r="L140" s="48">
        <v>3.2660000000000002E-2</v>
      </c>
    </row>
    <row r="141" spans="7:12" x14ac:dyDescent="0.35">
      <c r="G141" s="7">
        <v>117</v>
      </c>
      <c r="H141" s="39">
        <v>0</v>
      </c>
      <c r="I141" s="43">
        <v>0</v>
      </c>
      <c r="J141" s="41" t="e">
        <f>NA()</f>
        <v>#N/A</v>
      </c>
      <c r="K141" s="56" t="e">
        <v>#N/A</v>
      </c>
      <c r="L141" s="48">
        <v>3.2669999999999998E-2</v>
      </c>
    </row>
    <row r="142" spans="7:12" x14ac:dyDescent="0.35">
      <c r="G142" s="7">
        <v>118</v>
      </c>
      <c r="H142" s="39">
        <v>0</v>
      </c>
      <c r="I142" s="43">
        <v>0</v>
      </c>
      <c r="J142" s="41" t="e">
        <f>NA()</f>
        <v>#N/A</v>
      </c>
      <c r="K142" s="56" t="e">
        <v>#N/A</v>
      </c>
      <c r="L142" s="48">
        <v>3.2669999999999998E-2</v>
      </c>
    </row>
    <row r="143" spans="7:12" x14ac:dyDescent="0.35">
      <c r="G143" s="2">
        <v>119</v>
      </c>
      <c r="H143" s="39">
        <v>0</v>
      </c>
      <c r="I143" s="43">
        <v>0</v>
      </c>
      <c r="J143" s="41" t="e">
        <f>NA()</f>
        <v>#N/A</v>
      </c>
      <c r="K143" s="56" t="e">
        <v>#N/A</v>
      </c>
      <c r="L143" s="48">
        <v>3.2669999999999998E-2</v>
      </c>
    </row>
    <row r="144" spans="7:12" x14ac:dyDescent="0.35">
      <c r="G144" s="2">
        <v>120</v>
      </c>
      <c r="H144" s="39">
        <v>0</v>
      </c>
      <c r="I144" s="43">
        <v>0</v>
      </c>
      <c r="J144" s="41" t="e">
        <f>NA()</f>
        <v>#N/A</v>
      </c>
      <c r="K144" s="56" t="e">
        <v>#N/A</v>
      </c>
      <c r="L144" s="48">
        <v>3.2680000000000001E-2</v>
      </c>
    </row>
    <row r="145" spans="7:12" x14ac:dyDescent="0.35">
      <c r="G145" s="7">
        <v>121</v>
      </c>
      <c r="H145" s="39">
        <v>0</v>
      </c>
      <c r="I145" s="43">
        <v>0</v>
      </c>
      <c r="J145" s="41" t="e">
        <f>NA()</f>
        <v>#N/A</v>
      </c>
      <c r="K145" s="56" t="e">
        <v>#N/A</v>
      </c>
      <c r="L145" s="48">
        <v>3.2680000000000001E-2</v>
      </c>
    </row>
    <row r="146" spans="7:12" x14ac:dyDescent="0.35">
      <c r="G146" s="7">
        <v>122</v>
      </c>
      <c r="H146" s="39">
        <v>0</v>
      </c>
      <c r="I146" s="43">
        <v>0</v>
      </c>
      <c r="J146" s="41" t="e">
        <f>NA()</f>
        <v>#N/A</v>
      </c>
      <c r="K146" s="56" t="e">
        <v>#N/A</v>
      </c>
      <c r="L146" s="48">
        <v>3.2680000000000001E-2</v>
      </c>
    </row>
    <row r="147" spans="7:12" x14ac:dyDescent="0.35">
      <c r="G147" s="7">
        <v>123</v>
      </c>
      <c r="H147" s="39">
        <v>0</v>
      </c>
      <c r="I147" s="43">
        <v>0</v>
      </c>
      <c r="J147" s="41" t="e">
        <f>NA()</f>
        <v>#N/A</v>
      </c>
      <c r="K147" s="56" t="e">
        <v>#N/A</v>
      </c>
      <c r="L147" s="48">
        <v>3.2680000000000001E-2</v>
      </c>
    </row>
    <row r="148" spans="7:12" x14ac:dyDescent="0.35">
      <c r="G148" s="2">
        <v>124</v>
      </c>
      <c r="H148" s="39">
        <v>0</v>
      </c>
      <c r="I148" s="43">
        <v>0</v>
      </c>
      <c r="J148" s="41" t="e">
        <f>NA()</f>
        <v>#N/A</v>
      </c>
      <c r="K148" s="56" t="e">
        <v>#N/A</v>
      </c>
      <c r="L148" s="48">
        <v>3.2689999999999997E-2</v>
      </c>
    </row>
    <row r="149" spans="7:12" x14ac:dyDescent="0.35">
      <c r="G149" s="2">
        <v>125</v>
      </c>
      <c r="H149" s="39">
        <v>0</v>
      </c>
      <c r="I149" s="43">
        <v>0</v>
      </c>
      <c r="J149" s="41" t="e">
        <f>NA()</f>
        <v>#N/A</v>
      </c>
      <c r="K149" s="56" t="e">
        <v>#N/A</v>
      </c>
      <c r="L149" s="48">
        <v>3.2689999999999997E-2</v>
      </c>
    </row>
    <row r="150" spans="7:12" x14ac:dyDescent="0.35">
      <c r="G150" s="7">
        <v>126</v>
      </c>
      <c r="H150" s="39">
        <v>0</v>
      </c>
      <c r="I150" s="43">
        <v>0</v>
      </c>
      <c r="J150" s="41" t="e">
        <f>NA()</f>
        <v>#N/A</v>
      </c>
      <c r="K150" s="56" t="e">
        <v>#N/A</v>
      </c>
      <c r="L150" s="48">
        <v>3.2689999999999997E-2</v>
      </c>
    </row>
    <row r="151" spans="7:12" x14ac:dyDescent="0.35">
      <c r="G151" s="7">
        <v>127</v>
      </c>
      <c r="H151" s="39">
        <v>0</v>
      </c>
      <c r="I151" s="43">
        <v>0</v>
      </c>
      <c r="J151" s="41" t="e">
        <f>NA()</f>
        <v>#N/A</v>
      </c>
      <c r="K151" s="56" t="e">
        <v>#N/A</v>
      </c>
      <c r="L151" s="48">
        <v>3.2689999999999997E-2</v>
      </c>
    </row>
    <row r="152" spans="7:12" x14ac:dyDescent="0.35">
      <c r="G152" s="7">
        <v>128</v>
      </c>
      <c r="H152" s="39">
        <v>0</v>
      </c>
      <c r="I152" s="43">
        <v>0</v>
      </c>
      <c r="J152" s="41" t="e">
        <f>NA()</f>
        <v>#N/A</v>
      </c>
      <c r="K152" s="56" t="e">
        <v>#N/A</v>
      </c>
      <c r="L152" s="48">
        <v>3.27E-2</v>
      </c>
    </row>
    <row r="153" spans="7:12" x14ac:dyDescent="0.35">
      <c r="G153" s="2">
        <v>129</v>
      </c>
      <c r="H153" s="39">
        <v>0</v>
      </c>
      <c r="I153" s="43">
        <v>0</v>
      </c>
      <c r="J153" s="41" t="e">
        <f>NA()</f>
        <v>#N/A</v>
      </c>
      <c r="K153" s="56" t="e">
        <v>#N/A</v>
      </c>
      <c r="L153" s="48">
        <v>3.27E-2</v>
      </c>
    </row>
    <row r="154" spans="7:12" x14ac:dyDescent="0.35">
      <c r="G154" s="2">
        <v>130</v>
      </c>
      <c r="H154" s="39">
        <v>0</v>
      </c>
      <c r="I154" s="43">
        <v>0</v>
      </c>
      <c r="J154" s="41" t="e">
        <f>NA()</f>
        <v>#N/A</v>
      </c>
      <c r="K154" s="56" t="e">
        <v>#N/A</v>
      </c>
      <c r="L154" s="48">
        <v>3.27E-2</v>
      </c>
    </row>
    <row r="155" spans="7:12" x14ac:dyDescent="0.35">
      <c r="G155" s="7">
        <v>131</v>
      </c>
      <c r="H155" s="39">
        <v>0</v>
      </c>
      <c r="I155" s="43">
        <v>0</v>
      </c>
      <c r="J155" s="41" t="e">
        <f>NA()</f>
        <v>#N/A</v>
      </c>
      <c r="K155" s="56" t="e">
        <v>#N/A</v>
      </c>
      <c r="L155" s="48">
        <v>3.27E-2</v>
      </c>
    </row>
    <row r="156" spans="7:12" x14ac:dyDescent="0.35">
      <c r="G156" s="7">
        <v>132</v>
      </c>
      <c r="H156" s="39">
        <v>0</v>
      </c>
      <c r="I156" s="43">
        <v>0</v>
      </c>
      <c r="J156" s="41" t="e">
        <f>NA()</f>
        <v>#N/A</v>
      </c>
      <c r="K156" s="56" t="e">
        <v>#N/A</v>
      </c>
      <c r="L156" s="48">
        <v>3.2710000000000003E-2</v>
      </c>
    </row>
    <row r="157" spans="7:12" x14ac:dyDescent="0.35">
      <c r="G157" s="7">
        <v>133</v>
      </c>
      <c r="H157" s="39">
        <v>0</v>
      </c>
      <c r="I157" s="43">
        <v>0</v>
      </c>
      <c r="J157" s="41" t="e">
        <f>NA()</f>
        <v>#N/A</v>
      </c>
      <c r="K157" s="56" t="e">
        <v>#N/A</v>
      </c>
      <c r="L157" s="48">
        <v>3.2710000000000003E-2</v>
      </c>
    </row>
    <row r="158" spans="7:12" x14ac:dyDescent="0.35">
      <c r="G158" s="2">
        <v>134</v>
      </c>
      <c r="H158" s="39">
        <v>0</v>
      </c>
      <c r="I158" s="43">
        <v>0</v>
      </c>
      <c r="J158" s="41" t="e">
        <f>NA()</f>
        <v>#N/A</v>
      </c>
      <c r="K158" s="56" t="e">
        <v>#N/A</v>
      </c>
      <c r="L158" s="48">
        <v>3.2710000000000003E-2</v>
      </c>
    </row>
    <row r="159" spans="7:12" x14ac:dyDescent="0.35">
      <c r="G159" s="2">
        <v>135</v>
      </c>
      <c r="H159" s="39">
        <v>0</v>
      </c>
      <c r="I159" s="43">
        <v>0</v>
      </c>
      <c r="J159" s="41" t="e">
        <f>NA()</f>
        <v>#N/A</v>
      </c>
      <c r="K159" s="56" t="e">
        <v>#N/A</v>
      </c>
      <c r="L159" s="48">
        <v>3.2710000000000003E-2</v>
      </c>
    </row>
    <row r="160" spans="7:12" x14ac:dyDescent="0.35">
      <c r="G160" s="7">
        <v>136</v>
      </c>
      <c r="H160" s="39">
        <v>0</v>
      </c>
      <c r="I160" s="43">
        <v>0</v>
      </c>
      <c r="J160" s="41" t="e">
        <f>NA()</f>
        <v>#N/A</v>
      </c>
      <c r="K160" s="56" t="e">
        <v>#N/A</v>
      </c>
      <c r="L160" s="48">
        <v>3.2710000000000003E-2</v>
      </c>
    </row>
    <row r="161" spans="7:12" x14ac:dyDescent="0.35">
      <c r="G161" s="7">
        <v>137</v>
      </c>
      <c r="H161" s="39">
        <v>0</v>
      </c>
      <c r="I161" s="43">
        <v>0</v>
      </c>
      <c r="J161" s="41" t="e">
        <f>NA()</f>
        <v>#N/A</v>
      </c>
      <c r="K161" s="56" t="e">
        <v>#N/A</v>
      </c>
      <c r="L161" s="48">
        <v>3.2719999999999999E-2</v>
      </c>
    </row>
    <row r="162" spans="7:12" x14ac:dyDescent="0.35">
      <c r="G162" s="7">
        <v>138</v>
      </c>
      <c r="H162" s="39">
        <v>0</v>
      </c>
      <c r="I162" s="43">
        <v>0</v>
      </c>
      <c r="J162" s="41" t="e">
        <f>NA()</f>
        <v>#N/A</v>
      </c>
      <c r="K162" s="56" t="e">
        <v>#N/A</v>
      </c>
      <c r="L162" s="48">
        <v>3.2719999999999999E-2</v>
      </c>
    </row>
    <row r="163" spans="7:12" x14ac:dyDescent="0.35">
      <c r="G163" s="2">
        <v>139</v>
      </c>
      <c r="H163" s="39">
        <v>0</v>
      </c>
      <c r="I163" s="43">
        <v>0</v>
      </c>
      <c r="J163" s="41" t="e">
        <f>NA()</f>
        <v>#N/A</v>
      </c>
      <c r="K163" s="56" t="e">
        <v>#N/A</v>
      </c>
      <c r="L163" s="48">
        <v>3.2719999999999999E-2</v>
      </c>
    </row>
    <row r="164" spans="7:12" x14ac:dyDescent="0.35">
      <c r="G164" s="2">
        <v>140</v>
      </c>
      <c r="H164" s="39">
        <v>0</v>
      </c>
      <c r="I164" s="43">
        <v>0</v>
      </c>
      <c r="J164" s="41" t="e">
        <f>NA()</f>
        <v>#N/A</v>
      </c>
      <c r="K164" s="56" t="e">
        <v>#N/A</v>
      </c>
      <c r="L164" s="48">
        <v>3.2719999999999999E-2</v>
      </c>
    </row>
    <row r="165" spans="7:12" x14ac:dyDescent="0.35">
      <c r="G165" s="7">
        <v>141</v>
      </c>
      <c r="H165" s="39">
        <v>0</v>
      </c>
      <c r="I165" s="43">
        <v>0</v>
      </c>
      <c r="J165" s="41" t="e">
        <f>NA()</f>
        <v>#N/A</v>
      </c>
      <c r="K165" s="56" t="e">
        <v>#N/A</v>
      </c>
      <c r="L165" s="48">
        <v>3.2719999999999999E-2</v>
      </c>
    </row>
    <row r="166" spans="7:12" x14ac:dyDescent="0.35">
      <c r="G166" s="7">
        <v>142</v>
      </c>
      <c r="H166" s="39">
        <v>0</v>
      </c>
      <c r="I166" s="43">
        <v>0</v>
      </c>
      <c r="J166" s="41" t="e">
        <f>NA()</f>
        <v>#N/A</v>
      </c>
      <c r="K166" s="56" t="e">
        <v>#N/A</v>
      </c>
      <c r="L166" s="48">
        <v>3.2730000000000002E-2</v>
      </c>
    </row>
    <row r="167" spans="7:12" x14ac:dyDescent="0.35">
      <c r="G167" s="7">
        <v>143</v>
      </c>
      <c r="H167" s="39">
        <v>0</v>
      </c>
      <c r="I167" s="43">
        <v>0</v>
      </c>
      <c r="J167" s="41" t="e">
        <f>NA()</f>
        <v>#N/A</v>
      </c>
      <c r="K167" s="56" t="e">
        <v>#N/A</v>
      </c>
      <c r="L167" s="48">
        <v>3.2730000000000002E-2</v>
      </c>
    </row>
    <row r="168" spans="7:12" x14ac:dyDescent="0.35">
      <c r="G168" s="2">
        <v>144</v>
      </c>
      <c r="H168" s="39">
        <v>0</v>
      </c>
      <c r="I168" s="43">
        <v>0</v>
      </c>
      <c r="J168" s="41" t="e">
        <f>NA()</f>
        <v>#N/A</v>
      </c>
      <c r="K168" s="56" t="e">
        <v>#N/A</v>
      </c>
      <c r="L168" s="48">
        <v>3.2730000000000002E-2</v>
      </c>
    </row>
    <row r="169" spans="7:12" x14ac:dyDescent="0.35">
      <c r="G169" s="2">
        <v>145</v>
      </c>
      <c r="H169" s="39">
        <v>0</v>
      </c>
      <c r="I169" s="43">
        <v>0</v>
      </c>
      <c r="J169" s="41" t="e">
        <f>NA()</f>
        <v>#N/A</v>
      </c>
      <c r="K169" s="56" t="e">
        <v>#N/A</v>
      </c>
      <c r="L169" s="48">
        <v>3.2730000000000002E-2</v>
      </c>
    </row>
    <row r="170" spans="7:12" x14ac:dyDescent="0.35">
      <c r="G170" s="7">
        <v>146</v>
      </c>
      <c r="H170" s="39">
        <v>0</v>
      </c>
      <c r="I170" s="43">
        <v>0</v>
      </c>
      <c r="J170" s="41" t="e">
        <f>NA()</f>
        <v>#N/A</v>
      </c>
      <c r="K170" s="56" t="e">
        <v>#N/A</v>
      </c>
      <c r="L170" s="48">
        <v>3.2730000000000002E-2</v>
      </c>
    </row>
    <row r="171" spans="7:12" x14ac:dyDescent="0.35">
      <c r="G171" s="7">
        <v>147</v>
      </c>
      <c r="H171" s="39">
        <v>0</v>
      </c>
      <c r="I171" s="43">
        <v>0</v>
      </c>
      <c r="J171" s="41" t="e">
        <f>NA()</f>
        <v>#N/A</v>
      </c>
      <c r="K171" s="56" t="e">
        <v>#N/A</v>
      </c>
      <c r="L171" s="48">
        <v>3.2739999999999998E-2</v>
      </c>
    </row>
    <row r="172" spans="7:12" x14ac:dyDescent="0.35">
      <c r="G172" s="7">
        <v>148</v>
      </c>
      <c r="H172" s="39">
        <v>0</v>
      </c>
      <c r="I172" s="43">
        <v>0</v>
      </c>
      <c r="J172" s="41" t="e">
        <f>NA()</f>
        <v>#N/A</v>
      </c>
      <c r="K172" s="56" t="e">
        <v>#N/A</v>
      </c>
      <c r="L172" s="48">
        <v>3.2739999999999998E-2</v>
      </c>
    </row>
    <row r="173" spans="7:12" x14ac:dyDescent="0.35">
      <c r="G173" s="2">
        <v>149</v>
      </c>
      <c r="H173" s="39">
        <v>0</v>
      </c>
      <c r="I173" s="43">
        <v>0</v>
      </c>
      <c r="J173" s="41" t="e">
        <f>NA()</f>
        <v>#N/A</v>
      </c>
      <c r="K173" s="56" t="e">
        <v>#N/A</v>
      </c>
      <c r="L173" s="48">
        <v>3.2739999999999998E-2</v>
      </c>
    </row>
    <row r="174" spans="7:12" x14ac:dyDescent="0.35">
      <c r="G174" s="2">
        <v>150</v>
      </c>
      <c r="H174" s="39">
        <v>0</v>
      </c>
      <c r="I174" s="43">
        <v>0</v>
      </c>
      <c r="J174" s="41" t="e">
        <f>NA()</f>
        <v>#N/A</v>
      </c>
      <c r="K174" s="56" t="e">
        <v>#N/A</v>
      </c>
      <c r="L174" s="49">
        <v>3.2739999999999998E-2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topLeftCell="A23" workbookViewId="0">
      <selection activeCell="L24" sqref="L24"/>
    </sheetView>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1"/>
      <c r="H8" s="61" t="s">
        <v>15</v>
      </c>
      <c r="K8" s="62"/>
      <c r="L8" s="63"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0">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1">
        <f>(V.BEL-V.BEL_NOTIONAL)/V.NOTIONAL_VA</f>
        <v>2352941.176470588</v>
      </c>
      <c r="N15" s="7"/>
      <c r="O15" s="7"/>
    </row>
    <row r="16" spans="1:15" x14ac:dyDescent="0.35">
      <c r="F16" s="7"/>
      <c r="K16" s="12" t="s">
        <v>19</v>
      </c>
      <c r="L16" s="52">
        <f>IF(V.PVBP_BEL &lt;= 0, 1, MAX(MIN(V.PVBP_MVFI/V.PVBP_BEL, 1), 0))</f>
        <v>0.5</v>
      </c>
      <c r="N16" s="7"/>
      <c r="O16" s="7"/>
    </row>
    <row r="17" spans="6:14" x14ac:dyDescent="0.35">
      <c r="F17" s="7"/>
      <c r="K17" s="7"/>
      <c r="L17" s="7"/>
      <c r="M17" s="7"/>
      <c r="N17" s="7"/>
    </row>
    <row r="18" spans="6:14" ht="15" thickBot="1" x14ac:dyDescent="0.4">
      <c r="F18" s="63" t="s">
        <v>69</v>
      </c>
      <c r="G18" s="57"/>
      <c r="H18" s="61"/>
      <c r="I18" s="57"/>
      <c r="J18" s="57"/>
      <c r="K18" s="62"/>
      <c r="L18" s="62"/>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3.467617385022298E-2</v>
      </c>
      <c r="L20" s="7"/>
      <c r="M20" s="7"/>
      <c r="N20" s="7"/>
    </row>
    <row r="21" spans="6:14" x14ac:dyDescent="0.35">
      <c r="F21" s="7"/>
      <c r="H21" s="23"/>
      <c r="I21" s="23"/>
    </row>
    <row r="22" spans="6:14" x14ac:dyDescent="0.35">
      <c r="F22" s="7"/>
      <c r="H22" s="23"/>
    </row>
    <row r="23" spans="6:14" ht="29" x14ac:dyDescent="0.35">
      <c r="G23" s="36" t="s">
        <v>13</v>
      </c>
      <c r="H23" s="36" t="s">
        <v>43</v>
      </c>
      <c r="I23" s="36" t="s">
        <v>89</v>
      </c>
      <c r="J23" s="84" t="s">
        <v>93</v>
      </c>
      <c r="K23" s="36" t="s">
        <v>90</v>
      </c>
      <c r="L23" s="11" t="s">
        <v>17</v>
      </c>
    </row>
    <row r="24" spans="6:14" x14ac:dyDescent="0.35">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5">
      <c r="G25" s="7">
        <v>2</v>
      </c>
      <c r="H25" s="24">
        <v>2.162E-2</v>
      </c>
      <c r="I25" s="29">
        <f t="shared" ref="I25:I88" si="1">LN(1+H25)</f>
        <v>2.1389602678470468E-2</v>
      </c>
      <c r="J25" s="29">
        <f>G25*I25-G24*I24</f>
        <v>2.2231757469280827E-2</v>
      </c>
      <c r="K25" s="29">
        <f t="shared" si="0"/>
        <v>3.0695835881410193E-2</v>
      </c>
      <c r="L25" s="31">
        <v>3.0300000000000001E-2</v>
      </c>
    </row>
    <row r="26" spans="6:14" x14ac:dyDescent="0.35">
      <c r="G26" s="7">
        <v>3</v>
      </c>
      <c r="H26" s="24">
        <v>2.2790000000000001E-2</v>
      </c>
      <c r="I26" s="29">
        <f t="shared" si="1"/>
        <v>2.2534187304580029E-2</v>
      </c>
      <c r="J26" s="29">
        <f t="shared" ref="J26:J89" si="2">G26*I26-G25*I25</f>
        <v>2.4823356556799153E-2</v>
      </c>
      <c r="K26" s="29">
        <f t="shared" si="0"/>
        <v>3.3287434968928518E-2</v>
      </c>
      <c r="L26" s="31">
        <v>3.1480000000000001E-2</v>
      </c>
    </row>
    <row r="27" spans="6:14" x14ac:dyDescent="0.35">
      <c r="G27" s="2">
        <v>4</v>
      </c>
      <c r="H27" s="25">
        <v>2.3800000000000002E-2</v>
      </c>
      <c r="I27" s="29">
        <f t="shared" si="1"/>
        <v>2.3521195041345866E-2</v>
      </c>
      <c r="J27" s="29">
        <f t="shared" si="2"/>
        <v>2.6482218251643375E-2</v>
      </c>
      <c r="K27" s="29">
        <f t="shared" si="0"/>
        <v>3.494629666377274E-2</v>
      </c>
      <c r="L27" s="31">
        <v>3.2500000000000001E-2</v>
      </c>
    </row>
    <row r="28" spans="6:14" x14ac:dyDescent="0.35">
      <c r="G28" s="2">
        <v>5</v>
      </c>
      <c r="H28" s="25">
        <v>2.469E-2</v>
      </c>
      <c r="I28" s="29">
        <f t="shared" si="1"/>
        <v>2.4390127822076224E-2</v>
      </c>
      <c r="J28" s="29">
        <f t="shared" si="2"/>
        <v>2.7865858944997657E-2</v>
      </c>
      <c r="K28" s="29">
        <f t="shared" si="0"/>
        <v>3.6329937357127022E-2</v>
      </c>
      <c r="L28" s="31">
        <v>3.3399999999999999E-2</v>
      </c>
    </row>
    <row r="29" spans="6:14" x14ac:dyDescent="0.35">
      <c r="G29" s="7">
        <v>6</v>
      </c>
      <c r="H29" s="24">
        <v>2.5510000000000001E-2</v>
      </c>
      <c r="I29" s="29">
        <f t="shared" si="1"/>
        <v>2.5190049823563519E-2</v>
      </c>
      <c r="J29" s="29">
        <f t="shared" si="2"/>
        <v>2.9189659830999998E-2</v>
      </c>
      <c r="K29" s="29">
        <f t="shared" si="0"/>
        <v>3.7653738243129363E-2</v>
      </c>
      <c r="L29" s="31">
        <v>3.4229999999999997E-2</v>
      </c>
    </row>
    <row r="30" spans="6:14" x14ac:dyDescent="0.35">
      <c r="G30" s="7">
        <v>7</v>
      </c>
      <c r="H30" s="24">
        <v>2.632E-2</v>
      </c>
      <c r="I30" s="29">
        <f t="shared" si="1"/>
        <v>2.5979588958947631E-2</v>
      </c>
      <c r="J30" s="29">
        <f t="shared" si="2"/>
        <v>3.0716823771252288E-2</v>
      </c>
      <c r="K30" s="29">
        <f t="shared" si="0"/>
        <v>3.9180902183381654E-2</v>
      </c>
      <c r="L30" s="31">
        <v>3.5040000000000002E-2</v>
      </c>
    </row>
    <row r="31" spans="6:14" x14ac:dyDescent="0.35">
      <c r="G31" s="7">
        <v>8</v>
      </c>
      <c r="H31" s="24">
        <v>2.7E-2</v>
      </c>
      <c r="I31" s="29">
        <f t="shared" si="1"/>
        <v>2.6641930946421092E-2</v>
      </c>
      <c r="J31" s="29">
        <f t="shared" si="2"/>
        <v>3.1278324858735329E-2</v>
      </c>
      <c r="K31" s="29">
        <f t="shared" si="0"/>
        <v>3.9742403270864694E-2</v>
      </c>
      <c r="L31" s="31">
        <v>3.5729999999999998E-2</v>
      </c>
    </row>
    <row r="32" spans="6:14" x14ac:dyDescent="0.35">
      <c r="G32" s="2">
        <v>9</v>
      </c>
      <c r="H32" s="25">
        <v>2.7629999999999998E-2</v>
      </c>
      <c r="I32" s="29">
        <f t="shared" si="1"/>
        <v>2.7255180066451504E-2</v>
      </c>
      <c r="J32" s="29">
        <f t="shared" si="2"/>
        <v>3.21611730266948E-2</v>
      </c>
      <c r="K32" s="29">
        <f t="shared" si="0"/>
        <v>4.0625251438824166E-2</v>
      </c>
      <c r="L32" s="31">
        <v>3.6360000000000003E-2</v>
      </c>
    </row>
    <row r="33" spans="7:12" x14ac:dyDescent="0.35">
      <c r="G33" s="2">
        <v>10</v>
      </c>
      <c r="H33" s="25">
        <v>2.827E-2</v>
      </c>
      <c r="I33" s="29">
        <f t="shared" si="1"/>
        <v>2.7877778461970263E-2</v>
      </c>
      <c r="J33" s="29">
        <f t="shared" si="2"/>
        <v>3.3481164021639115E-2</v>
      </c>
      <c r="K33" s="29">
        <f t="shared" si="0"/>
        <v>4.194524243376848E-2</v>
      </c>
      <c r="L33" s="31">
        <v>3.7010000000000001E-2</v>
      </c>
    </row>
    <row r="34" spans="7:12" x14ac:dyDescent="0.35">
      <c r="G34" s="7">
        <v>11</v>
      </c>
      <c r="H34" s="24">
        <v>2.879E-2</v>
      </c>
      <c r="I34" s="29">
        <f t="shared" si="1"/>
        <v>2.8383354391769471E-2</v>
      </c>
      <c r="J34" s="29">
        <f t="shared" si="2"/>
        <v>3.3439113689761546E-2</v>
      </c>
      <c r="K34" s="29">
        <f t="shared" si="0"/>
        <v>4.1903192101890911E-2</v>
      </c>
      <c r="L34" s="31">
        <v>3.7530000000000001E-2</v>
      </c>
    </row>
    <row r="35" spans="7:12" x14ac:dyDescent="0.35">
      <c r="G35" s="7">
        <v>12</v>
      </c>
      <c r="H35" s="24">
        <v>2.9270000000000001E-2</v>
      </c>
      <c r="I35" s="29">
        <f t="shared" si="1"/>
        <v>2.8849813104054985E-2</v>
      </c>
      <c r="J35" s="29">
        <f t="shared" si="2"/>
        <v>3.3980858939195613E-2</v>
      </c>
      <c r="K35" s="29">
        <f t="shared" si="0"/>
        <v>4.2444937351324978E-2</v>
      </c>
      <c r="L35" s="31">
        <v>3.8019999999999998E-2</v>
      </c>
    </row>
    <row r="36" spans="7:12" x14ac:dyDescent="0.35">
      <c r="G36" s="7">
        <v>13</v>
      </c>
      <c r="H36" s="24">
        <v>2.9780000000000001E-2</v>
      </c>
      <c r="I36" s="29">
        <f t="shared" si="1"/>
        <v>2.9345187194464949E-2</v>
      </c>
      <c r="J36" s="29">
        <f t="shared" si="2"/>
        <v>3.5289676279384508E-2</v>
      </c>
      <c r="K36" s="29">
        <f t="shared" si="0"/>
        <v>4.3753754691513873E-2</v>
      </c>
      <c r="L36" s="31">
        <v>3.8530000000000002E-2</v>
      </c>
    </row>
    <row r="37" spans="7:12" x14ac:dyDescent="0.35">
      <c r="G37" s="2">
        <v>14</v>
      </c>
      <c r="H37" s="25">
        <v>3.0130000000000001E-2</v>
      </c>
      <c r="I37" s="29">
        <f t="shared" si="1"/>
        <v>2.9685007869512097E-2</v>
      </c>
      <c r="J37" s="29">
        <f t="shared" si="2"/>
        <v>3.4102676645125063E-2</v>
      </c>
      <c r="K37" s="29">
        <f t="shared" si="0"/>
        <v>4.2566755057254428E-2</v>
      </c>
      <c r="L37" s="31">
        <v>3.8890000000000001E-2</v>
      </c>
    </row>
    <row r="38" spans="7:12" x14ac:dyDescent="0.35">
      <c r="G38" s="2">
        <v>15</v>
      </c>
      <c r="H38" s="25">
        <v>3.0429999999999999E-2</v>
      </c>
      <c r="I38" s="29">
        <f t="shared" si="1"/>
        <v>2.99761908509537E-2</v>
      </c>
      <c r="J38" s="29">
        <f t="shared" si="2"/>
        <v>3.4052752591136104E-2</v>
      </c>
      <c r="K38" s="29">
        <f t="shared" si="0"/>
        <v>4.2516831003265469E-2</v>
      </c>
      <c r="L38" s="31">
        <v>3.9190000000000003E-2</v>
      </c>
    </row>
    <row r="39" spans="7:12" x14ac:dyDescent="0.35">
      <c r="G39" s="7">
        <v>16</v>
      </c>
      <c r="H39" s="24">
        <v>3.065E-2</v>
      </c>
      <c r="I39" s="29">
        <f t="shared" si="1"/>
        <v>3.0189671163057673E-2</v>
      </c>
      <c r="J39" s="29">
        <f t="shared" si="2"/>
        <v>3.339187584461728E-2</v>
      </c>
      <c r="K39" s="29">
        <f t="shared" si="0"/>
        <v>4.1855954256746646E-2</v>
      </c>
      <c r="L39" s="31">
        <v>3.9410000000000001E-2</v>
      </c>
    </row>
    <row r="40" spans="7:12" x14ac:dyDescent="0.35">
      <c r="G40" s="7">
        <v>17</v>
      </c>
      <c r="H40" s="24">
        <v>3.0849999999999999E-2</v>
      </c>
      <c r="I40" s="29">
        <f t="shared" si="1"/>
        <v>3.0383704634440123E-2</v>
      </c>
      <c r="J40" s="29">
        <f t="shared" si="2"/>
        <v>3.3488240176559381E-2</v>
      </c>
      <c r="K40" s="29">
        <f t="shared" si="0"/>
        <v>4.1952318588688746E-2</v>
      </c>
      <c r="L40" s="31">
        <v>3.9609999999999999E-2</v>
      </c>
    </row>
    <row r="41" spans="7:12" x14ac:dyDescent="0.35">
      <c r="G41" s="7">
        <v>18</v>
      </c>
      <c r="H41" s="24">
        <v>3.1029999999999999E-2</v>
      </c>
      <c r="I41" s="29">
        <f t="shared" si="1"/>
        <v>3.055830257462783E-2</v>
      </c>
      <c r="J41" s="29">
        <f t="shared" si="2"/>
        <v>3.3526467557818851E-2</v>
      </c>
      <c r="K41" s="29">
        <f t="shared" si="0"/>
        <v>4.1990545969948216E-2</v>
      </c>
      <c r="L41" s="31">
        <v>3.9789999999999999E-2</v>
      </c>
    </row>
    <row r="42" spans="7:12" x14ac:dyDescent="0.35">
      <c r="G42" s="2">
        <v>19</v>
      </c>
      <c r="H42" s="25">
        <v>3.1189999999999999E-2</v>
      </c>
      <c r="I42" s="29">
        <f t="shared" si="1"/>
        <v>3.0713475155944282E-2</v>
      </c>
      <c r="J42" s="29">
        <f t="shared" si="2"/>
        <v>3.3506581619640374E-2</v>
      </c>
      <c r="K42" s="29">
        <f t="shared" si="0"/>
        <v>4.197066003176974E-2</v>
      </c>
      <c r="L42" s="31">
        <v>3.9960000000000002E-2</v>
      </c>
    </row>
    <row r="43" spans="7:12" x14ac:dyDescent="0.35">
      <c r="G43" s="2">
        <v>20</v>
      </c>
      <c r="H43" s="25">
        <v>3.1329999999999997E-2</v>
      </c>
      <c r="I43" s="29">
        <f t="shared" si="1"/>
        <v>3.084923141548605E-2</v>
      </c>
      <c r="J43" s="29">
        <f t="shared" si="2"/>
        <v>3.3428600346779636E-2</v>
      </c>
      <c r="K43" s="29">
        <f t="shared" si="0"/>
        <v>4.1892678758909001E-2</v>
      </c>
      <c r="L43" s="31">
        <v>4.0099999999999997E-2</v>
      </c>
    </row>
    <row r="44" spans="7:12" x14ac:dyDescent="0.35">
      <c r="G44" s="7">
        <v>21</v>
      </c>
      <c r="H44" s="24">
        <v>3.1379999999999998E-2</v>
      </c>
      <c r="I44" s="29">
        <f t="shared" si="1"/>
        <v>3.089771132784375E-2</v>
      </c>
      <c r="J44" s="29">
        <f t="shared" si="2"/>
        <v>3.1867309574997726E-2</v>
      </c>
      <c r="K44" s="29">
        <f t="shared" si="0"/>
        <v>4.0331387987127092E-2</v>
      </c>
      <c r="L44" s="31">
        <v>3.986E-2</v>
      </c>
    </row>
    <row r="45" spans="7:12" x14ac:dyDescent="0.35">
      <c r="G45" s="7">
        <v>22</v>
      </c>
      <c r="H45" s="24">
        <v>3.143E-2</v>
      </c>
      <c r="I45" s="29">
        <f t="shared" si="1"/>
        <v>3.0946188890013701E-2</v>
      </c>
      <c r="J45" s="29">
        <f t="shared" si="2"/>
        <v>3.1964217695582664E-2</v>
      </c>
      <c r="K45" s="29">
        <f t="shared" si="0"/>
        <v>4.0428296107712029E-2</v>
      </c>
      <c r="L45" s="31">
        <v>3.9640000000000002E-2</v>
      </c>
    </row>
    <row r="46" spans="7:12" x14ac:dyDescent="0.35">
      <c r="G46" s="7">
        <v>23</v>
      </c>
      <c r="H46" s="24">
        <v>3.1480000000000001E-2</v>
      </c>
      <c r="I46" s="29">
        <f t="shared" si="1"/>
        <v>3.0994664102223322E-2</v>
      </c>
      <c r="J46" s="29">
        <f t="shared" si="2"/>
        <v>3.2061118770834951E-2</v>
      </c>
      <c r="K46" s="29">
        <f t="shared" si="0"/>
        <v>4.0525197182964316E-2</v>
      </c>
      <c r="L46" s="31">
        <v>3.9419999999999997E-2</v>
      </c>
    </row>
    <row r="47" spans="7:12" x14ac:dyDescent="0.35">
      <c r="G47" s="2">
        <v>24</v>
      </c>
      <c r="H47" s="25">
        <v>3.1530000000000002E-2</v>
      </c>
      <c r="I47" s="29">
        <f t="shared" si="1"/>
        <v>3.1043136964700863E-2</v>
      </c>
      <c r="J47" s="29">
        <f t="shared" si="2"/>
        <v>3.2158012801684399E-2</v>
      </c>
      <c r="K47" s="29">
        <f t="shared" si="0"/>
        <v>4.0622091213813764E-2</v>
      </c>
      <c r="L47" s="31">
        <v>3.9219999999999998E-2</v>
      </c>
    </row>
    <row r="48" spans="7:12" x14ac:dyDescent="0.35">
      <c r="G48" s="2">
        <v>25</v>
      </c>
      <c r="H48" s="25">
        <v>3.1570000000000001E-2</v>
      </c>
      <c r="I48" s="29">
        <f t="shared" si="1"/>
        <v>3.1081913563028672E-2</v>
      </c>
      <c r="J48" s="29">
        <f t="shared" si="2"/>
        <v>3.2012551922896093E-2</v>
      </c>
      <c r="K48" s="29">
        <f t="shared" si="0"/>
        <v>4.0476630335025458E-2</v>
      </c>
      <c r="L48" s="31">
        <v>3.9030000000000002E-2</v>
      </c>
    </row>
    <row r="49" spans="7:12" x14ac:dyDescent="0.35">
      <c r="G49" s="7">
        <v>26</v>
      </c>
      <c r="H49" s="24">
        <v>3.1609999999999999E-2</v>
      </c>
      <c r="I49" s="29">
        <f t="shared" si="1"/>
        <v>3.112068865778999E-2</v>
      </c>
      <c r="J49" s="29">
        <f t="shared" si="2"/>
        <v>3.209006602682285E-2</v>
      </c>
      <c r="K49" s="29">
        <f t="shared" si="0"/>
        <v>4.0554144438952215E-2</v>
      </c>
      <c r="L49" s="31">
        <v>3.884E-2</v>
      </c>
    </row>
    <row r="50" spans="7:12" x14ac:dyDescent="0.35">
      <c r="G50" s="7">
        <v>27</v>
      </c>
      <c r="H50" s="24">
        <v>3.1649999999999998E-2</v>
      </c>
      <c r="I50" s="29">
        <f t="shared" si="1"/>
        <v>3.1159462249101849E-2</v>
      </c>
      <c r="J50" s="29">
        <f t="shared" si="2"/>
        <v>3.2167575623210265E-2</v>
      </c>
      <c r="K50" s="29">
        <f t="shared" si="0"/>
        <v>4.063165403533963E-2</v>
      </c>
      <c r="L50" s="31">
        <v>3.8670000000000003E-2</v>
      </c>
    </row>
    <row r="51" spans="7:12" x14ac:dyDescent="0.35">
      <c r="G51" s="7">
        <v>28</v>
      </c>
      <c r="H51" s="24">
        <v>3.1690000000000003E-2</v>
      </c>
      <c r="I51" s="29">
        <f t="shared" si="1"/>
        <v>3.1198234337080612E-2</v>
      </c>
      <c r="J51" s="29">
        <f t="shared" si="2"/>
        <v>3.2245080712507201E-2</v>
      </c>
      <c r="K51" s="29">
        <f t="shared" si="0"/>
        <v>4.0709159124636567E-2</v>
      </c>
      <c r="L51" s="31">
        <v>3.85E-2</v>
      </c>
    </row>
    <row r="52" spans="7:12" x14ac:dyDescent="0.35">
      <c r="G52" s="2">
        <v>29</v>
      </c>
      <c r="H52" s="25">
        <v>3.1730000000000001E-2</v>
      </c>
      <c r="I52" s="29">
        <f t="shared" si="1"/>
        <v>3.1237004921842851E-2</v>
      </c>
      <c r="J52" s="29">
        <f t="shared" si="2"/>
        <v>3.2322581295185504E-2</v>
      </c>
      <c r="K52" s="29">
        <f t="shared" si="0"/>
        <v>4.0786659707314869E-2</v>
      </c>
      <c r="L52" s="31">
        <v>3.8339999999999999E-2</v>
      </c>
    </row>
    <row r="53" spans="7:12" x14ac:dyDescent="0.35">
      <c r="G53" s="2">
        <v>30</v>
      </c>
      <c r="H53" s="25">
        <v>3.1759999999999997E-2</v>
      </c>
      <c r="I53" s="29">
        <f t="shared" si="1"/>
        <v>3.1266081873998749E-2</v>
      </c>
      <c r="J53" s="29">
        <f t="shared" si="2"/>
        <v>3.2109313486519797E-2</v>
      </c>
      <c r="K53" s="29">
        <f t="shared" si="0"/>
        <v>4.0573391898649162E-2</v>
      </c>
      <c r="L53" s="31">
        <v>3.8190000000000002E-2</v>
      </c>
    </row>
    <row r="54" spans="7:12" x14ac:dyDescent="0.35">
      <c r="G54" s="7">
        <v>31</v>
      </c>
      <c r="H54" s="24">
        <v>3.1800000000000002E-2</v>
      </c>
      <c r="I54" s="29">
        <f t="shared" si="1"/>
        <v>3.1304849828412529E-2</v>
      </c>
      <c r="J54" s="29">
        <f t="shared" si="2"/>
        <v>3.2467888460825933E-2</v>
      </c>
      <c r="K54" s="29">
        <f t="shared" si="0"/>
        <v>4.0931966872955299E-2</v>
      </c>
      <c r="L54" s="31">
        <v>3.8039999999999997E-2</v>
      </c>
    </row>
    <row r="55" spans="7:12" x14ac:dyDescent="0.35">
      <c r="G55" s="7">
        <v>32</v>
      </c>
      <c r="H55" s="24">
        <v>3.1829999999999997E-2</v>
      </c>
      <c r="I55" s="29">
        <f t="shared" si="1"/>
        <v>3.1333924807940922E-2</v>
      </c>
      <c r="J55" s="29">
        <f t="shared" si="2"/>
        <v>3.2235249173321101E-2</v>
      </c>
      <c r="K55" s="29">
        <f t="shared" si="0"/>
        <v>4.0699327585450466E-2</v>
      </c>
      <c r="L55" s="31">
        <v>3.7909999999999999E-2</v>
      </c>
    </row>
    <row r="56" spans="7:12" x14ac:dyDescent="0.35">
      <c r="G56" s="7">
        <v>33</v>
      </c>
      <c r="H56" s="24">
        <v>3.1859999999999999E-2</v>
      </c>
      <c r="I56" s="29">
        <f t="shared" si="1"/>
        <v>3.136299894213946E-2</v>
      </c>
      <c r="J56" s="29">
        <f t="shared" si="2"/>
        <v>3.2293371236492785E-2</v>
      </c>
      <c r="K56" s="29">
        <f t="shared" ref="K56:K87" si="3">J56+LN(1+V.NOTIONAL_VA)</f>
        <v>4.075744964862215E-2</v>
      </c>
      <c r="L56" s="31">
        <v>3.7780000000000001E-2</v>
      </c>
    </row>
    <row r="57" spans="7:12" x14ac:dyDescent="0.35">
      <c r="G57" s="2">
        <v>34</v>
      </c>
      <c r="H57" s="25">
        <v>3.1890000000000002E-2</v>
      </c>
      <c r="I57" s="29">
        <f t="shared" si="1"/>
        <v>3.1392072231057291E-2</v>
      </c>
      <c r="J57" s="29">
        <f t="shared" si="2"/>
        <v>3.2351490765345714E-2</v>
      </c>
      <c r="K57" s="29">
        <f t="shared" si="3"/>
        <v>4.0815569177475079E-2</v>
      </c>
      <c r="L57" s="31">
        <v>3.7650000000000003E-2</v>
      </c>
    </row>
    <row r="58" spans="7:12" x14ac:dyDescent="0.35">
      <c r="G58" s="2">
        <v>35</v>
      </c>
      <c r="H58" s="25">
        <v>3.1919999999999997E-2</v>
      </c>
      <c r="I58" s="29">
        <f t="shared" si="1"/>
        <v>3.1421144674743565E-2</v>
      </c>
      <c r="J58" s="29">
        <f t="shared" si="2"/>
        <v>3.2409607760076842E-2</v>
      </c>
      <c r="K58" s="29">
        <f t="shared" si="3"/>
        <v>4.0873686172206207E-2</v>
      </c>
      <c r="L58" s="31">
        <v>3.7530000000000001E-2</v>
      </c>
    </row>
    <row r="59" spans="7:12" x14ac:dyDescent="0.35">
      <c r="G59" s="7">
        <v>36</v>
      </c>
      <c r="H59" s="24">
        <v>3.1949999999999999E-2</v>
      </c>
      <c r="I59" s="29">
        <f t="shared" si="1"/>
        <v>3.1450216273247435E-2</v>
      </c>
      <c r="J59" s="29">
        <f t="shared" si="2"/>
        <v>3.24677222208829E-2</v>
      </c>
      <c r="K59" s="29">
        <f t="shared" si="3"/>
        <v>4.0931800633012265E-2</v>
      </c>
      <c r="L59" s="31">
        <v>3.7420000000000002E-2</v>
      </c>
    </row>
    <row r="60" spans="7:12" x14ac:dyDescent="0.35">
      <c r="G60" s="7">
        <v>37</v>
      </c>
      <c r="H60" s="24">
        <v>3.1969999999999998E-2</v>
      </c>
      <c r="I60" s="29">
        <f t="shared" si="1"/>
        <v>3.1469596869395301E-2</v>
      </c>
      <c r="J60" s="29">
        <f t="shared" si="2"/>
        <v>3.2167298330718408E-2</v>
      </c>
      <c r="K60" s="29">
        <f t="shared" si="3"/>
        <v>4.0631376742847773E-2</v>
      </c>
      <c r="L60" s="31">
        <v>3.7310000000000003E-2</v>
      </c>
    </row>
    <row r="61" spans="7:12" x14ac:dyDescent="0.35">
      <c r="G61" s="7">
        <v>38</v>
      </c>
      <c r="H61" s="24">
        <v>3.2000000000000001E-2</v>
      </c>
      <c r="I61" s="29">
        <f t="shared" si="1"/>
        <v>3.1498667059371016E-2</v>
      </c>
      <c r="J61" s="29">
        <f t="shared" si="2"/>
        <v>3.2574264088472527E-2</v>
      </c>
      <c r="K61" s="29">
        <f t="shared" si="3"/>
        <v>4.1038342500601892E-2</v>
      </c>
      <c r="L61" s="31">
        <v>3.7199999999999997E-2</v>
      </c>
    </row>
    <row r="62" spans="7:12" x14ac:dyDescent="0.35">
      <c r="G62" s="2">
        <v>39</v>
      </c>
      <c r="H62" s="25">
        <v>3.202E-2</v>
      </c>
      <c r="I62" s="29">
        <f t="shared" si="1"/>
        <v>3.15180467165454E-2</v>
      </c>
      <c r="J62" s="29">
        <f t="shared" si="2"/>
        <v>3.2254473689171892E-2</v>
      </c>
      <c r="K62" s="29">
        <f t="shared" si="3"/>
        <v>4.0718552101301257E-2</v>
      </c>
      <c r="L62" s="31">
        <v>3.7100000000000001E-2</v>
      </c>
    </row>
    <row r="63" spans="7:12" x14ac:dyDescent="0.35">
      <c r="G63" s="2">
        <v>40</v>
      </c>
      <c r="H63" s="25">
        <v>3.2039999999999999E-2</v>
      </c>
      <c r="I63" s="29">
        <f t="shared" si="1"/>
        <v>3.1537425998156163E-2</v>
      </c>
      <c r="J63" s="29">
        <f t="shared" si="2"/>
        <v>3.2293217980976063E-2</v>
      </c>
      <c r="K63" s="29">
        <f t="shared" si="3"/>
        <v>4.0757296393105429E-2</v>
      </c>
      <c r="L63" s="31">
        <v>3.6999999999999998E-2</v>
      </c>
    </row>
    <row r="64" spans="7:12" x14ac:dyDescent="0.35">
      <c r="G64" s="7">
        <v>41</v>
      </c>
      <c r="H64" s="24">
        <v>3.2059999999999998E-2</v>
      </c>
      <c r="I64" s="29">
        <f t="shared" si="1"/>
        <v>3.1556804904217438E-2</v>
      </c>
      <c r="J64" s="29">
        <f t="shared" si="2"/>
        <v>3.2331961146668364E-2</v>
      </c>
      <c r="K64" s="29">
        <f t="shared" si="3"/>
        <v>4.079603955879773E-2</v>
      </c>
      <c r="L64" s="31">
        <v>3.6909999999999998E-2</v>
      </c>
    </row>
    <row r="65" spans="7:12" x14ac:dyDescent="0.35">
      <c r="G65" s="7">
        <v>42</v>
      </c>
      <c r="H65" s="24">
        <v>3.209E-2</v>
      </c>
      <c r="I65" s="29">
        <f t="shared" si="1"/>
        <v>3.1585872559186393E-2</v>
      </c>
      <c r="J65" s="29">
        <f t="shared" si="2"/>
        <v>3.2777646412913475E-2</v>
      </c>
      <c r="K65" s="29">
        <f t="shared" si="3"/>
        <v>4.124172482504284E-2</v>
      </c>
      <c r="L65" s="31">
        <v>3.6819999999999999E-2</v>
      </c>
    </row>
    <row r="66" spans="7:12" x14ac:dyDescent="0.35">
      <c r="G66" s="7">
        <v>43</v>
      </c>
      <c r="H66" s="24">
        <v>3.211E-2</v>
      </c>
      <c r="I66" s="29">
        <f t="shared" si="1"/>
        <v>3.160525052643836E-2</v>
      </c>
      <c r="J66" s="29">
        <f t="shared" si="2"/>
        <v>3.2419125151021078E-2</v>
      </c>
      <c r="K66" s="29">
        <f t="shared" si="3"/>
        <v>4.0883203563150443E-2</v>
      </c>
      <c r="L66" s="31">
        <v>3.6740000000000002E-2</v>
      </c>
    </row>
    <row r="67" spans="7:12" x14ac:dyDescent="0.35">
      <c r="G67" s="2">
        <v>44</v>
      </c>
      <c r="H67" s="25">
        <v>3.2120000000000003E-2</v>
      </c>
      <c r="I67" s="29">
        <f t="shared" si="1"/>
        <v>3.1614939369251346E-2</v>
      </c>
      <c r="J67" s="29">
        <f t="shared" si="2"/>
        <v>3.2031559610209648E-2</v>
      </c>
      <c r="K67" s="29">
        <f t="shared" si="3"/>
        <v>4.0495638022339013E-2</v>
      </c>
      <c r="L67" s="31">
        <v>3.6659999999999998E-2</v>
      </c>
    </row>
    <row r="68" spans="7:12" x14ac:dyDescent="0.35">
      <c r="G68" s="2">
        <v>45</v>
      </c>
      <c r="H68" s="25">
        <v>3.2140000000000002E-2</v>
      </c>
      <c r="I68" s="29">
        <f t="shared" si="1"/>
        <v>3.1634316773261263E-2</v>
      </c>
      <c r="J68" s="29">
        <f t="shared" si="2"/>
        <v>3.2486922549697761E-2</v>
      </c>
      <c r="K68" s="29">
        <f t="shared" si="3"/>
        <v>4.0951000961827126E-2</v>
      </c>
      <c r="L68" s="31">
        <v>3.6580000000000001E-2</v>
      </c>
    </row>
    <row r="69" spans="7:12" x14ac:dyDescent="0.35">
      <c r="G69" s="7">
        <v>46</v>
      </c>
      <c r="H69" s="24">
        <v>3.2160000000000001E-2</v>
      </c>
      <c r="I69" s="29">
        <f t="shared" si="1"/>
        <v>3.1653693801794454E-2</v>
      </c>
      <c r="J69" s="29">
        <f t="shared" si="2"/>
        <v>3.2525660085787944E-2</v>
      </c>
      <c r="K69" s="29">
        <f t="shared" si="3"/>
        <v>4.0989738497917309E-2</v>
      </c>
      <c r="L69" s="31">
        <v>3.6510000000000001E-2</v>
      </c>
    </row>
    <row r="70" spans="7:12" x14ac:dyDescent="0.35">
      <c r="G70" s="7">
        <v>47</v>
      </c>
      <c r="H70" s="24">
        <v>3.218E-2</v>
      </c>
      <c r="I70" s="29">
        <f t="shared" si="1"/>
        <v>3.1673070454865906E-2</v>
      </c>
      <c r="J70" s="29">
        <f t="shared" si="2"/>
        <v>3.2564396496152614E-2</v>
      </c>
      <c r="K70" s="29">
        <f t="shared" si="3"/>
        <v>4.102847490828198E-2</v>
      </c>
      <c r="L70" s="31">
        <v>3.6429999999999997E-2</v>
      </c>
    </row>
    <row r="71" spans="7:12" x14ac:dyDescent="0.35">
      <c r="G71" s="7">
        <v>48</v>
      </c>
      <c r="H71" s="24">
        <v>3.2190000000000003E-2</v>
      </c>
      <c r="I71" s="29">
        <f t="shared" si="1"/>
        <v>3.1682758640607725E-2</v>
      </c>
      <c r="J71" s="29">
        <f t="shared" si="2"/>
        <v>3.2138103370473292E-2</v>
      </c>
      <c r="K71" s="29">
        <f t="shared" si="3"/>
        <v>4.0602181782602657E-2</v>
      </c>
      <c r="L71" s="31">
        <v>3.6360000000000003E-2</v>
      </c>
    </row>
    <row r="72" spans="7:12" x14ac:dyDescent="0.35">
      <c r="G72" s="2">
        <v>49</v>
      </c>
      <c r="H72" s="25">
        <v>3.2210000000000003E-2</v>
      </c>
      <c r="I72" s="29">
        <f t="shared" si="1"/>
        <v>3.1702134730513518E-2</v>
      </c>
      <c r="J72" s="29">
        <f t="shared" si="2"/>
        <v>3.2632187045991579E-2</v>
      </c>
      <c r="K72" s="29">
        <f t="shared" si="3"/>
        <v>4.1096265458120944E-2</v>
      </c>
      <c r="L72" s="31">
        <v>3.6299999999999999E-2</v>
      </c>
    </row>
    <row r="73" spans="7:12" x14ac:dyDescent="0.35">
      <c r="G73" s="2">
        <v>50</v>
      </c>
      <c r="H73" s="25">
        <v>3.2230000000000002E-2</v>
      </c>
      <c r="I73" s="29">
        <f t="shared" si="1"/>
        <v>3.1721510444993509E-2</v>
      </c>
      <c r="J73" s="29">
        <f t="shared" si="2"/>
        <v>3.2670920454513031E-2</v>
      </c>
      <c r="K73" s="29">
        <f t="shared" si="3"/>
        <v>4.1134998866642396E-2</v>
      </c>
      <c r="L73" s="31">
        <v>3.6229999999999998E-2</v>
      </c>
    </row>
    <row r="74" spans="7:12" x14ac:dyDescent="0.35">
      <c r="G74" s="7">
        <v>51</v>
      </c>
      <c r="H74" s="24">
        <v>3.2239999999999998E-2</v>
      </c>
      <c r="I74" s="29">
        <f t="shared" si="1"/>
        <v>3.1731198161453561E-2</v>
      </c>
      <c r="J74" s="29">
        <f t="shared" si="2"/>
        <v>3.2215583984456231E-2</v>
      </c>
      <c r="K74" s="29">
        <f t="shared" si="3"/>
        <v>4.0679662396585596E-2</v>
      </c>
      <c r="L74" s="31">
        <v>3.6170000000000001E-2</v>
      </c>
    </row>
    <row r="75" spans="7:12" x14ac:dyDescent="0.35">
      <c r="G75" s="7">
        <v>52</v>
      </c>
      <c r="H75" s="24">
        <v>3.2259999999999997E-2</v>
      </c>
      <c r="I75" s="29">
        <f t="shared" si="1"/>
        <v>3.1750573312822446E-2</v>
      </c>
      <c r="J75" s="29">
        <f t="shared" si="2"/>
        <v>3.2738706032635623E-2</v>
      </c>
      <c r="K75" s="29">
        <f t="shared" si="3"/>
        <v>4.1202784444764988E-2</v>
      </c>
      <c r="L75" s="31">
        <v>3.6110000000000003E-2</v>
      </c>
    </row>
    <row r="76" spans="7:12" x14ac:dyDescent="0.35">
      <c r="G76" s="7">
        <v>53</v>
      </c>
      <c r="H76" s="24">
        <v>3.227E-2</v>
      </c>
      <c r="I76" s="29">
        <f t="shared" si="1"/>
        <v>3.1760260747735136E-2</v>
      </c>
      <c r="J76" s="29">
        <f t="shared" si="2"/>
        <v>3.2264007363195013E-2</v>
      </c>
      <c r="K76" s="29">
        <f t="shared" si="3"/>
        <v>4.0728085775324378E-2</v>
      </c>
      <c r="L76" s="31">
        <v>3.6049999999999999E-2</v>
      </c>
    </row>
    <row r="77" spans="7:12" x14ac:dyDescent="0.35">
      <c r="G77" s="2">
        <v>54</v>
      </c>
      <c r="H77" s="25">
        <v>3.2280000000000003E-2</v>
      </c>
      <c r="I77" s="29">
        <f t="shared" si="1"/>
        <v>3.1769948088802333E-2</v>
      </c>
      <c r="J77" s="29">
        <f t="shared" si="2"/>
        <v>3.2283377165363669E-2</v>
      </c>
      <c r="K77" s="29">
        <f t="shared" si="3"/>
        <v>4.0747455577493034E-2</v>
      </c>
      <c r="L77" s="31">
        <v>3.5999999999999997E-2</v>
      </c>
    </row>
    <row r="78" spans="7:12" x14ac:dyDescent="0.35">
      <c r="G78" s="2">
        <v>55</v>
      </c>
      <c r="H78" s="25">
        <v>3.2289999999999999E-2</v>
      </c>
      <c r="I78" s="29">
        <f t="shared" si="1"/>
        <v>3.1779635336025652E-2</v>
      </c>
      <c r="J78" s="29">
        <f t="shared" si="2"/>
        <v>3.2302746686085015E-2</v>
      </c>
      <c r="K78" s="29">
        <f t="shared" si="3"/>
        <v>4.0766825098214381E-2</v>
      </c>
      <c r="L78" s="31">
        <v>3.594E-2</v>
      </c>
    </row>
    <row r="79" spans="7:12" x14ac:dyDescent="0.35">
      <c r="G79" s="7">
        <v>56</v>
      </c>
      <c r="H79" s="24">
        <v>3.2309999999999998E-2</v>
      </c>
      <c r="I79" s="29">
        <f t="shared" si="1"/>
        <v>3.1799009548948987E-2</v>
      </c>
      <c r="J79" s="29">
        <f t="shared" si="2"/>
        <v>3.286459125973229E-2</v>
      </c>
      <c r="K79" s="29">
        <f t="shared" si="3"/>
        <v>4.1328669671861655E-2</v>
      </c>
      <c r="L79" s="31">
        <v>3.5889999999999998E-2</v>
      </c>
    </row>
    <row r="80" spans="7:12" x14ac:dyDescent="0.35">
      <c r="G80" s="7">
        <v>57</v>
      </c>
      <c r="H80" s="24">
        <v>3.2320000000000002E-2</v>
      </c>
      <c r="I80" s="29">
        <f t="shared" si="1"/>
        <v>3.1808696514652207E-2</v>
      </c>
      <c r="J80" s="29">
        <f t="shared" si="2"/>
        <v>3.2351166594032588E-2</v>
      </c>
      <c r="K80" s="29">
        <f t="shared" si="3"/>
        <v>4.0815245006161953E-2</v>
      </c>
      <c r="L80" s="31">
        <v>3.5839999999999997E-2</v>
      </c>
    </row>
    <row r="81" spans="7:12" x14ac:dyDescent="0.35">
      <c r="G81" s="7">
        <v>58</v>
      </c>
      <c r="H81" s="24">
        <v>3.2329999999999998E-2</v>
      </c>
      <c r="I81" s="29">
        <f t="shared" si="1"/>
        <v>3.1818383386519246E-2</v>
      </c>
      <c r="J81" s="29">
        <f t="shared" si="2"/>
        <v>3.237053508294041E-2</v>
      </c>
      <c r="K81" s="29">
        <f t="shared" si="3"/>
        <v>4.0834613495069776E-2</v>
      </c>
      <c r="L81" s="31">
        <v>3.5790000000000002E-2</v>
      </c>
    </row>
    <row r="82" spans="7:12" x14ac:dyDescent="0.35">
      <c r="G82" s="2">
        <v>59</v>
      </c>
      <c r="H82" s="25">
        <v>3.2340000000000001E-2</v>
      </c>
      <c r="I82" s="29">
        <f t="shared" si="1"/>
        <v>3.1828070164551713E-2</v>
      </c>
      <c r="J82" s="29">
        <f t="shared" si="2"/>
        <v>3.2389903290434896E-2</v>
      </c>
      <c r="K82" s="29">
        <f t="shared" si="3"/>
        <v>4.0853981702564261E-2</v>
      </c>
      <c r="L82" s="31">
        <v>3.5749999999999997E-2</v>
      </c>
    </row>
    <row r="83" spans="7:12" x14ac:dyDescent="0.35">
      <c r="G83" s="2">
        <v>60</v>
      </c>
      <c r="H83" s="25">
        <v>3.2349999999999997E-2</v>
      </c>
      <c r="I83" s="29">
        <f t="shared" si="1"/>
        <v>3.1837756848751418E-2</v>
      </c>
      <c r="J83" s="29">
        <f t="shared" si="2"/>
        <v>3.240927121653403E-2</v>
      </c>
      <c r="K83" s="29">
        <f t="shared" si="3"/>
        <v>4.0873349628663395E-2</v>
      </c>
      <c r="L83" s="31">
        <v>3.5700000000000003E-2</v>
      </c>
    </row>
    <row r="84" spans="7:12" x14ac:dyDescent="0.35">
      <c r="G84" s="7">
        <v>61</v>
      </c>
      <c r="H84" s="24">
        <v>3.236E-2</v>
      </c>
      <c r="I84" s="29">
        <f t="shared" si="1"/>
        <v>3.1847443439119966E-2</v>
      </c>
      <c r="J84" s="29">
        <f t="shared" si="2"/>
        <v>3.2428638861232706E-2</v>
      </c>
      <c r="K84" s="29">
        <f t="shared" si="3"/>
        <v>4.0892717273362071E-2</v>
      </c>
      <c r="L84" s="31">
        <v>3.5659999999999997E-2</v>
      </c>
    </row>
    <row r="85" spans="7:12" x14ac:dyDescent="0.35">
      <c r="G85" s="7">
        <v>62</v>
      </c>
      <c r="H85" s="24">
        <v>3.2370000000000003E-2</v>
      </c>
      <c r="I85" s="29">
        <f t="shared" si="1"/>
        <v>3.1857129935659603E-2</v>
      </c>
      <c r="J85" s="29">
        <f t="shared" si="2"/>
        <v>3.2448006224577552E-2</v>
      </c>
      <c r="K85" s="29">
        <f t="shared" si="3"/>
        <v>4.0912084636706918E-2</v>
      </c>
      <c r="L85" s="31">
        <v>3.5619999999999999E-2</v>
      </c>
    </row>
    <row r="86" spans="7:12" x14ac:dyDescent="0.35">
      <c r="G86" s="7">
        <v>63</v>
      </c>
      <c r="H86" s="24">
        <v>3.2379999999999999E-2</v>
      </c>
      <c r="I86" s="29">
        <f t="shared" si="1"/>
        <v>3.1866816338371934E-2</v>
      </c>
      <c r="J86" s="29">
        <f t="shared" si="2"/>
        <v>3.2467373306536373E-2</v>
      </c>
      <c r="K86" s="29">
        <f t="shared" si="3"/>
        <v>4.0931451718665739E-2</v>
      </c>
      <c r="L86" s="31">
        <v>3.5569999999999997E-2</v>
      </c>
    </row>
    <row r="87" spans="7:12" x14ac:dyDescent="0.35">
      <c r="G87" s="2">
        <v>64</v>
      </c>
      <c r="H87" s="25">
        <v>3.2390000000000002E-2</v>
      </c>
      <c r="I87" s="29">
        <f t="shared" si="1"/>
        <v>3.187650264725856E-2</v>
      </c>
      <c r="J87" s="29">
        <f t="shared" si="2"/>
        <v>3.2486740107116052E-2</v>
      </c>
      <c r="K87" s="29">
        <f t="shared" si="3"/>
        <v>4.0950818519245417E-2</v>
      </c>
      <c r="L87" s="31">
        <v>3.5529999999999999E-2</v>
      </c>
    </row>
    <row r="88" spans="7:12" x14ac:dyDescent="0.35">
      <c r="G88" s="2">
        <v>65</v>
      </c>
      <c r="H88" s="25">
        <v>3.2399999999999998E-2</v>
      </c>
      <c r="I88" s="29">
        <f t="shared" si="1"/>
        <v>3.1886188862321731E-2</v>
      </c>
      <c r="J88" s="29">
        <f t="shared" si="2"/>
        <v>3.2506106626364772E-2</v>
      </c>
      <c r="K88" s="29">
        <f t="shared" ref="K88:K119" si="4">J88+LN(1+V.NOTIONAL_VA)</f>
        <v>4.0970185038494138E-2</v>
      </c>
      <c r="L88" s="31">
        <v>3.5499999999999997E-2</v>
      </c>
    </row>
    <row r="89" spans="7:12" x14ac:dyDescent="0.35">
      <c r="G89" s="7">
        <v>66</v>
      </c>
      <c r="H89" s="24">
        <v>3.2410000000000001E-2</v>
      </c>
      <c r="I89" s="29">
        <f t="shared" ref="I89:I152" si="5">LN(1+H89)</f>
        <v>3.1895874983563055E-2</v>
      </c>
      <c r="J89" s="29">
        <f t="shared" si="2"/>
        <v>3.2525472864248783E-2</v>
      </c>
      <c r="K89" s="29">
        <f t="shared" si="4"/>
        <v>4.0989551276378149E-2</v>
      </c>
      <c r="L89" s="31">
        <v>3.5459999999999998E-2</v>
      </c>
    </row>
    <row r="90" spans="7:12" x14ac:dyDescent="0.35">
      <c r="G90" s="7">
        <v>67</v>
      </c>
      <c r="H90" s="24">
        <v>3.2419999999999997E-2</v>
      </c>
      <c r="I90" s="29">
        <f t="shared" si="5"/>
        <v>3.1905561010984122E-2</v>
      </c>
      <c r="J90" s="29">
        <f t="shared" ref="J90:J153" si="6">G90*I90-G89*I89</f>
        <v>3.2544838820774746E-2</v>
      </c>
      <c r="K90" s="29">
        <f t="shared" si="4"/>
        <v>4.1008917232904112E-2</v>
      </c>
      <c r="L90" s="31">
        <v>3.542E-2</v>
      </c>
    </row>
    <row r="91" spans="7:12" x14ac:dyDescent="0.35">
      <c r="G91" s="7">
        <v>68</v>
      </c>
      <c r="H91" s="24">
        <v>3.243E-2</v>
      </c>
      <c r="I91" s="29">
        <f t="shared" si="5"/>
        <v>3.1915246944587181E-2</v>
      </c>
      <c r="J91" s="29">
        <f t="shared" si="6"/>
        <v>3.2564204495991955E-2</v>
      </c>
      <c r="K91" s="29">
        <f t="shared" si="4"/>
        <v>4.102828290812132E-2</v>
      </c>
      <c r="L91" s="31">
        <v>3.5389999999999998E-2</v>
      </c>
    </row>
    <row r="92" spans="7:12" x14ac:dyDescent="0.35">
      <c r="G92" s="2">
        <v>69</v>
      </c>
      <c r="H92" s="25">
        <v>3.2439999999999997E-2</v>
      </c>
      <c r="I92" s="29">
        <f t="shared" si="5"/>
        <v>3.1924932784373847E-2</v>
      </c>
      <c r="J92" s="29">
        <f t="shared" si="6"/>
        <v>3.2583569889867103E-2</v>
      </c>
      <c r="K92" s="29">
        <f t="shared" si="4"/>
        <v>4.1047648301996469E-2</v>
      </c>
      <c r="L92" s="31">
        <v>3.5349999999999999E-2</v>
      </c>
    </row>
    <row r="93" spans="7:12" x14ac:dyDescent="0.35">
      <c r="G93" s="2">
        <v>70</v>
      </c>
      <c r="H93" s="25">
        <v>3.2439999999999997E-2</v>
      </c>
      <c r="I93" s="29">
        <f t="shared" si="5"/>
        <v>3.1924932784373847E-2</v>
      </c>
      <c r="J93" s="29">
        <f t="shared" si="6"/>
        <v>3.1924932784374249E-2</v>
      </c>
      <c r="K93" s="29">
        <f t="shared" si="4"/>
        <v>4.0389011196503614E-2</v>
      </c>
      <c r="L93" s="31">
        <v>3.5319999999999997E-2</v>
      </c>
    </row>
    <row r="94" spans="7:12" x14ac:dyDescent="0.35">
      <c r="G94" s="7">
        <v>71</v>
      </c>
      <c r="H94" s="24">
        <v>3.245E-2</v>
      </c>
      <c r="I94" s="29">
        <f t="shared" si="5"/>
        <v>3.1934618530345925E-2</v>
      </c>
      <c r="J94" s="29">
        <f t="shared" si="6"/>
        <v>3.2612620748391219E-2</v>
      </c>
      <c r="K94" s="29">
        <f t="shared" si="4"/>
        <v>4.1076699160520584E-2</v>
      </c>
      <c r="L94" s="31">
        <v>3.5290000000000002E-2</v>
      </c>
    </row>
    <row r="95" spans="7:12" x14ac:dyDescent="0.35">
      <c r="G95" s="7">
        <v>72</v>
      </c>
      <c r="H95" s="24">
        <v>3.2460000000000003E-2</v>
      </c>
      <c r="I95" s="29">
        <f t="shared" si="5"/>
        <v>3.1944304182505025E-2</v>
      </c>
      <c r="J95" s="29">
        <f t="shared" si="6"/>
        <v>3.2631985485801263E-2</v>
      </c>
      <c r="K95" s="29">
        <f t="shared" si="4"/>
        <v>4.1096063897930628E-2</v>
      </c>
      <c r="L95" s="31">
        <v>3.5249999999999997E-2</v>
      </c>
    </row>
    <row r="96" spans="7:12" x14ac:dyDescent="0.35">
      <c r="G96" s="7">
        <v>73</v>
      </c>
      <c r="H96" s="24">
        <v>3.2469999999999999E-2</v>
      </c>
      <c r="I96" s="29">
        <f t="shared" si="5"/>
        <v>3.1953989740853388E-2</v>
      </c>
      <c r="J96" s="29">
        <f t="shared" si="6"/>
        <v>3.2651349941935415E-2</v>
      </c>
      <c r="K96" s="29">
        <f t="shared" si="4"/>
        <v>4.111542835406478E-2</v>
      </c>
      <c r="L96" s="31">
        <v>3.5220000000000001E-2</v>
      </c>
    </row>
    <row r="97" spans="7:12" x14ac:dyDescent="0.35">
      <c r="G97" s="2">
        <v>74</v>
      </c>
      <c r="H97" s="25">
        <v>3.2469999999999999E-2</v>
      </c>
      <c r="I97" s="29">
        <f t="shared" si="5"/>
        <v>3.1953989740853388E-2</v>
      </c>
      <c r="J97" s="29">
        <f t="shared" si="6"/>
        <v>3.1953989740853395E-2</v>
      </c>
      <c r="K97" s="29">
        <f t="shared" si="4"/>
        <v>4.041806815298276E-2</v>
      </c>
      <c r="L97" s="31">
        <v>3.5189999999999999E-2</v>
      </c>
    </row>
    <row r="98" spans="7:12" x14ac:dyDescent="0.35">
      <c r="G98" s="2">
        <v>75</v>
      </c>
      <c r="H98" s="25">
        <v>3.2480000000000002E-2</v>
      </c>
      <c r="I98" s="29">
        <f t="shared" si="5"/>
        <v>3.1963675205392623E-2</v>
      </c>
      <c r="J98" s="29">
        <f t="shared" si="6"/>
        <v>3.2680399581296093E-2</v>
      </c>
      <c r="K98" s="29">
        <f t="shared" si="4"/>
        <v>4.1144477993425459E-2</v>
      </c>
      <c r="L98" s="31">
        <v>3.5159999999999997E-2</v>
      </c>
    </row>
    <row r="99" spans="7:12" x14ac:dyDescent="0.35">
      <c r="G99" s="7">
        <v>76</v>
      </c>
      <c r="H99" s="24">
        <v>3.2489999999999998E-2</v>
      </c>
      <c r="I99" s="29">
        <f t="shared" si="5"/>
        <v>3.1973360576124321E-2</v>
      </c>
      <c r="J99" s="29">
        <f t="shared" si="6"/>
        <v>3.2699763381001556E-2</v>
      </c>
      <c r="K99" s="29">
        <f t="shared" si="4"/>
        <v>4.1163841793130922E-2</v>
      </c>
      <c r="L99" s="31">
        <v>3.5139999999999998E-2</v>
      </c>
    </row>
    <row r="100" spans="7:12" x14ac:dyDescent="0.35">
      <c r="G100" s="7">
        <v>77</v>
      </c>
      <c r="H100" s="24">
        <v>3.2489999999999998E-2</v>
      </c>
      <c r="I100" s="29">
        <f t="shared" si="5"/>
        <v>3.1973360576124321E-2</v>
      </c>
      <c r="J100" s="29">
        <f t="shared" si="6"/>
        <v>3.1973360576124321E-2</v>
      </c>
      <c r="K100" s="29">
        <f t="shared" si="4"/>
        <v>4.0437438988253686E-2</v>
      </c>
      <c r="L100" s="31">
        <v>3.5110000000000002E-2</v>
      </c>
    </row>
    <row r="101" spans="7:12" x14ac:dyDescent="0.35">
      <c r="G101" s="7">
        <v>78</v>
      </c>
      <c r="H101" s="24">
        <v>3.2500000000000001E-2</v>
      </c>
      <c r="I101" s="29">
        <f t="shared" si="5"/>
        <v>3.1983045853050743E-2</v>
      </c>
      <c r="J101" s="29">
        <f t="shared" si="6"/>
        <v>3.2728812176385347E-2</v>
      </c>
      <c r="K101" s="29">
        <f t="shared" si="4"/>
        <v>4.1192890588514712E-2</v>
      </c>
      <c r="L101" s="31">
        <v>3.508E-2</v>
      </c>
    </row>
    <row r="102" spans="7:12" x14ac:dyDescent="0.35">
      <c r="G102" s="2">
        <v>79</v>
      </c>
      <c r="H102" s="25">
        <v>3.2509999999999997E-2</v>
      </c>
      <c r="I102" s="29">
        <f t="shared" si="5"/>
        <v>3.1992731036173484E-2</v>
      </c>
      <c r="J102" s="29">
        <f t="shared" si="6"/>
        <v>3.2748175319747386E-2</v>
      </c>
      <c r="K102" s="29">
        <f t="shared" si="4"/>
        <v>4.1212253731876751E-2</v>
      </c>
      <c r="L102" s="31">
        <v>3.5049999999999998E-2</v>
      </c>
    </row>
    <row r="103" spans="7:12" x14ac:dyDescent="0.35">
      <c r="G103" s="2">
        <v>80</v>
      </c>
      <c r="H103" s="25">
        <v>3.2509999999999997E-2</v>
      </c>
      <c r="I103" s="29">
        <f t="shared" si="5"/>
        <v>3.1992731036173484E-2</v>
      </c>
      <c r="J103" s="29">
        <f t="shared" si="6"/>
        <v>3.1992731036173172E-2</v>
      </c>
      <c r="K103" s="29">
        <f t="shared" si="4"/>
        <v>4.0456809448302537E-2</v>
      </c>
      <c r="L103" s="31">
        <v>3.5029999999999999E-2</v>
      </c>
    </row>
    <row r="104" spans="7:12" x14ac:dyDescent="0.35">
      <c r="G104" s="7">
        <v>81</v>
      </c>
      <c r="H104" s="24">
        <v>3.252E-2</v>
      </c>
      <c r="I104" s="29">
        <f t="shared" si="5"/>
        <v>3.2002416125494357E-2</v>
      </c>
      <c r="J104" s="29">
        <f t="shared" si="6"/>
        <v>3.2777223271164058E-2</v>
      </c>
      <c r="K104" s="29">
        <f t="shared" si="4"/>
        <v>4.1241301683293423E-2</v>
      </c>
      <c r="L104" s="31">
        <v>3.5000000000000003E-2</v>
      </c>
    </row>
    <row r="105" spans="7:12" x14ac:dyDescent="0.35">
      <c r="G105" s="7">
        <v>82</v>
      </c>
      <c r="H105" s="24">
        <v>3.2530000000000003E-2</v>
      </c>
      <c r="I105" s="29">
        <f t="shared" si="5"/>
        <v>3.201210112101497E-2</v>
      </c>
      <c r="J105" s="29">
        <f t="shared" si="6"/>
        <v>3.2796585758184893E-2</v>
      </c>
      <c r="K105" s="29">
        <f t="shared" si="4"/>
        <v>4.1260664170314258E-2</v>
      </c>
      <c r="L105" s="31">
        <v>3.4979999999999997E-2</v>
      </c>
    </row>
    <row r="106" spans="7:12" x14ac:dyDescent="0.35">
      <c r="G106" s="7">
        <v>83</v>
      </c>
      <c r="H106" s="24">
        <v>3.2530000000000003E-2</v>
      </c>
      <c r="I106" s="29">
        <f t="shared" si="5"/>
        <v>3.201210112101497E-2</v>
      </c>
      <c r="J106" s="29">
        <f t="shared" si="6"/>
        <v>3.2012101121015046E-2</v>
      </c>
      <c r="K106" s="29">
        <f t="shared" si="4"/>
        <v>4.0476179533144412E-2</v>
      </c>
      <c r="L106" s="31">
        <v>3.4959999999999998E-2</v>
      </c>
    </row>
    <row r="107" spans="7:12" x14ac:dyDescent="0.35">
      <c r="G107" s="2">
        <v>84</v>
      </c>
      <c r="H107" s="25">
        <v>3.2539999999999999E-2</v>
      </c>
      <c r="I107" s="29">
        <f t="shared" si="5"/>
        <v>3.2021786022737572E-2</v>
      </c>
      <c r="J107" s="29">
        <f t="shared" si="6"/>
        <v>3.2825632865713494E-2</v>
      </c>
      <c r="K107" s="29">
        <f t="shared" si="4"/>
        <v>4.128971127784286E-2</v>
      </c>
      <c r="L107" s="31">
        <v>3.4930000000000003E-2</v>
      </c>
    </row>
    <row r="108" spans="7:12" x14ac:dyDescent="0.35">
      <c r="G108" s="2">
        <v>85</v>
      </c>
      <c r="H108" s="25">
        <v>3.2539999999999999E-2</v>
      </c>
      <c r="I108" s="29">
        <f t="shared" si="5"/>
        <v>3.2021786022737572E-2</v>
      </c>
      <c r="J108" s="29">
        <f t="shared" si="6"/>
        <v>3.202178602273742E-2</v>
      </c>
      <c r="K108" s="29">
        <f t="shared" si="4"/>
        <v>4.0485864434866785E-2</v>
      </c>
      <c r="L108" s="31">
        <v>3.4909999999999997E-2</v>
      </c>
    </row>
    <row r="109" spans="7:12" x14ac:dyDescent="0.35">
      <c r="G109" s="7">
        <v>86</v>
      </c>
      <c r="H109" s="24">
        <v>3.2550000000000003E-2</v>
      </c>
      <c r="I109" s="29">
        <f t="shared" si="5"/>
        <v>3.2031470830663759E-2</v>
      </c>
      <c r="J109" s="29">
        <f t="shared" si="6"/>
        <v>3.2854679504389583E-2</v>
      </c>
      <c r="K109" s="29">
        <f t="shared" si="4"/>
        <v>4.1318757916518949E-2</v>
      </c>
      <c r="L109" s="31">
        <v>3.4889999999999997E-2</v>
      </c>
    </row>
    <row r="110" spans="7:12" x14ac:dyDescent="0.35">
      <c r="G110" s="7">
        <v>87</v>
      </c>
      <c r="H110" s="24">
        <v>3.2550000000000003E-2</v>
      </c>
      <c r="I110" s="29">
        <f t="shared" si="5"/>
        <v>3.2031470830663759E-2</v>
      </c>
      <c r="J110" s="29">
        <f t="shared" si="6"/>
        <v>3.2031470830664155E-2</v>
      </c>
      <c r="K110" s="29">
        <f t="shared" si="4"/>
        <v>4.049554924279352E-2</v>
      </c>
      <c r="L110" s="31">
        <v>3.4869999999999998E-2</v>
      </c>
    </row>
    <row r="111" spans="7:12" x14ac:dyDescent="0.35">
      <c r="G111" s="7">
        <v>88</v>
      </c>
      <c r="H111" s="24">
        <v>3.2559999999999999E-2</v>
      </c>
      <c r="I111" s="29">
        <f t="shared" si="5"/>
        <v>3.2041155544795127E-2</v>
      </c>
      <c r="J111" s="29">
        <f t="shared" si="6"/>
        <v>3.2883725674223818E-2</v>
      </c>
      <c r="K111" s="29">
        <f t="shared" si="4"/>
        <v>4.1347804086353183E-2</v>
      </c>
      <c r="L111" s="31">
        <v>3.4840000000000003E-2</v>
      </c>
    </row>
    <row r="112" spans="7:12" x14ac:dyDescent="0.35">
      <c r="G112" s="2">
        <v>89</v>
      </c>
      <c r="H112" s="25">
        <v>3.2559999999999999E-2</v>
      </c>
      <c r="I112" s="29">
        <f t="shared" si="5"/>
        <v>3.2041155544795127E-2</v>
      </c>
      <c r="J112" s="29">
        <f t="shared" si="6"/>
        <v>3.2041155544795252E-2</v>
      </c>
      <c r="K112" s="29">
        <f t="shared" si="4"/>
        <v>4.0505233956924618E-2</v>
      </c>
      <c r="L112" s="31">
        <v>3.4819999999999997E-2</v>
      </c>
    </row>
    <row r="113" spans="7:12" x14ac:dyDescent="0.35">
      <c r="G113" s="2">
        <v>90</v>
      </c>
      <c r="H113" s="25">
        <v>3.2570000000000002E-2</v>
      </c>
      <c r="I113" s="29">
        <f t="shared" si="5"/>
        <v>3.2050840165133938E-2</v>
      </c>
      <c r="J113" s="29">
        <f t="shared" si="6"/>
        <v>3.2912771375288141E-2</v>
      </c>
      <c r="K113" s="29">
        <f t="shared" si="4"/>
        <v>4.1376849787417506E-2</v>
      </c>
      <c r="L113" s="31">
        <v>3.4799999999999998E-2</v>
      </c>
    </row>
    <row r="114" spans="7:12" x14ac:dyDescent="0.35">
      <c r="G114" s="7">
        <v>91</v>
      </c>
      <c r="H114" s="24">
        <v>3.2570000000000002E-2</v>
      </c>
      <c r="I114" s="29">
        <f t="shared" si="5"/>
        <v>3.2050840165133938E-2</v>
      </c>
      <c r="J114" s="29">
        <f t="shared" si="6"/>
        <v>3.205084016513382E-2</v>
      </c>
      <c r="K114" s="29">
        <f t="shared" si="4"/>
        <v>4.0514918577263186E-2</v>
      </c>
      <c r="L114" s="31">
        <v>3.4779999999999998E-2</v>
      </c>
    </row>
    <row r="115" spans="7:12" x14ac:dyDescent="0.35">
      <c r="G115" s="7">
        <v>92</v>
      </c>
      <c r="H115" s="24">
        <v>3.2579999999999998E-2</v>
      </c>
      <c r="I115" s="29">
        <f t="shared" si="5"/>
        <v>3.2060524691681788E-2</v>
      </c>
      <c r="J115" s="29">
        <f t="shared" si="6"/>
        <v>3.2941816607536367E-2</v>
      </c>
      <c r="K115" s="29">
        <f t="shared" si="4"/>
        <v>4.1405895019665732E-2</v>
      </c>
      <c r="L115" s="31">
        <v>3.4759999999999999E-2</v>
      </c>
    </row>
    <row r="116" spans="7:12" x14ac:dyDescent="0.35">
      <c r="G116" s="7">
        <v>93</v>
      </c>
      <c r="H116" s="24">
        <v>3.2579999999999998E-2</v>
      </c>
      <c r="I116" s="29">
        <f t="shared" si="5"/>
        <v>3.2060524691681788E-2</v>
      </c>
      <c r="J116" s="29">
        <f t="shared" si="6"/>
        <v>3.2060524691681636E-2</v>
      </c>
      <c r="K116" s="29">
        <f t="shared" si="4"/>
        <v>4.0524603103811001E-2</v>
      </c>
      <c r="L116" s="31">
        <v>3.4750000000000003E-2</v>
      </c>
    </row>
    <row r="117" spans="7:12" x14ac:dyDescent="0.35">
      <c r="G117" s="2">
        <v>94</v>
      </c>
      <c r="H117" s="25">
        <v>3.2590000000000001E-2</v>
      </c>
      <c r="I117" s="29">
        <f t="shared" si="5"/>
        <v>3.2070209124440273E-2</v>
      </c>
      <c r="J117" s="29">
        <f t="shared" si="6"/>
        <v>3.2970861370979154E-2</v>
      </c>
      <c r="K117" s="29">
        <f t="shared" si="4"/>
        <v>4.1434939783108519E-2</v>
      </c>
      <c r="L117" s="31">
        <v>3.4729999999999997E-2</v>
      </c>
    </row>
    <row r="118" spans="7:12" x14ac:dyDescent="0.35">
      <c r="G118" s="2">
        <v>95</v>
      </c>
      <c r="H118" s="25">
        <v>3.2590000000000001E-2</v>
      </c>
      <c r="I118" s="29">
        <f t="shared" si="5"/>
        <v>3.2070209124440273E-2</v>
      </c>
      <c r="J118" s="29">
        <f t="shared" si="6"/>
        <v>3.2070209124440474E-2</v>
      </c>
      <c r="K118" s="29">
        <f t="shared" si="4"/>
        <v>4.0534287536569839E-2</v>
      </c>
      <c r="L118" s="31">
        <v>3.4709999999999998E-2</v>
      </c>
    </row>
    <row r="119" spans="7:12" x14ac:dyDescent="0.35">
      <c r="G119" s="7">
        <v>96</v>
      </c>
      <c r="H119" s="24">
        <v>3.2590000000000001E-2</v>
      </c>
      <c r="I119" s="29">
        <f t="shared" si="5"/>
        <v>3.2070209124440273E-2</v>
      </c>
      <c r="J119" s="29">
        <f t="shared" si="6"/>
        <v>3.207020912444003E-2</v>
      </c>
      <c r="K119" s="29">
        <f t="shared" si="4"/>
        <v>4.0534287536569395E-2</v>
      </c>
      <c r="L119" s="31">
        <v>3.4689999999999999E-2</v>
      </c>
    </row>
    <row r="120" spans="7:12" x14ac:dyDescent="0.35">
      <c r="G120" s="7">
        <v>97</v>
      </c>
      <c r="H120" s="24">
        <v>3.2599999999999997E-2</v>
      </c>
      <c r="I120" s="29">
        <f t="shared" si="5"/>
        <v>3.2079893463411648E-2</v>
      </c>
      <c r="J120" s="29">
        <f t="shared" si="6"/>
        <v>3.3009590004663636E-2</v>
      </c>
      <c r="K120" s="29">
        <f t="shared" ref="K120:K151" si="7">J120+LN(1+V.NOTIONAL_VA)</f>
        <v>4.1473668416793001E-2</v>
      </c>
      <c r="L120" s="31">
        <v>3.4669999999999999E-2</v>
      </c>
    </row>
    <row r="121" spans="7:12" x14ac:dyDescent="0.35">
      <c r="G121" s="7">
        <v>98</v>
      </c>
      <c r="H121" s="24">
        <v>3.2599999999999997E-2</v>
      </c>
      <c r="I121" s="29">
        <f t="shared" si="5"/>
        <v>3.2079893463411648E-2</v>
      </c>
      <c r="J121" s="29">
        <f t="shared" si="6"/>
        <v>3.2079893463411668E-2</v>
      </c>
      <c r="K121" s="29">
        <f t="shared" si="7"/>
        <v>4.0543971875541034E-2</v>
      </c>
      <c r="L121" s="31">
        <v>3.4660000000000003E-2</v>
      </c>
    </row>
    <row r="122" spans="7:12" x14ac:dyDescent="0.35">
      <c r="G122" s="2">
        <v>99</v>
      </c>
      <c r="H122" s="25">
        <v>3.261E-2</v>
      </c>
      <c r="I122" s="29">
        <f t="shared" si="5"/>
        <v>3.2089577708597508E-2</v>
      </c>
      <c r="J122" s="29">
        <f t="shared" si="6"/>
        <v>3.3038633736811818E-2</v>
      </c>
      <c r="K122" s="29">
        <f t="shared" si="7"/>
        <v>4.1502712148941183E-2</v>
      </c>
      <c r="L122" s="31">
        <v>3.4639999999999997E-2</v>
      </c>
    </row>
    <row r="123" spans="7:12" x14ac:dyDescent="0.35">
      <c r="G123" s="2">
        <v>100</v>
      </c>
      <c r="H123" s="25">
        <v>3.261E-2</v>
      </c>
      <c r="I123" s="29">
        <f t="shared" si="5"/>
        <v>3.2089577708597508E-2</v>
      </c>
      <c r="J123" s="29">
        <f t="shared" si="6"/>
        <v>3.2089577708597883E-2</v>
      </c>
      <c r="K123" s="29">
        <f t="shared" si="7"/>
        <v>4.0553656120727248E-2</v>
      </c>
      <c r="L123" s="31">
        <v>3.4619999999999998E-2</v>
      </c>
    </row>
    <row r="124" spans="7:12" x14ac:dyDescent="0.35">
      <c r="G124" s="7">
        <v>101</v>
      </c>
      <c r="H124" s="24">
        <v>3.261E-2</v>
      </c>
      <c r="I124" s="29">
        <f t="shared" si="5"/>
        <v>3.2089577708597508E-2</v>
      </c>
      <c r="J124" s="29">
        <f t="shared" si="6"/>
        <v>3.2089577708597439E-2</v>
      </c>
      <c r="K124" s="29">
        <f t="shared" si="7"/>
        <v>4.0553656120726804E-2</v>
      </c>
      <c r="L124" s="31">
        <v>3.4610000000000002E-2</v>
      </c>
    </row>
    <row r="125" spans="7:12" x14ac:dyDescent="0.35">
      <c r="G125" s="7">
        <v>102</v>
      </c>
      <c r="H125" s="24">
        <v>3.2620000000000003E-2</v>
      </c>
      <c r="I125" s="29">
        <f t="shared" si="5"/>
        <v>3.2099261859999666E-2</v>
      </c>
      <c r="J125" s="29">
        <f t="shared" si="6"/>
        <v>3.3077361151617524E-2</v>
      </c>
      <c r="K125" s="29">
        <f t="shared" si="7"/>
        <v>4.1541439563746889E-2</v>
      </c>
      <c r="L125" s="31">
        <v>3.4590000000000003E-2</v>
      </c>
    </row>
    <row r="126" spans="7:12" x14ac:dyDescent="0.35">
      <c r="G126" s="7">
        <v>103</v>
      </c>
      <c r="H126" s="24">
        <v>3.2620000000000003E-2</v>
      </c>
      <c r="I126" s="29">
        <f t="shared" si="5"/>
        <v>3.2099261859999666E-2</v>
      </c>
      <c r="J126" s="29">
        <f t="shared" si="6"/>
        <v>3.2099261859999562E-2</v>
      </c>
      <c r="K126" s="29">
        <f t="shared" si="7"/>
        <v>4.0563340272128927E-2</v>
      </c>
      <c r="L126" s="31">
        <v>3.458E-2</v>
      </c>
    </row>
    <row r="127" spans="7:12" x14ac:dyDescent="0.35">
      <c r="G127" s="2">
        <v>104</v>
      </c>
      <c r="H127" s="25">
        <v>3.2629999999999999E-2</v>
      </c>
      <c r="I127" s="29">
        <f t="shared" si="5"/>
        <v>3.2108945917619737E-2</v>
      </c>
      <c r="J127" s="29">
        <f t="shared" si="6"/>
        <v>3.3106403852487087E-2</v>
      </c>
      <c r="K127" s="29">
        <f t="shared" si="7"/>
        <v>4.1570482264616453E-2</v>
      </c>
      <c r="L127" s="31">
        <v>3.456E-2</v>
      </c>
    </row>
    <row r="128" spans="7:12" x14ac:dyDescent="0.35">
      <c r="G128" s="2">
        <v>105</v>
      </c>
      <c r="H128" s="25">
        <v>3.2629999999999999E-2</v>
      </c>
      <c r="I128" s="29">
        <f t="shared" si="5"/>
        <v>3.2108945917619737E-2</v>
      </c>
      <c r="J128" s="29">
        <f t="shared" si="6"/>
        <v>3.2108945917619813E-2</v>
      </c>
      <c r="K128" s="29">
        <f t="shared" si="7"/>
        <v>4.0573024329749179E-2</v>
      </c>
      <c r="L128" s="31">
        <v>3.4549999999999997E-2</v>
      </c>
    </row>
    <row r="129" spans="7:12" x14ac:dyDescent="0.35">
      <c r="G129" s="7">
        <v>106</v>
      </c>
      <c r="H129" s="24">
        <v>3.2629999999999999E-2</v>
      </c>
      <c r="I129" s="29">
        <f t="shared" si="5"/>
        <v>3.2108945917619737E-2</v>
      </c>
      <c r="J129" s="29">
        <f t="shared" si="6"/>
        <v>3.2108945917619813E-2</v>
      </c>
      <c r="K129" s="29">
        <f t="shared" si="7"/>
        <v>4.0573024329749179E-2</v>
      </c>
      <c r="L129" s="31">
        <v>3.4529999999999998E-2</v>
      </c>
    </row>
    <row r="130" spans="7:12" x14ac:dyDescent="0.35">
      <c r="G130" s="7">
        <v>107</v>
      </c>
      <c r="H130" s="24">
        <v>3.2640000000000002E-2</v>
      </c>
      <c r="I130" s="29">
        <f t="shared" si="5"/>
        <v>3.2118629881459949E-2</v>
      </c>
      <c r="J130" s="29">
        <f t="shared" si="6"/>
        <v>3.3145130048522375E-2</v>
      </c>
      <c r="K130" s="29">
        <f t="shared" si="7"/>
        <v>4.1609208460651741E-2</v>
      </c>
      <c r="L130" s="31">
        <v>3.4520000000000002E-2</v>
      </c>
    </row>
    <row r="131" spans="7:12" x14ac:dyDescent="0.35">
      <c r="G131" s="7">
        <v>108</v>
      </c>
      <c r="H131" s="24">
        <v>3.2640000000000002E-2</v>
      </c>
      <c r="I131" s="29">
        <f t="shared" si="5"/>
        <v>3.2118629881459949E-2</v>
      </c>
      <c r="J131" s="29">
        <f t="shared" si="6"/>
        <v>3.211862988145997E-2</v>
      </c>
      <c r="K131" s="29">
        <f t="shared" si="7"/>
        <v>4.0582708293589335E-2</v>
      </c>
      <c r="L131" s="31">
        <v>3.4500000000000003E-2</v>
      </c>
    </row>
    <row r="132" spans="7:12" x14ac:dyDescent="0.35">
      <c r="G132" s="2">
        <v>109</v>
      </c>
      <c r="H132" s="25">
        <v>3.2640000000000002E-2</v>
      </c>
      <c r="I132" s="29">
        <f t="shared" si="5"/>
        <v>3.2118629881459949E-2</v>
      </c>
      <c r="J132" s="29">
        <f t="shared" si="6"/>
        <v>3.211862988145997E-2</v>
      </c>
      <c r="K132" s="29">
        <f t="shared" si="7"/>
        <v>4.0582708293589335E-2</v>
      </c>
      <c r="L132" s="31">
        <v>3.449E-2</v>
      </c>
    </row>
    <row r="133" spans="7:12" x14ac:dyDescent="0.35">
      <c r="G133" s="2">
        <v>110</v>
      </c>
      <c r="H133" s="25">
        <v>3.2649999999999998E-2</v>
      </c>
      <c r="I133" s="29">
        <f t="shared" si="5"/>
        <v>3.2128313751521927E-2</v>
      </c>
      <c r="J133" s="29">
        <f t="shared" si="6"/>
        <v>3.31838555882773E-2</v>
      </c>
      <c r="K133" s="29">
        <f t="shared" si="7"/>
        <v>4.1647934000406665E-2</v>
      </c>
      <c r="L133" s="31">
        <v>3.4479999999999997E-2</v>
      </c>
    </row>
    <row r="134" spans="7:12" x14ac:dyDescent="0.35">
      <c r="G134" s="7">
        <v>111</v>
      </c>
      <c r="H134" s="24">
        <v>3.2649999999999998E-2</v>
      </c>
      <c r="I134" s="29">
        <f t="shared" si="5"/>
        <v>3.2128313751521927E-2</v>
      </c>
      <c r="J134" s="29">
        <f t="shared" si="6"/>
        <v>3.2128313751521809E-2</v>
      </c>
      <c r="K134" s="29">
        <f t="shared" si="7"/>
        <v>4.0592392163651174E-2</v>
      </c>
      <c r="L134" s="31">
        <v>3.4459999999999998E-2</v>
      </c>
    </row>
    <row r="135" spans="7:12" x14ac:dyDescent="0.35">
      <c r="G135" s="7">
        <v>112</v>
      </c>
      <c r="H135" s="24">
        <v>3.2649999999999998E-2</v>
      </c>
      <c r="I135" s="29">
        <f t="shared" si="5"/>
        <v>3.2128313751521927E-2</v>
      </c>
      <c r="J135" s="29">
        <f t="shared" si="6"/>
        <v>3.2128313751522253E-2</v>
      </c>
      <c r="K135" s="29">
        <f t="shared" si="7"/>
        <v>4.0592392163651618E-2</v>
      </c>
      <c r="L135" s="31">
        <v>3.4450000000000001E-2</v>
      </c>
    </row>
    <row r="136" spans="7:12" x14ac:dyDescent="0.35">
      <c r="G136" s="7">
        <v>113</v>
      </c>
      <c r="H136" s="24">
        <v>3.2660000000000002E-2</v>
      </c>
      <c r="I136" s="29">
        <f t="shared" si="5"/>
        <v>3.2137997527807251E-2</v>
      </c>
      <c r="J136" s="29">
        <f t="shared" si="6"/>
        <v>3.3222580471763408E-2</v>
      </c>
      <c r="K136" s="29">
        <f t="shared" si="7"/>
        <v>4.1686658883892773E-2</v>
      </c>
      <c r="L136" s="31">
        <v>3.4439999999999998E-2</v>
      </c>
    </row>
    <row r="137" spans="7:12" x14ac:dyDescent="0.35">
      <c r="G137" s="2">
        <v>114</v>
      </c>
      <c r="H137" s="25">
        <v>3.2660000000000002E-2</v>
      </c>
      <c r="I137" s="29">
        <f t="shared" si="5"/>
        <v>3.2137997527807251E-2</v>
      </c>
      <c r="J137" s="29">
        <f t="shared" si="6"/>
        <v>3.2137997527807105E-2</v>
      </c>
      <c r="K137" s="29">
        <f t="shared" si="7"/>
        <v>4.060207593993647E-2</v>
      </c>
      <c r="L137" s="31">
        <v>3.4419999999999999E-2</v>
      </c>
    </row>
    <row r="138" spans="7:12" x14ac:dyDescent="0.35">
      <c r="G138" s="2">
        <v>115</v>
      </c>
      <c r="H138" s="25">
        <v>3.2660000000000002E-2</v>
      </c>
      <c r="I138" s="29">
        <f t="shared" si="5"/>
        <v>3.2137997527807251E-2</v>
      </c>
      <c r="J138" s="29">
        <f t="shared" si="6"/>
        <v>3.2137997527807549E-2</v>
      </c>
      <c r="K138" s="29">
        <f t="shared" si="7"/>
        <v>4.0602075939936914E-2</v>
      </c>
      <c r="L138" s="31">
        <v>3.4410000000000003E-2</v>
      </c>
    </row>
    <row r="139" spans="7:12" x14ac:dyDescent="0.35">
      <c r="G139" s="7">
        <v>116</v>
      </c>
      <c r="H139" s="24">
        <v>3.2660000000000002E-2</v>
      </c>
      <c r="I139" s="29">
        <f t="shared" si="5"/>
        <v>3.2137997527807251E-2</v>
      </c>
      <c r="J139" s="29">
        <f t="shared" si="6"/>
        <v>3.2137997527807105E-2</v>
      </c>
      <c r="K139" s="29">
        <f t="shared" si="7"/>
        <v>4.060207593993647E-2</v>
      </c>
      <c r="L139" s="31">
        <v>3.44E-2</v>
      </c>
    </row>
    <row r="140" spans="7:12" x14ac:dyDescent="0.35">
      <c r="G140" s="7">
        <v>117</v>
      </c>
      <c r="H140" s="24">
        <v>3.2669999999999998E-2</v>
      </c>
      <c r="I140" s="29">
        <f t="shared" si="5"/>
        <v>3.214768121031817E-2</v>
      </c>
      <c r="J140" s="29">
        <f t="shared" si="6"/>
        <v>3.3270988381584932E-2</v>
      </c>
      <c r="K140" s="29">
        <f t="shared" si="7"/>
        <v>4.1735066793714297E-2</v>
      </c>
      <c r="L140" s="31">
        <v>3.4389999999999997E-2</v>
      </c>
    </row>
    <row r="141" spans="7:12" x14ac:dyDescent="0.35">
      <c r="G141" s="7">
        <v>118</v>
      </c>
      <c r="H141" s="24">
        <v>3.2669999999999998E-2</v>
      </c>
      <c r="I141" s="29">
        <f t="shared" si="5"/>
        <v>3.214768121031817E-2</v>
      </c>
      <c r="J141" s="29">
        <f t="shared" si="6"/>
        <v>3.214768121031808E-2</v>
      </c>
      <c r="K141" s="29">
        <f t="shared" si="7"/>
        <v>4.0611759622447445E-2</v>
      </c>
      <c r="L141" s="31">
        <v>3.4380000000000001E-2</v>
      </c>
    </row>
    <row r="142" spans="7:12" x14ac:dyDescent="0.35">
      <c r="G142" s="2">
        <v>119</v>
      </c>
      <c r="H142" s="25">
        <v>3.2669999999999998E-2</v>
      </c>
      <c r="I142" s="29">
        <f t="shared" si="5"/>
        <v>3.214768121031817E-2</v>
      </c>
      <c r="J142" s="29">
        <f t="shared" si="6"/>
        <v>3.214768121031808E-2</v>
      </c>
      <c r="K142" s="29">
        <f t="shared" si="7"/>
        <v>4.0611759622447445E-2</v>
      </c>
      <c r="L142" s="31">
        <v>3.4360000000000002E-2</v>
      </c>
    </row>
    <row r="143" spans="7:12" x14ac:dyDescent="0.35">
      <c r="G143" s="2">
        <v>120</v>
      </c>
      <c r="H143" s="25">
        <v>3.2680000000000001E-2</v>
      </c>
      <c r="I143" s="29">
        <f t="shared" si="5"/>
        <v>3.2157364799056294E-2</v>
      </c>
      <c r="J143" s="29">
        <f t="shared" si="6"/>
        <v>3.3309711858893198E-2</v>
      </c>
      <c r="K143" s="29">
        <f t="shared" si="7"/>
        <v>4.1773790271022564E-2</v>
      </c>
      <c r="L143" s="31">
        <v>3.4349999999999999E-2</v>
      </c>
    </row>
    <row r="144" spans="7:12" x14ac:dyDescent="0.35">
      <c r="G144" s="7">
        <v>121</v>
      </c>
      <c r="H144" s="24">
        <v>3.2680000000000001E-2</v>
      </c>
      <c r="I144" s="29">
        <f t="shared" si="5"/>
        <v>3.2157364799056294E-2</v>
      </c>
      <c r="J144" s="29">
        <f t="shared" si="6"/>
        <v>3.2157364799056065E-2</v>
      </c>
      <c r="K144" s="29">
        <f t="shared" si="7"/>
        <v>4.062144321118543E-2</v>
      </c>
      <c r="L144" s="31">
        <v>3.4340000000000002E-2</v>
      </c>
    </row>
    <row r="145" spans="7:12" x14ac:dyDescent="0.35">
      <c r="G145" s="7">
        <v>122</v>
      </c>
      <c r="H145" s="24">
        <v>3.2680000000000001E-2</v>
      </c>
      <c r="I145" s="29">
        <f t="shared" si="5"/>
        <v>3.2157364799056294E-2</v>
      </c>
      <c r="J145" s="29">
        <f t="shared" si="6"/>
        <v>3.2157364799056509E-2</v>
      </c>
      <c r="K145" s="29">
        <f t="shared" si="7"/>
        <v>4.0621443211185874E-2</v>
      </c>
      <c r="L145" s="31">
        <v>3.4329999999999999E-2</v>
      </c>
    </row>
    <row r="146" spans="7:12" x14ac:dyDescent="0.35">
      <c r="G146" s="7">
        <v>123</v>
      </c>
      <c r="H146" s="24">
        <v>3.2680000000000001E-2</v>
      </c>
      <c r="I146" s="29">
        <f t="shared" si="5"/>
        <v>3.2157364799056294E-2</v>
      </c>
      <c r="J146" s="29">
        <f t="shared" si="6"/>
        <v>3.2157364799056065E-2</v>
      </c>
      <c r="K146" s="29">
        <f t="shared" si="7"/>
        <v>4.062144321118543E-2</v>
      </c>
      <c r="L146" s="31">
        <v>3.4320000000000003E-2</v>
      </c>
    </row>
    <row r="147" spans="7:12" x14ac:dyDescent="0.35">
      <c r="G147" s="2">
        <v>124</v>
      </c>
      <c r="H147" s="25">
        <v>3.2689999999999997E-2</v>
      </c>
      <c r="I147" s="29">
        <f t="shared" si="5"/>
        <v>3.2167048294023441E-2</v>
      </c>
      <c r="J147" s="29">
        <f t="shared" si="6"/>
        <v>3.3358118174982909E-2</v>
      </c>
      <c r="K147" s="29">
        <f t="shared" si="7"/>
        <v>4.1822196587112274E-2</v>
      </c>
      <c r="L147" s="31">
        <v>3.431E-2</v>
      </c>
    </row>
    <row r="148" spans="7:12" x14ac:dyDescent="0.35">
      <c r="G148" s="2">
        <v>125</v>
      </c>
      <c r="H148" s="25">
        <v>3.2689999999999997E-2</v>
      </c>
      <c r="I148" s="29">
        <f t="shared" si="5"/>
        <v>3.2167048294023441E-2</v>
      </c>
      <c r="J148" s="29">
        <f t="shared" si="6"/>
        <v>3.2167048294022837E-2</v>
      </c>
      <c r="K148" s="29">
        <f t="shared" si="7"/>
        <v>4.0631126706152203E-2</v>
      </c>
      <c r="L148" s="31">
        <v>3.4299999999999997E-2</v>
      </c>
    </row>
    <row r="149" spans="7:12" x14ac:dyDescent="0.35">
      <c r="G149" s="7">
        <v>126</v>
      </c>
      <c r="H149" s="24">
        <v>3.2689999999999997E-2</v>
      </c>
      <c r="I149" s="29">
        <f t="shared" si="5"/>
        <v>3.2167048294023441E-2</v>
      </c>
      <c r="J149" s="29">
        <f t="shared" si="6"/>
        <v>3.216704829402417E-2</v>
      </c>
      <c r="K149" s="29">
        <f t="shared" si="7"/>
        <v>4.0631126706153535E-2</v>
      </c>
      <c r="L149" s="31">
        <v>3.4290000000000001E-2</v>
      </c>
    </row>
    <row r="150" spans="7:12" x14ac:dyDescent="0.35">
      <c r="G150" s="7">
        <v>127</v>
      </c>
      <c r="H150" s="24">
        <v>3.2689999999999997E-2</v>
      </c>
      <c r="I150" s="29">
        <f t="shared" si="5"/>
        <v>3.2167048294023441E-2</v>
      </c>
      <c r="J150" s="29">
        <f t="shared" si="6"/>
        <v>3.2167048294023282E-2</v>
      </c>
      <c r="K150" s="29">
        <f t="shared" si="7"/>
        <v>4.0631126706152647E-2</v>
      </c>
      <c r="L150" s="31">
        <v>3.4279999999999998E-2</v>
      </c>
    </row>
    <row r="151" spans="7:12" x14ac:dyDescent="0.35">
      <c r="G151" s="7">
        <v>128</v>
      </c>
      <c r="H151" s="24">
        <v>3.27E-2</v>
      </c>
      <c r="I151" s="29">
        <f t="shared" si="5"/>
        <v>3.21767316952212E-2</v>
      </c>
      <c r="J151" s="29">
        <f t="shared" si="6"/>
        <v>3.3406523647336428E-2</v>
      </c>
      <c r="K151" s="29">
        <f t="shared" si="7"/>
        <v>4.1870602059465793E-2</v>
      </c>
      <c r="L151" s="31">
        <v>3.4270000000000002E-2</v>
      </c>
    </row>
    <row r="152" spans="7:12" x14ac:dyDescent="0.35">
      <c r="G152" s="2">
        <v>129</v>
      </c>
      <c r="H152" s="25">
        <v>3.27E-2</v>
      </c>
      <c r="I152" s="29">
        <f t="shared" si="5"/>
        <v>3.21767316952212E-2</v>
      </c>
      <c r="J152" s="29">
        <f t="shared" si="6"/>
        <v>3.2176731695221505E-2</v>
      </c>
      <c r="K152" s="29">
        <f t="shared" ref="K152:K173" si="8">J152+LN(1+V.NOTIONAL_VA)</f>
        <v>4.0640810107350871E-2</v>
      </c>
      <c r="L152" s="31">
        <v>3.4259999999999999E-2</v>
      </c>
    </row>
    <row r="153" spans="7:12" x14ac:dyDescent="0.35">
      <c r="G153" s="2">
        <v>130</v>
      </c>
      <c r="H153" s="25">
        <v>3.27E-2</v>
      </c>
      <c r="I153" s="29">
        <f t="shared" ref="I153:I173" si="9">LN(1+H153)</f>
        <v>3.21767316952212E-2</v>
      </c>
      <c r="J153" s="29">
        <f t="shared" si="6"/>
        <v>3.2176731695220617E-2</v>
      </c>
      <c r="K153" s="29">
        <f t="shared" si="8"/>
        <v>4.0640810107349983E-2</v>
      </c>
      <c r="L153" s="31">
        <v>3.4250000000000003E-2</v>
      </c>
    </row>
    <row r="154" spans="7:12" x14ac:dyDescent="0.35">
      <c r="G154" s="7">
        <v>131</v>
      </c>
      <c r="H154" s="24">
        <v>3.27E-2</v>
      </c>
      <c r="I154" s="29">
        <f t="shared" si="9"/>
        <v>3.21767316952212E-2</v>
      </c>
      <c r="J154" s="29">
        <f t="shared" ref="J154:J173" si="10">G154*I154-G153*I153</f>
        <v>3.2176731695221505E-2</v>
      </c>
      <c r="K154" s="29">
        <f t="shared" si="8"/>
        <v>4.0640810107350871E-2</v>
      </c>
      <c r="L154" s="31">
        <v>3.424E-2</v>
      </c>
    </row>
    <row r="155" spans="7:12" x14ac:dyDescent="0.35">
      <c r="G155" s="7">
        <v>132</v>
      </c>
      <c r="H155" s="24">
        <v>3.2710000000000003E-2</v>
      </c>
      <c r="I155" s="29">
        <f t="shared" si="9"/>
        <v>3.2186415002651826E-2</v>
      </c>
      <c r="J155" s="29">
        <f t="shared" si="10"/>
        <v>3.3454928276063889E-2</v>
      </c>
      <c r="K155" s="29">
        <f t="shared" si="8"/>
        <v>4.1919006688193254E-2</v>
      </c>
      <c r="L155" s="31">
        <v>3.4229999999999997E-2</v>
      </c>
    </row>
    <row r="156" spans="7:12" x14ac:dyDescent="0.35">
      <c r="G156" s="7">
        <v>133</v>
      </c>
      <c r="H156" s="24">
        <v>3.2710000000000003E-2</v>
      </c>
      <c r="I156" s="29">
        <f t="shared" si="9"/>
        <v>3.2186415002651826E-2</v>
      </c>
      <c r="J156" s="29">
        <f t="shared" si="10"/>
        <v>3.2186415002652069E-2</v>
      </c>
      <c r="K156" s="29">
        <f t="shared" si="8"/>
        <v>4.0650493414781434E-2</v>
      </c>
      <c r="L156" s="31">
        <v>3.422E-2</v>
      </c>
    </row>
    <row r="157" spans="7:12" x14ac:dyDescent="0.35">
      <c r="G157" s="2">
        <v>134</v>
      </c>
      <c r="H157" s="25">
        <v>3.2710000000000003E-2</v>
      </c>
      <c r="I157" s="29">
        <f t="shared" si="9"/>
        <v>3.2186415002651826E-2</v>
      </c>
      <c r="J157" s="29">
        <f t="shared" si="10"/>
        <v>3.2186415002651181E-2</v>
      </c>
      <c r="K157" s="29">
        <f t="shared" si="8"/>
        <v>4.0650493414780546E-2</v>
      </c>
      <c r="L157" s="31">
        <v>3.4209999999999997E-2</v>
      </c>
    </row>
    <row r="158" spans="7:12" x14ac:dyDescent="0.35">
      <c r="G158" s="2">
        <v>135</v>
      </c>
      <c r="H158" s="25">
        <v>3.2710000000000003E-2</v>
      </c>
      <c r="I158" s="29">
        <f t="shared" si="9"/>
        <v>3.2186415002651826E-2</v>
      </c>
      <c r="J158" s="29">
        <f t="shared" si="10"/>
        <v>3.2186415002652069E-2</v>
      </c>
      <c r="K158" s="29">
        <f t="shared" si="8"/>
        <v>4.0650493414781434E-2</v>
      </c>
      <c r="L158" s="31">
        <v>3.4200000000000001E-2</v>
      </c>
    </row>
    <row r="159" spans="7:12" x14ac:dyDescent="0.35">
      <c r="G159" s="7">
        <v>136</v>
      </c>
      <c r="H159" s="24">
        <v>3.2710000000000003E-2</v>
      </c>
      <c r="I159" s="29">
        <f t="shared" si="9"/>
        <v>3.2186415002651826E-2</v>
      </c>
      <c r="J159" s="29">
        <f t="shared" si="10"/>
        <v>3.2186415002652069E-2</v>
      </c>
      <c r="K159" s="29">
        <f t="shared" si="8"/>
        <v>4.0650493414781434E-2</v>
      </c>
      <c r="L159" s="31">
        <v>3.4189999999999998E-2</v>
      </c>
    </row>
    <row r="160" spans="7:12" x14ac:dyDescent="0.35">
      <c r="G160" s="7">
        <v>137</v>
      </c>
      <c r="H160" s="24">
        <v>3.2719999999999999E-2</v>
      </c>
      <c r="I160" s="29">
        <f t="shared" si="9"/>
        <v>3.2196098216316915E-2</v>
      </c>
      <c r="J160" s="29">
        <f t="shared" si="10"/>
        <v>3.3513015274769131E-2</v>
      </c>
      <c r="K160" s="29">
        <f t="shared" si="8"/>
        <v>4.1977093686898496E-2</v>
      </c>
      <c r="L160" s="31">
        <v>3.4180000000000002E-2</v>
      </c>
    </row>
    <row r="161" spans="7:12" x14ac:dyDescent="0.35">
      <c r="G161" s="7">
        <v>138</v>
      </c>
      <c r="H161" s="24">
        <v>3.2719999999999999E-2</v>
      </c>
      <c r="I161" s="29">
        <f t="shared" si="9"/>
        <v>3.2196098216316915E-2</v>
      </c>
      <c r="J161" s="29">
        <f t="shared" si="10"/>
        <v>3.2196098216316749E-2</v>
      </c>
      <c r="K161" s="29">
        <f t="shared" si="8"/>
        <v>4.0660176628446114E-2</v>
      </c>
      <c r="L161" s="31">
        <v>3.4180000000000002E-2</v>
      </c>
    </row>
    <row r="162" spans="7:12" x14ac:dyDescent="0.35">
      <c r="G162" s="2">
        <v>139</v>
      </c>
      <c r="H162" s="25">
        <v>3.2719999999999999E-2</v>
      </c>
      <c r="I162" s="29">
        <f t="shared" si="9"/>
        <v>3.2196098216316915E-2</v>
      </c>
      <c r="J162" s="29">
        <f t="shared" si="10"/>
        <v>3.2196098216316749E-2</v>
      </c>
      <c r="K162" s="29">
        <f t="shared" si="8"/>
        <v>4.0660176628446114E-2</v>
      </c>
      <c r="L162" s="31">
        <v>3.4169999999999999E-2</v>
      </c>
    </row>
    <row r="163" spans="7:12" x14ac:dyDescent="0.35">
      <c r="G163" s="2">
        <v>140</v>
      </c>
      <c r="H163" s="25">
        <v>3.2719999999999999E-2</v>
      </c>
      <c r="I163" s="29">
        <f t="shared" si="9"/>
        <v>3.2196098216316915E-2</v>
      </c>
      <c r="J163" s="29">
        <f t="shared" si="10"/>
        <v>3.2196098216316749E-2</v>
      </c>
      <c r="K163" s="29">
        <f t="shared" si="8"/>
        <v>4.0660176628446114E-2</v>
      </c>
      <c r="L163" s="31">
        <v>3.4160000000000003E-2</v>
      </c>
    </row>
    <row r="164" spans="7:12" x14ac:dyDescent="0.35">
      <c r="G164" s="7">
        <v>141</v>
      </c>
      <c r="H164" s="24">
        <v>3.2719999999999999E-2</v>
      </c>
      <c r="I164" s="29">
        <f t="shared" si="9"/>
        <v>3.2196098216316915E-2</v>
      </c>
      <c r="J164" s="29">
        <f t="shared" si="10"/>
        <v>3.2196098216316749E-2</v>
      </c>
      <c r="K164" s="29">
        <f t="shared" si="8"/>
        <v>4.0660176628446114E-2</v>
      </c>
      <c r="L164" s="31">
        <v>3.415E-2</v>
      </c>
    </row>
    <row r="165" spans="7:12" x14ac:dyDescent="0.35">
      <c r="G165" s="7">
        <v>142</v>
      </c>
      <c r="H165" s="24">
        <v>3.2730000000000002E-2</v>
      </c>
      <c r="I165" s="29">
        <f t="shared" si="9"/>
        <v>3.220578133621807E-2</v>
      </c>
      <c r="J165" s="29">
        <f t="shared" si="10"/>
        <v>3.3571101242281465E-2</v>
      </c>
      <c r="K165" s="29">
        <f t="shared" si="8"/>
        <v>4.203517965441083E-2</v>
      </c>
      <c r="L165" s="31">
        <v>3.4139999999999997E-2</v>
      </c>
    </row>
    <row r="166" spans="7:12" x14ac:dyDescent="0.35">
      <c r="G166" s="7">
        <v>143</v>
      </c>
      <c r="H166" s="24">
        <v>3.2730000000000002E-2</v>
      </c>
      <c r="I166" s="29">
        <f t="shared" si="9"/>
        <v>3.220578133621807E-2</v>
      </c>
      <c r="J166" s="29">
        <f t="shared" si="10"/>
        <v>3.2205781336218209E-2</v>
      </c>
      <c r="K166" s="29">
        <f t="shared" si="8"/>
        <v>4.0669859748347574E-2</v>
      </c>
      <c r="L166" s="31">
        <v>3.4130000000000001E-2</v>
      </c>
    </row>
    <row r="167" spans="7:12" x14ac:dyDescent="0.35">
      <c r="G167" s="2">
        <v>144</v>
      </c>
      <c r="H167" s="25">
        <v>3.2730000000000002E-2</v>
      </c>
      <c r="I167" s="29">
        <f t="shared" si="9"/>
        <v>3.220578133621807E-2</v>
      </c>
      <c r="J167" s="29">
        <f t="shared" si="10"/>
        <v>3.2205781336218209E-2</v>
      </c>
      <c r="K167" s="29">
        <f t="shared" si="8"/>
        <v>4.0669859748347574E-2</v>
      </c>
      <c r="L167" s="31">
        <v>3.4130000000000001E-2</v>
      </c>
    </row>
    <row r="168" spans="7:12" x14ac:dyDescent="0.35">
      <c r="G168" s="2">
        <v>145</v>
      </c>
      <c r="H168" s="25">
        <v>3.2730000000000002E-2</v>
      </c>
      <c r="I168" s="29">
        <f t="shared" si="9"/>
        <v>3.220578133621807E-2</v>
      </c>
      <c r="J168" s="29">
        <f t="shared" si="10"/>
        <v>3.2205781336217321E-2</v>
      </c>
      <c r="K168" s="29">
        <f t="shared" si="8"/>
        <v>4.0669859748346686E-2</v>
      </c>
      <c r="L168" s="31">
        <v>3.4119999999999998E-2</v>
      </c>
    </row>
    <row r="169" spans="7:12" x14ac:dyDescent="0.35">
      <c r="G169" s="7">
        <v>146</v>
      </c>
      <c r="H169" s="24">
        <v>3.2730000000000002E-2</v>
      </c>
      <c r="I169" s="29">
        <f t="shared" si="9"/>
        <v>3.220578133621807E-2</v>
      </c>
      <c r="J169" s="29">
        <f t="shared" si="10"/>
        <v>3.2205781336218209E-2</v>
      </c>
      <c r="K169" s="29">
        <f t="shared" si="8"/>
        <v>4.0669859748347574E-2</v>
      </c>
      <c r="L169" s="31">
        <v>3.4110000000000001E-2</v>
      </c>
    </row>
    <row r="170" spans="7:12" x14ac:dyDescent="0.35">
      <c r="G170" s="7">
        <v>147</v>
      </c>
      <c r="H170" s="24">
        <v>3.2739999999999998E-2</v>
      </c>
      <c r="I170" s="29">
        <f t="shared" si="9"/>
        <v>3.2215464362357539E-2</v>
      </c>
      <c r="J170" s="29">
        <f t="shared" si="10"/>
        <v>3.3629186178719905E-2</v>
      </c>
      <c r="K170" s="29">
        <f t="shared" si="8"/>
        <v>4.2093264590849271E-2</v>
      </c>
      <c r="L170" s="31">
        <v>3.4099999999999998E-2</v>
      </c>
    </row>
    <row r="171" spans="7:12" x14ac:dyDescent="0.35">
      <c r="G171" s="7">
        <v>148</v>
      </c>
      <c r="H171" s="24">
        <v>3.2739999999999998E-2</v>
      </c>
      <c r="I171" s="29">
        <f t="shared" si="9"/>
        <v>3.2215464362357539E-2</v>
      </c>
      <c r="J171" s="29">
        <f t="shared" si="10"/>
        <v>3.2215464362358226E-2</v>
      </c>
      <c r="K171" s="29">
        <f t="shared" si="8"/>
        <v>4.0679542774487591E-2</v>
      </c>
      <c r="L171" s="31">
        <v>3.4099999999999998E-2</v>
      </c>
    </row>
    <row r="172" spans="7:12" x14ac:dyDescent="0.35">
      <c r="G172" s="2">
        <v>149</v>
      </c>
      <c r="H172" s="25">
        <v>3.2739999999999998E-2</v>
      </c>
      <c r="I172" s="29">
        <f t="shared" si="9"/>
        <v>3.2215464362357539E-2</v>
      </c>
      <c r="J172" s="29">
        <f t="shared" si="10"/>
        <v>3.2215464362357338E-2</v>
      </c>
      <c r="K172" s="29">
        <f t="shared" si="8"/>
        <v>4.0679542774486703E-2</v>
      </c>
      <c r="L172" s="31">
        <v>3.4090000000000002E-2</v>
      </c>
    </row>
    <row r="173" spans="7:12" x14ac:dyDescent="0.35">
      <c r="G173" s="2">
        <v>150</v>
      </c>
      <c r="H173" s="25">
        <v>3.2739999999999998E-2</v>
      </c>
      <c r="I173" s="29">
        <f t="shared" si="9"/>
        <v>3.2215464362357539E-2</v>
      </c>
      <c r="J173" s="29">
        <f t="shared" si="10"/>
        <v>3.2215464362357338E-2</v>
      </c>
      <c r="K173" s="29">
        <f t="shared" si="8"/>
        <v>4.0679542774486703E-2</v>
      </c>
      <c r="L173" s="32">
        <v>3.4079999999999999E-2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I24" sqref="I24"/>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7"/>
      <c r="H8" s="64" t="s">
        <v>20</v>
      </c>
      <c r="I8" s="7"/>
      <c r="K8" s="57"/>
      <c r="L8" s="64" t="s">
        <v>23</v>
      </c>
    </row>
    <row r="9" spans="1:14" x14ac:dyDescent="0.35">
      <c r="F9" s="7"/>
      <c r="G9" s="7"/>
      <c r="H9" s="23"/>
      <c r="I9" s="7"/>
      <c r="K9" s="7"/>
      <c r="L9" s="7"/>
    </row>
    <row r="10" spans="1:14" x14ac:dyDescent="0.35">
      <c r="F10" s="7"/>
      <c r="G10" s="12" t="s">
        <v>21</v>
      </c>
      <c r="H10" s="59" t="b">
        <v>0</v>
      </c>
      <c r="I10" s="7"/>
      <c r="K10" s="12" t="s">
        <v>24</v>
      </c>
      <c r="L10" s="81">
        <f>IF(V.USA_SELECTED,
    85% * V.CSSR * V.USA * V.RCS_CU,
    85% * V.CSSR * V.RCS_CU)</f>
        <v>3.4000000000000002E-3</v>
      </c>
      <c r="N10" s="7"/>
    </row>
    <row r="11" spans="1:14" x14ac:dyDescent="0.35">
      <c r="F11" s="7"/>
      <c r="G11" s="12" t="s">
        <v>28</v>
      </c>
      <c r="H11" s="59" t="b">
        <v>1</v>
      </c>
      <c r="I11" s="7"/>
      <c r="K11" s="12"/>
      <c r="L11" s="81">
        <f>MAX(MIN((V.RCS_CO * V.DTTA - 0.6%) / 0.3%, 1), 0)</f>
        <v>0.33333333333333331</v>
      </c>
      <c r="N11" s="7"/>
    </row>
    <row r="12" spans="1:14" x14ac:dyDescent="0.35">
      <c r="F12" s="7"/>
      <c r="G12" s="12" t="s">
        <v>29</v>
      </c>
      <c r="H12" s="66">
        <v>0.8</v>
      </c>
      <c r="I12" s="7"/>
      <c r="K12" s="12" t="s">
        <v>25</v>
      </c>
      <c r="L12" s="82" t="e">
        <f>IF(V.MACROVA_SELECTED, 85% * V.CSSR * MAX(V.RCS_CO - 1.3 * V.RCS_CU, 0) * V.W_CO, NA())</f>
        <v>#N/A</v>
      </c>
      <c r="N12" s="7"/>
    </row>
    <row r="13" spans="1:14" x14ac:dyDescent="0.35">
      <c r="F13" s="7"/>
      <c r="G13" s="7"/>
      <c r="H13" s="7"/>
      <c r="I13" s="7"/>
      <c r="K13" s="12" t="s">
        <v>26</v>
      </c>
      <c r="L13" s="87">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3" t="s">
        <v>84</v>
      </c>
      <c r="G18" s="62"/>
      <c r="H18" s="62"/>
      <c r="I18" s="57"/>
      <c r="J18" s="62"/>
      <c r="K18" s="57"/>
      <c r="L18" s="57"/>
    </row>
    <row r="19" spans="6:12" x14ac:dyDescent="0.35">
      <c r="G19" s="7"/>
      <c r="H19" s="7"/>
      <c r="I19" s="23"/>
      <c r="J19" s="7"/>
    </row>
    <row r="20" spans="6:12" x14ac:dyDescent="0.35">
      <c r="G20" s="7"/>
      <c r="J20" s="12" t="s">
        <v>32</v>
      </c>
      <c r="K20" s="88" cm="1">
        <f t="array" ref="K20">_xlfn.LET(_xlpm.FIRST_LLFR_FORWARD, INDEX(R.FWD_CURVE, V.FSP),
     _xlpm.FIRST_LLFR_WEIGHT, INDEX(R.LLFR_WEIGHTS, V.FSP),
     V.LLFR - _xlpm.FIRST_LLFR_WEIGHT * _xlpm.FIRST_LLFR_FORWARD + _xlpm.FIRST_LLFR_WEIGHT * INDEX(R.FWD_VA_CURVE, V.FSP))</f>
        <v>3.3003124886665444E-2</v>
      </c>
    </row>
    <row r="21" spans="6:12" x14ac:dyDescent="0.35">
      <c r="G21" s="7"/>
      <c r="H21" s="7"/>
      <c r="I21" s="23"/>
      <c r="J21" s="7"/>
    </row>
    <row r="22" spans="6:12" x14ac:dyDescent="0.35">
      <c r="G22" s="36" t="s">
        <v>13</v>
      </c>
      <c r="H22" s="36" t="s">
        <v>43</v>
      </c>
      <c r="I22" s="36" t="s">
        <v>89</v>
      </c>
      <c r="J22" s="36" t="s">
        <v>93</v>
      </c>
      <c r="K22" s="36" t="s">
        <v>91</v>
      </c>
      <c r="L22" s="36" t="s">
        <v>27</v>
      </c>
    </row>
    <row r="23" spans="6:12" x14ac:dyDescent="0.35">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5">
      <c r="G24" s="7">
        <v>2</v>
      </c>
      <c r="H24" s="24">
        <v>2.162E-2</v>
      </c>
      <c r="I24" s="29">
        <f t="shared" ref="I24:I87" si="1">LN(1+H24)</f>
        <v>2.1389602678470468E-2</v>
      </c>
      <c r="J24" s="29">
        <f>G24*I24-G23*I23</f>
        <v>2.2231757469280827E-2</v>
      </c>
      <c r="K24" s="29">
        <f t="shared" si="0"/>
        <v>2.5625990537296445E-2</v>
      </c>
      <c r="L24" s="31">
        <v>2.5090000000000001E-2</v>
      </c>
    </row>
    <row r="25" spans="6:12" x14ac:dyDescent="0.35">
      <c r="G25" s="7">
        <v>3</v>
      </c>
      <c r="H25" s="24">
        <v>2.2790000000000001E-2</v>
      </c>
      <c r="I25" s="29">
        <f t="shared" si="1"/>
        <v>2.2534187304580029E-2</v>
      </c>
      <c r="J25" s="29">
        <f t="shared" ref="J25:J88" si="2">G25*I25-G24*I24</f>
        <v>2.4823356556799153E-2</v>
      </c>
      <c r="K25" s="29">
        <f t="shared" si="0"/>
        <v>2.8217589624814771E-2</v>
      </c>
      <c r="L25" s="31">
        <v>2.6270000000000002E-2</v>
      </c>
    </row>
    <row r="26" spans="6:12" x14ac:dyDescent="0.35">
      <c r="G26" s="2">
        <v>4</v>
      </c>
      <c r="H26" s="25">
        <v>2.3800000000000002E-2</v>
      </c>
      <c r="I26" s="29">
        <f t="shared" si="1"/>
        <v>2.3521195041345866E-2</v>
      </c>
      <c r="J26" s="29">
        <f t="shared" si="2"/>
        <v>2.6482218251643375E-2</v>
      </c>
      <c r="K26" s="29">
        <f t="shared" si="0"/>
        <v>2.9876451319658992E-2</v>
      </c>
      <c r="L26" s="31">
        <v>2.7279999999999999E-2</v>
      </c>
    </row>
    <row r="27" spans="6:12" x14ac:dyDescent="0.35">
      <c r="G27" s="2">
        <v>5</v>
      </c>
      <c r="H27" s="25">
        <v>2.469E-2</v>
      </c>
      <c r="I27" s="29">
        <f t="shared" si="1"/>
        <v>2.4390127822076224E-2</v>
      </c>
      <c r="J27" s="29">
        <f t="shared" si="2"/>
        <v>2.7865858944997657E-2</v>
      </c>
      <c r="K27" s="29">
        <f t="shared" si="0"/>
        <v>3.1260092013013274E-2</v>
      </c>
      <c r="L27" s="31">
        <v>2.8170000000000001E-2</v>
      </c>
    </row>
    <row r="28" spans="6:12" x14ac:dyDescent="0.35">
      <c r="G28" s="7">
        <v>6</v>
      </c>
      <c r="H28" s="24">
        <v>2.5510000000000001E-2</v>
      </c>
      <c r="I28" s="29">
        <f t="shared" si="1"/>
        <v>2.5190049823563519E-2</v>
      </c>
      <c r="J28" s="29">
        <f t="shared" si="2"/>
        <v>2.9189659830999998E-2</v>
      </c>
      <c r="K28" s="29">
        <f t="shared" si="0"/>
        <v>3.2583892899015615E-2</v>
      </c>
      <c r="L28" s="31">
        <v>2.9000000000000001E-2</v>
      </c>
    </row>
    <row r="29" spans="6:12" x14ac:dyDescent="0.35">
      <c r="G29" s="7">
        <v>7</v>
      </c>
      <c r="H29" s="24">
        <v>2.632E-2</v>
      </c>
      <c r="I29" s="29">
        <f t="shared" si="1"/>
        <v>2.5979588958947631E-2</v>
      </c>
      <c r="J29" s="29">
        <f t="shared" si="2"/>
        <v>3.0716823771252288E-2</v>
      </c>
      <c r="K29" s="29">
        <f t="shared" si="0"/>
        <v>3.4111056839267906E-2</v>
      </c>
      <c r="L29" s="31">
        <v>2.981E-2</v>
      </c>
    </row>
    <row r="30" spans="6:12" x14ac:dyDescent="0.35">
      <c r="G30" s="7">
        <v>8</v>
      </c>
      <c r="H30" s="24">
        <v>2.7E-2</v>
      </c>
      <c r="I30" s="29">
        <f t="shared" si="1"/>
        <v>2.6641930946421092E-2</v>
      </c>
      <c r="J30" s="29">
        <f t="shared" si="2"/>
        <v>3.1278324858735329E-2</v>
      </c>
      <c r="K30" s="29">
        <f t="shared" si="0"/>
        <v>3.4672557926750946E-2</v>
      </c>
      <c r="L30" s="31">
        <v>3.049E-2</v>
      </c>
    </row>
    <row r="31" spans="6:12" x14ac:dyDescent="0.35">
      <c r="G31" s="2">
        <v>9</v>
      </c>
      <c r="H31" s="25">
        <v>2.7629999999999998E-2</v>
      </c>
      <c r="I31" s="29">
        <f t="shared" si="1"/>
        <v>2.7255180066451504E-2</v>
      </c>
      <c r="J31" s="29">
        <f t="shared" si="2"/>
        <v>3.21611730266948E-2</v>
      </c>
      <c r="K31" s="29">
        <f t="shared" si="0"/>
        <v>3.5555406094710418E-2</v>
      </c>
      <c r="L31" s="31">
        <v>3.1119999999999998E-2</v>
      </c>
    </row>
    <row r="32" spans="6:12" x14ac:dyDescent="0.35">
      <c r="G32" s="2">
        <v>10</v>
      </c>
      <c r="H32" s="25">
        <v>2.827E-2</v>
      </c>
      <c r="I32" s="29">
        <f t="shared" si="1"/>
        <v>2.7877778461970263E-2</v>
      </c>
      <c r="J32" s="29">
        <f t="shared" si="2"/>
        <v>3.3481164021639115E-2</v>
      </c>
      <c r="K32" s="29">
        <f t="shared" si="0"/>
        <v>3.6875397089654732E-2</v>
      </c>
      <c r="L32" s="31">
        <v>3.177E-2</v>
      </c>
    </row>
    <row r="33" spans="7:12" x14ac:dyDescent="0.35">
      <c r="G33" s="7">
        <v>11</v>
      </c>
      <c r="H33" s="24">
        <v>2.879E-2</v>
      </c>
      <c r="I33" s="29">
        <f t="shared" si="1"/>
        <v>2.8383354391769471E-2</v>
      </c>
      <c r="J33" s="29">
        <f t="shared" si="2"/>
        <v>3.3439113689761546E-2</v>
      </c>
      <c r="K33" s="29">
        <f t="shared" si="0"/>
        <v>3.6833346757777163E-2</v>
      </c>
      <c r="L33" s="31">
        <v>3.2289999999999999E-2</v>
      </c>
    </row>
    <row r="34" spans="7:12" x14ac:dyDescent="0.35">
      <c r="G34" s="7">
        <v>12</v>
      </c>
      <c r="H34" s="24">
        <v>2.9270000000000001E-2</v>
      </c>
      <c r="I34" s="29">
        <f t="shared" si="1"/>
        <v>2.8849813104054985E-2</v>
      </c>
      <c r="J34" s="29">
        <f t="shared" si="2"/>
        <v>3.3980858939195613E-2</v>
      </c>
      <c r="K34" s="29">
        <f t="shared" si="0"/>
        <v>3.737509200721123E-2</v>
      </c>
      <c r="L34" s="31">
        <v>3.2770000000000001E-2</v>
      </c>
    </row>
    <row r="35" spans="7:12" x14ac:dyDescent="0.35">
      <c r="G35" s="7">
        <v>13</v>
      </c>
      <c r="H35" s="24">
        <v>2.9780000000000001E-2</v>
      </c>
      <c r="I35" s="29">
        <f t="shared" si="1"/>
        <v>2.9345187194464949E-2</v>
      </c>
      <c r="J35" s="29">
        <f t="shared" si="2"/>
        <v>3.5289676279384508E-2</v>
      </c>
      <c r="K35" s="29">
        <f t="shared" si="0"/>
        <v>3.8683909347400125E-2</v>
      </c>
      <c r="L35" s="31">
        <v>3.3279999999999997E-2</v>
      </c>
    </row>
    <row r="36" spans="7:12" x14ac:dyDescent="0.35">
      <c r="G36" s="2">
        <v>14</v>
      </c>
      <c r="H36" s="25">
        <v>3.0130000000000001E-2</v>
      </c>
      <c r="I36" s="29">
        <f t="shared" si="1"/>
        <v>2.9685007869512097E-2</v>
      </c>
      <c r="J36" s="29">
        <f t="shared" si="2"/>
        <v>3.4102676645125063E-2</v>
      </c>
      <c r="K36" s="29">
        <f t="shared" si="0"/>
        <v>3.749690971314068E-2</v>
      </c>
      <c r="L36" s="31">
        <v>3.363E-2</v>
      </c>
    </row>
    <row r="37" spans="7:12" x14ac:dyDescent="0.35">
      <c r="G37" s="2">
        <v>15</v>
      </c>
      <c r="H37" s="25">
        <v>3.0429999999999999E-2</v>
      </c>
      <c r="I37" s="29">
        <f t="shared" si="1"/>
        <v>2.99761908509537E-2</v>
      </c>
      <c r="J37" s="29">
        <f t="shared" si="2"/>
        <v>3.4052752591136104E-2</v>
      </c>
      <c r="K37" s="29">
        <f t="shared" si="0"/>
        <v>3.7446985659151721E-2</v>
      </c>
      <c r="L37" s="31">
        <v>3.3930000000000002E-2</v>
      </c>
    </row>
    <row r="38" spans="7:12" x14ac:dyDescent="0.35">
      <c r="G38" s="7">
        <v>16</v>
      </c>
      <c r="H38" s="24">
        <v>3.065E-2</v>
      </c>
      <c r="I38" s="29">
        <f t="shared" si="1"/>
        <v>3.0189671163057673E-2</v>
      </c>
      <c r="J38" s="29">
        <f t="shared" si="2"/>
        <v>3.339187584461728E-2</v>
      </c>
      <c r="K38" s="29">
        <f t="shared" si="0"/>
        <v>3.6786108912632898E-2</v>
      </c>
      <c r="L38" s="31">
        <v>3.415E-2</v>
      </c>
    </row>
    <row r="39" spans="7:12" x14ac:dyDescent="0.35">
      <c r="G39" s="7">
        <v>17</v>
      </c>
      <c r="H39" s="24">
        <v>3.0849999999999999E-2</v>
      </c>
      <c r="I39" s="29">
        <f t="shared" si="1"/>
        <v>3.0383704634440123E-2</v>
      </c>
      <c r="J39" s="29">
        <f t="shared" si="2"/>
        <v>3.3488240176559381E-2</v>
      </c>
      <c r="K39" s="29">
        <f t="shared" si="0"/>
        <v>3.6882473244574998E-2</v>
      </c>
      <c r="L39" s="31">
        <v>3.4349999999999999E-2</v>
      </c>
    </row>
    <row r="40" spans="7:12" x14ac:dyDescent="0.35">
      <c r="G40" s="7">
        <v>18</v>
      </c>
      <c r="H40" s="24">
        <v>3.1029999999999999E-2</v>
      </c>
      <c r="I40" s="29">
        <f t="shared" si="1"/>
        <v>3.055830257462783E-2</v>
      </c>
      <c r="J40" s="29">
        <f t="shared" si="2"/>
        <v>3.3526467557818851E-2</v>
      </c>
      <c r="K40" s="29">
        <f t="shared" si="0"/>
        <v>3.6920700625834468E-2</v>
      </c>
      <c r="L40" s="31">
        <v>3.4540000000000001E-2</v>
      </c>
    </row>
    <row r="41" spans="7:12" x14ac:dyDescent="0.35">
      <c r="G41" s="2">
        <v>19</v>
      </c>
      <c r="H41" s="25">
        <v>3.1189999999999999E-2</v>
      </c>
      <c r="I41" s="29">
        <f t="shared" si="1"/>
        <v>3.0713475155944282E-2</v>
      </c>
      <c r="J41" s="29">
        <f t="shared" si="2"/>
        <v>3.3506581619640374E-2</v>
      </c>
      <c r="K41" s="29">
        <f t="shared" si="0"/>
        <v>3.6900814687655992E-2</v>
      </c>
      <c r="L41" s="31">
        <v>3.4700000000000002E-2</v>
      </c>
    </row>
    <row r="42" spans="7:12" x14ac:dyDescent="0.35">
      <c r="G42" s="2">
        <v>20</v>
      </c>
      <c r="H42" s="25">
        <v>3.1329999999999997E-2</v>
      </c>
      <c r="I42" s="29">
        <f t="shared" si="1"/>
        <v>3.084923141548605E-2</v>
      </c>
      <c r="J42" s="29">
        <f t="shared" si="2"/>
        <v>3.3428600346779636E-2</v>
      </c>
      <c r="K42" s="29">
        <f t="shared" si="0"/>
        <v>3.6822833414795253E-2</v>
      </c>
      <c r="L42" s="31">
        <v>3.4840000000000003E-2</v>
      </c>
    </row>
    <row r="43" spans="7:12" x14ac:dyDescent="0.35">
      <c r="G43" s="7">
        <v>21</v>
      </c>
      <c r="H43" s="24">
        <v>3.1379999999999998E-2</v>
      </c>
      <c r="I43" s="29">
        <f t="shared" si="1"/>
        <v>3.089771132784375E-2</v>
      </c>
      <c r="J43" s="29">
        <f t="shared" si="2"/>
        <v>3.1867309574997726E-2</v>
      </c>
      <c r="K43" s="29">
        <f t="shared" si="0"/>
        <v>3.5261542643013344E-2</v>
      </c>
      <c r="L43" s="31">
        <v>3.4770000000000002E-2</v>
      </c>
    </row>
    <row r="44" spans="7:12" x14ac:dyDescent="0.35">
      <c r="G44" s="7">
        <v>22</v>
      </c>
      <c r="H44" s="24">
        <v>3.143E-2</v>
      </c>
      <c r="I44" s="29">
        <f t="shared" si="1"/>
        <v>3.0946188890013701E-2</v>
      </c>
      <c r="J44" s="29">
        <f t="shared" si="2"/>
        <v>3.1964217695582664E-2</v>
      </c>
      <c r="K44" s="29">
        <f t="shared" si="0"/>
        <v>3.5358450763598281E-2</v>
      </c>
      <c r="L44" s="31">
        <v>3.4709999999999998E-2</v>
      </c>
    </row>
    <row r="45" spans="7:12" x14ac:dyDescent="0.35">
      <c r="G45" s="7">
        <v>23</v>
      </c>
      <c r="H45" s="24">
        <v>3.1480000000000001E-2</v>
      </c>
      <c r="I45" s="29">
        <f t="shared" si="1"/>
        <v>3.0994664102223322E-2</v>
      </c>
      <c r="J45" s="29">
        <f t="shared" si="2"/>
        <v>3.2061118770834951E-2</v>
      </c>
      <c r="K45" s="29">
        <f t="shared" si="0"/>
        <v>3.5455351838850568E-2</v>
      </c>
      <c r="L45" s="31">
        <v>3.4660000000000003E-2</v>
      </c>
    </row>
    <row r="46" spans="7:12" x14ac:dyDescent="0.35">
      <c r="G46" s="2">
        <v>24</v>
      </c>
      <c r="H46" s="25">
        <v>3.1530000000000002E-2</v>
      </c>
      <c r="I46" s="29">
        <f t="shared" si="1"/>
        <v>3.1043136964700863E-2</v>
      </c>
      <c r="J46" s="29">
        <f t="shared" si="2"/>
        <v>3.2158012801684399E-2</v>
      </c>
      <c r="K46" s="29">
        <f t="shared" si="0"/>
        <v>3.5552245869700017E-2</v>
      </c>
      <c r="L46" s="31">
        <v>3.4599999999999999E-2</v>
      </c>
    </row>
    <row r="47" spans="7:12" x14ac:dyDescent="0.35">
      <c r="G47" s="2">
        <v>25</v>
      </c>
      <c r="H47" s="25">
        <v>3.1570000000000001E-2</v>
      </c>
      <c r="I47" s="29">
        <f t="shared" si="1"/>
        <v>3.1081913563028672E-2</v>
      </c>
      <c r="J47" s="29">
        <f t="shared" si="2"/>
        <v>3.2012551922896093E-2</v>
      </c>
      <c r="K47" s="29">
        <f t="shared" si="0"/>
        <v>3.540678499091171E-2</v>
      </c>
      <c r="L47" s="31">
        <v>3.4549999999999997E-2</v>
      </c>
    </row>
    <row r="48" spans="7:12" x14ac:dyDescent="0.35">
      <c r="G48" s="7">
        <v>26</v>
      </c>
      <c r="H48" s="24">
        <v>3.1609999999999999E-2</v>
      </c>
      <c r="I48" s="29">
        <f t="shared" si="1"/>
        <v>3.112068865778999E-2</v>
      </c>
      <c r="J48" s="29">
        <f t="shared" si="2"/>
        <v>3.209006602682285E-2</v>
      </c>
      <c r="K48" s="29">
        <f t="shared" si="0"/>
        <v>3.5484299094838467E-2</v>
      </c>
      <c r="L48" s="31">
        <v>3.4509999999999999E-2</v>
      </c>
    </row>
    <row r="49" spans="7:12" x14ac:dyDescent="0.35">
      <c r="G49" s="7">
        <v>27</v>
      </c>
      <c r="H49" s="24">
        <v>3.1649999999999998E-2</v>
      </c>
      <c r="I49" s="29">
        <f t="shared" si="1"/>
        <v>3.1159462249101849E-2</v>
      </c>
      <c r="J49" s="29">
        <f t="shared" si="2"/>
        <v>3.2167575623210265E-2</v>
      </c>
      <c r="K49" s="29">
        <f t="shared" si="0"/>
        <v>3.5561808691225882E-2</v>
      </c>
      <c r="L49" s="31">
        <v>3.4459999999999998E-2</v>
      </c>
    </row>
    <row r="50" spans="7:12" x14ac:dyDescent="0.35">
      <c r="G50" s="7">
        <v>28</v>
      </c>
      <c r="H50" s="24">
        <v>3.1690000000000003E-2</v>
      </c>
      <c r="I50" s="29">
        <f t="shared" si="1"/>
        <v>3.1198234337080612E-2</v>
      </c>
      <c r="J50" s="29">
        <f t="shared" si="2"/>
        <v>3.2245080712507201E-2</v>
      </c>
      <c r="K50" s="29">
        <f t="shared" si="0"/>
        <v>3.5639313780522819E-2</v>
      </c>
      <c r="L50" s="31">
        <v>3.4419999999999999E-2</v>
      </c>
    </row>
    <row r="51" spans="7:12" x14ac:dyDescent="0.35">
      <c r="G51" s="2">
        <v>29</v>
      </c>
      <c r="H51" s="25">
        <v>3.1730000000000001E-2</v>
      </c>
      <c r="I51" s="29">
        <f t="shared" si="1"/>
        <v>3.1237004921842851E-2</v>
      </c>
      <c r="J51" s="29">
        <f t="shared" si="2"/>
        <v>3.2322581295185504E-2</v>
      </c>
      <c r="K51" s="29">
        <f t="shared" si="0"/>
        <v>3.5716814363201121E-2</v>
      </c>
      <c r="L51" s="31">
        <v>3.4380000000000001E-2</v>
      </c>
    </row>
    <row r="52" spans="7:12" x14ac:dyDescent="0.35">
      <c r="G52" s="2">
        <v>30</v>
      </c>
      <c r="H52" s="25">
        <v>3.1759999999999997E-2</v>
      </c>
      <c r="I52" s="29">
        <f t="shared" si="1"/>
        <v>3.1266081873998749E-2</v>
      </c>
      <c r="J52" s="29">
        <f t="shared" si="2"/>
        <v>3.2109313486519797E-2</v>
      </c>
      <c r="K52" s="29">
        <f t="shared" si="0"/>
        <v>3.5503546554535415E-2</v>
      </c>
      <c r="L52" s="31">
        <v>3.4340000000000002E-2</v>
      </c>
    </row>
    <row r="53" spans="7:12" x14ac:dyDescent="0.35">
      <c r="G53" s="7">
        <v>31</v>
      </c>
      <c r="H53" s="24">
        <v>3.1800000000000002E-2</v>
      </c>
      <c r="I53" s="29">
        <f t="shared" si="1"/>
        <v>3.1304849828412529E-2</v>
      </c>
      <c r="J53" s="29">
        <f t="shared" si="2"/>
        <v>3.2467888460825933E-2</v>
      </c>
      <c r="K53" s="29">
        <f t="shared" si="0"/>
        <v>3.5862121528841551E-2</v>
      </c>
      <c r="L53" s="31">
        <v>3.4299999999999997E-2</v>
      </c>
    </row>
    <row r="54" spans="7:12" x14ac:dyDescent="0.35">
      <c r="G54" s="7">
        <v>32</v>
      </c>
      <c r="H54" s="24">
        <v>3.1829999999999997E-2</v>
      </c>
      <c r="I54" s="29">
        <f t="shared" si="1"/>
        <v>3.1333924807940922E-2</v>
      </c>
      <c r="J54" s="29">
        <f t="shared" si="2"/>
        <v>3.2235249173321101E-2</v>
      </c>
      <c r="K54" s="29">
        <f t="shared" si="0"/>
        <v>3.5629482241336718E-2</v>
      </c>
      <c r="L54" s="31">
        <v>3.4259999999999999E-2</v>
      </c>
    </row>
    <row r="55" spans="7:12" x14ac:dyDescent="0.35">
      <c r="G55" s="7">
        <v>33</v>
      </c>
      <c r="H55" s="24">
        <v>3.1859999999999999E-2</v>
      </c>
      <c r="I55" s="29">
        <f t="shared" si="1"/>
        <v>3.136299894213946E-2</v>
      </c>
      <c r="J55" s="29">
        <f t="shared" si="2"/>
        <v>3.2293371236492785E-2</v>
      </c>
      <c r="K55" s="29">
        <f t="shared" ref="K55:K86" si="3">J55+LN(1+V.TOTAL_VA)</f>
        <v>3.5687604304508402E-2</v>
      </c>
      <c r="L55" s="31">
        <v>3.4229999999999997E-2</v>
      </c>
    </row>
    <row r="56" spans="7:12" x14ac:dyDescent="0.35">
      <c r="G56" s="2">
        <v>34</v>
      </c>
      <c r="H56" s="25">
        <v>3.1890000000000002E-2</v>
      </c>
      <c r="I56" s="29">
        <f t="shared" si="1"/>
        <v>3.1392072231057291E-2</v>
      </c>
      <c r="J56" s="29">
        <f t="shared" si="2"/>
        <v>3.2351490765345714E-2</v>
      </c>
      <c r="K56" s="29">
        <f t="shared" si="3"/>
        <v>3.5745723833361331E-2</v>
      </c>
      <c r="L56" s="31">
        <v>3.4200000000000001E-2</v>
      </c>
    </row>
    <row r="57" spans="7:12" x14ac:dyDescent="0.35">
      <c r="G57" s="2">
        <v>35</v>
      </c>
      <c r="H57" s="25">
        <v>3.1919999999999997E-2</v>
      </c>
      <c r="I57" s="29">
        <f t="shared" si="1"/>
        <v>3.1421144674743565E-2</v>
      </c>
      <c r="J57" s="29">
        <f t="shared" si="2"/>
        <v>3.2409607760076842E-2</v>
      </c>
      <c r="K57" s="29">
        <f t="shared" si="3"/>
        <v>3.5803840828092459E-2</v>
      </c>
      <c r="L57" s="31">
        <v>3.4169999999999999E-2</v>
      </c>
    </row>
    <row r="58" spans="7:12" x14ac:dyDescent="0.35">
      <c r="G58" s="7">
        <v>36</v>
      </c>
      <c r="H58" s="24">
        <v>3.1949999999999999E-2</v>
      </c>
      <c r="I58" s="29">
        <f t="shared" si="1"/>
        <v>3.1450216273247435E-2</v>
      </c>
      <c r="J58" s="29">
        <f t="shared" si="2"/>
        <v>3.24677222208829E-2</v>
      </c>
      <c r="K58" s="29">
        <f t="shared" si="3"/>
        <v>3.5861955288898517E-2</v>
      </c>
      <c r="L58" s="31">
        <v>3.4139999999999997E-2</v>
      </c>
    </row>
    <row r="59" spans="7:12" x14ac:dyDescent="0.35">
      <c r="G59" s="7">
        <v>37</v>
      </c>
      <c r="H59" s="24">
        <v>3.1969999999999998E-2</v>
      </c>
      <c r="I59" s="29">
        <f t="shared" si="1"/>
        <v>3.1469596869395301E-2</v>
      </c>
      <c r="J59" s="29">
        <f t="shared" si="2"/>
        <v>3.2167298330718408E-2</v>
      </c>
      <c r="K59" s="29">
        <f t="shared" si="3"/>
        <v>3.5561531398734025E-2</v>
      </c>
      <c r="L59" s="31">
        <v>3.4110000000000001E-2</v>
      </c>
    </row>
    <row r="60" spans="7:12" x14ac:dyDescent="0.35">
      <c r="G60" s="7">
        <v>38</v>
      </c>
      <c r="H60" s="24">
        <v>3.2000000000000001E-2</v>
      </c>
      <c r="I60" s="29">
        <f t="shared" si="1"/>
        <v>3.1498667059371016E-2</v>
      </c>
      <c r="J60" s="29">
        <f t="shared" si="2"/>
        <v>3.2574264088472527E-2</v>
      </c>
      <c r="K60" s="29">
        <f t="shared" si="3"/>
        <v>3.5968497156488144E-2</v>
      </c>
      <c r="L60" s="31">
        <v>3.4079999999999999E-2</v>
      </c>
    </row>
    <row r="61" spans="7:12" x14ac:dyDescent="0.35">
      <c r="G61" s="2">
        <v>39</v>
      </c>
      <c r="H61" s="25">
        <v>3.202E-2</v>
      </c>
      <c r="I61" s="29">
        <f t="shared" si="1"/>
        <v>3.15180467165454E-2</v>
      </c>
      <c r="J61" s="29">
        <f t="shared" si="2"/>
        <v>3.2254473689171892E-2</v>
      </c>
      <c r="K61" s="29">
        <f t="shared" si="3"/>
        <v>3.5648706757187509E-2</v>
      </c>
      <c r="L61" s="31">
        <v>3.4049999999999997E-2</v>
      </c>
    </row>
    <row r="62" spans="7:12" x14ac:dyDescent="0.35">
      <c r="G62" s="2">
        <v>40</v>
      </c>
      <c r="H62" s="25">
        <v>3.2039999999999999E-2</v>
      </c>
      <c r="I62" s="29">
        <f t="shared" si="1"/>
        <v>3.1537425998156163E-2</v>
      </c>
      <c r="J62" s="29">
        <f t="shared" si="2"/>
        <v>3.2293217980976063E-2</v>
      </c>
      <c r="K62" s="29">
        <f t="shared" si="3"/>
        <v>3.5687451048991681E-2</v>
      </c>
      <c r="L62" s="31">
        <v>3.4029999999999998E-2</v>
      </c>
    </row>
    <row r="63" spans="7:12" x14ac:dyDescent="0.35">
      <c r="G63" s="7">
        <v>41</v>
      </c>
      <c r="H63" s="24">
        <v>3.2059999999999998E-2</v>
      </c>
      <c r="I63" s="29">
        <f t="shared" si="1"/>
        <v>3.1556804904217438E-2</v>
      </c>
      <c r="J63" s="29">
        <f t="shared" si="2"/>
        <v>3.2331961146668364E-2</v>
      </c>
      <c r="K63" s="29">
        <f t="shared" si="3"/>
        <v>3.5726194214683982E-2</v>
      </c>
      <c r="L63" s="31">
        <v>3.4009999999999999E-2</v>
      </c>
    </row>
    <row r="64" spans="7:12" x14ac:dyDescent="0.35">
      <c r="G64" s="7">
        <v>42</v>
      </c>
      <c r="H64" s="24">
        <v>3.209E-2</v>
      </c>
      <c r="I64" s="29">
        <f t="shared" si="1"/>
        <v>3.1585872559186393E-2</v>
      </c>
      <c r="J64" s="29">
        <f t="shared" si="2"/>
        <v>3.2777646412913475E-2</v>
      </c>
      <c r="K64" s="29">
        <f t="shared" si="3"/>
        <v>3.6171879480929092E-2</v>
      </c>
      <c r="L64" s="31">
        <v>3.3980000000000003E-2</v>
      </c>
    </row>
    <row r="65" spans="7:12" x14ac:dyDescent="0.35">
      <c r="G65" s="7">
        <v>43</v>
      </c>
      <c r="H65" s="24">
        <v>3.211E-2</v>
      </c>
      <c r="I65" s="29">
        <f t="shared" si="1"/>
        <v>3.160525052643836E-2</v>
      </c>
      <c r="J65" s="29">
        <f t="shared" si="2"/>
        <v>3.2419125151021078E-2</v>
      </c>
      <c r="K65" s="29">
        <f t="shared" si="3"/>
        <v>3.5813358219036695E-2</v>
      </c>
      <c r="L65" s="31">
        <v>3.3959999999999997E-2</v>
      </c>
    </row>
    <row r="66" spans="7:12" x14ac:dyDescent="0.35">
      <c r="G66" s="2">
        <v>44</v>
      </c>
      <c r="H66" s="25">
        <v>3.2120000000000003E-2</v>
      </c>
      <c r="I66" s="29">
        <f t="shared" si="1"/>
        <v>3.1614939369251346E-2</v>
      </c>
      <c r="J66" s="29">
        <f t="shared" si="2"/>
        <v>3.2031559610209648E-2</v>
      </c>
      <c r="K66" s="29">
        <f t="shared" si="3"/>
        <v>3.5425792678225265E-2</v>
      </c>
      <c r="L66" s="31">
        <v>3.3939999999999998E-2</v>
      </c>
    </row>
    <row r="67" spans="7:12" x14ac:dyDescent="0.35">
      <c r="G67" s="2">
        <v>45</v>
      </c>
      <c r="H67" s="25">
        <v>3.2140000000000002E-2</v>
      </c>
      <c r="I67" s="29">
        <f t="shared" si="1"/>
        <v>3.1634316773261263E-2</v>
      </c>
      <c r="J67" s="29">
        <f t="shared" si="2"/>
        <v>3.2486922549697761E-2</v>
      </c>
      <c r="K67" s="29">
        <f t="shared" si="3"/>
        <v>3.5881155617713378E-2</v>
      </c>
      <c r="L67" s="31">
        <v>3.3919999999999999E-2</v>
      </c>
    </row>
    <row r="68" spans="7:12" x14ac:dyDescent="0.35">
      <c r="G68" s="7">
        <v>46</v>
      </c>
      <c r="H68" s="24">
        <v>3.2160000000000001E-2</v>
      </c>
      <c r="I68" s="29">
        <f t="shared" si="1"/>
        <v>3.1653693801794454E-2</v>
      </c>
      <c r="J68" s="29">
        <f t="shared" si="2"/>
        <v>3.2525660085787944E-2</v>
      </c>
      <c r="K68" s="29">
        <f t="shared" si="3"/>
        <v>3.5919893153803562E-2</v>
      </c>
      <c r="L68" s="31">
        <v>3.39E-2</v>
      </c>
    </row>
    <row r="69" spans="7:12" x14ac:dyDescent="0.35">
      <c r="G69" s="7">
        <v>47</v>
      </c>
      <c r="H69" s="24">
        <v>3.218E-2</v>
      </c>
      <c r="I69" s="29">
        <f t="shared" si="1"/>
        <v>3.1673070454865906E-2</v>
      </c>
      <c r="J69" s="29">
        <f t="shared" si="2"/>
        <v>3.2564396496152614E-2</v>
      </c>
      <c r="K69" s="29">
        <f t="shared" si="3"/>
        <v>3.5958629564168232E-2</v>
      </c>
      <c r="L69" s="31">
        <v>3.388E-2</v>
      </c>
    </row>
    <row r="70" spans="7:12" x14ac:dyDescent="0.35">
      <c r="G70" s="7">
        <v>48</v>
      </c>
      <c r="H70" s="24">
        <v>3.2190000000000003E-2</v>
      </c>
      <c r="I70" s="29">
        <f t="shared" si="1"/>
        <v>3.1682758640607725E-2</v>
      </c>
      <c r="J70" s="29">
        <f t="shared" si="2"/>
        <v>3.2138103370473292E-2</v>
      </c>
      <c r="K70" s="29">
        <f t="shared" si="3"/>
        <v>3.553233643848891E-2</v>
      </c>
      <c r="L70" s="31">
        <v>3.3860000000000001E-2</v>
      </c>
    </row>
    <row r="71" spans="7:12" x14ac:dyDescent="0.35">
      <c r="G71" s="2">
        <v>49</v>
      </c>
      <c r="H71" s="25">
        <v>3.2210000000000003E-2</v>
      </c>
      <c r="I71" s="29">
        <f t="shared" si="1"/>
        <v>3.1702134730513518E-2</v>
      </c>
      <c r="J71" s="29">
        <f t="shared" si="2"/>
        <v>3.2632187045991579E-2</v>
      </c>
      <c r="K71" s="29">
        <f t="shared" si="3"/>
        <v>3.6026420114007196E-2</v>
      </c>
      <c r="L71" s="31">
        <v>3.3849999999999998E-2</v>
      </c>
    </row>
    <row r="72" spans="7:12" x14ac:dyDescent="0.35">
      <c r="G72" s="2">
        <v>50</v>
      </c>
      <c r="H72" s="25">
        <v>3.2230000000000002E-2</v>
      </c>
      <c r="I72" s="29">
        <f t="shared" si="1"/>
        <v>3.1721510444993509E-2</v>
      </c>
      <c r="J72" s="29">
        <f t="shared" si="2"/>
        <v>3.2670920454513031E-2</v>
      </c>
      <c r="K72" s="29">
        <f t="shared" si="3"/>
        <v>3.6065153522528648E-2</v>
      </c>
      <c r="L72" s="31">
        <v>3.3829999999999999E-2</v>
      </c>
    </row>
    <row r="73" spans="7:12" x14ac:dyDescent="0.35">
      <c r="G73" s="7">
        <v>51</v>
      </c>
      <c r="H73" s="24">
        <v>3.2239999999999998E-2</v>
      </c>
      <c r="I73" s="29">
        <f t="shared" si="1"/>
        <v>3.1731198161453561E-2</v>
      </c>
      <c r="J73" s="29">
        <f t="shared" si="2"/>
        <v>3.2215583984456231E-2</v>
      </c>
      <c r="K73" s="29">
        <f t="shared" si="3"/>
        <v>3.5609817052471848E-2</v>
      </c>
      <c r="L73" s="31">
        <v>3.3820000000000003E-2</v>
      </c>
    </row>
    <row r="74" spans="7:12" x14ac:dyDescent="0.35">
      <c r="G74" s="7">
        <v>52</v>
      </c>
      <c r="H74" s="24">
        <v>3.2259999999999997E-2</v>
      </c>
      <c r="I74" s="29">
        <f t="shared" si="1"/>
        <v>3.1750573312822446E-2</v>
      </c>
      <c r="J74" s="29">
        <f t="shared" si="2"/>
        <v>3.2738706032635623E-2</v>
      </c>
      <c r="K74" s="29">
        <f t="shared" si="3"/>
        <v>3.613293910065124E-2</v>
      </c>
      <c r="L74" s="31">
        <v>3.3799999999999997E-2</v>
      </c>
    </row>
    <row r="75" spans="7:12" x14ac:dyDescent="0.35">
      <c r="G75" s="7">
        <v>53</v>
      </c>
      <c r="H75" s="24">
        <v>3.227E-2</v>
      </c>
      <c r="I75" s="29">
        <f t="shared" si="1"/>
        <v>3.1760260747735136E-2</v>
      </c>
      <c r="J75" s="29">
        <f t="shared" si="2"/>
        <v>3.2264007363195013E-2</v>
      </c>
      <c r="K75" s="29">
        <f t="shared" si="3"/>
        <v>3.565824043121063E-2</v>
      </c>
      <c r="L75" s="31">
        <v>3.3790000000000001E-2</v>
      </c>
    </row>
    <row r="76" spans="7:12" x14ac:dyDescent="0.35">
      <c r="G76" s="2">
        <v>54</v>
      </c>
      <c r="H76" s="25">
        <v>3.2280000000000003E-2</v>
      </c>
      <c r="I76" s="29">
        <f t="shared" si="1"/>
        <v>3.1769948088802333E-2</v>
      </c>
      <c r="J76" s="29">
        <f t="shared" si="2"/>
        <v>3.2283377165363669E-2</v>
      </c>
      <c r="K76" s="29">
        <f t="shared" si="3"/>
        <v>3.5677610233379287E-2</v>
      </c>
      <c r="L76" s="31">
        <v>3.3770000000000001E-2</v>
      </c>
    </row>
    <row r="77" spans="7:12" x14ac:dyDescent="0.35">
      <c r="G77" s="2">
        <v>55</v>
      </c>
      <c r="H77" s="25">
        <v>3.2289999999999999E-2</v>
      </c>
      <c r="I77" s="29">
        <f t="shared" si="1"/>
        <v>3.1779635336025652E-2</v>
      </c>
      <c r="J77" s="29">
        <f t="shared" si="2"/>
        <v>3.2302746686085015E-2</v>
      </c>
      <c r="K77" s="29">
        <f t="shared" si="3"/>
        <v>3.5696979754100633E-2</v>
      </c>
      <c r="L77" s="31">
        <v>3.3759999999999998E-2</v>
      </c>
    </row>
    <row r="78" spans="7:12" x14ac:dyDescent="0.35">
      <c r="G78" s="7">
        <v>56</v>
      </c>
      <c r="H78" s="24">
        <v>3.2309999999999998E-2</v>
      </c>
      <c r="I78" s="29">
        <f t="shared" si="1"/>
        <v>3.1799009548948987E-2</v>
      </c>
      <c r="J78" s="29">
        <f t="shared" si="2"/>
        <v>3.286459125973229E-2</v>
      </c>
      <c r="K78" s="29">
        <f t="shared" si="3"/>
        <v>3.6258824327747907E-2</v>
      </c>
      <c r="L78" s="31">
        <v>3.3739999999999999E-2</v>
      </c>
    </row>
    <row r="79" spans="7:12" x14ac:dyDescent="0.35">
      <c r="G79" s="7">
        <v>57</v>
      </c>
      <c r="H79" s="24">
        <v>3.2320000000000002E-2</v>
      </c>
      <c r="I79" s="29">
        <f t="shared" si="1"/>
        <v>3.1808696514652207E-2</v>
      </c>
      <c r="J79" s="29">
        <f t="shared" si="2"/>
        <v>3.2351166594032588E-2</v>
      </c>
      <c r="K79" s="29">
        <f t="shared" si="3"/>
        <v>3.5745399662048205E-2</v>
      </c>
      <c r="L79" s="31">
        <v>3.3730000000000003E-2</v>
      </c>
    </row>
    <row r="80" spans="7:12" x14ac:dyDescent="0.35">
      <c r="G80" s="7">
        <v>58</v>
      </c>
      <c r="H80" s="24">
        <v>3.2329999999999998E-2</v>
      </c>
      <c r="I80" s="29">
        <f t="shared" si="1"/>
        <v>3.1818383386519246E-2</v>
      </c>
      <c r="J80" s="29">
        <f t="shared" si="2"/>
        <v>3.237053508294041E-2</v>
      </c>
      <c r="K80" s="29">
        <f t="shared" si="3"/>
        <v>3.5764768150956028E-2</v>
      </c>
      <c r="L80" s="31">
        <v>3.372E-2</v>
      </c>
    </row>
    <row r="81" spans="7:12" x14ac:dyDescent="0.35">
      <c r="G81" s="2">
        <v>59</v>
      </c>
      <c r="H81" s="25">
        <v>3.2340000000000001E-2</v>
      </c>
      <c r="I81" s="29">
        <f t="shared" si="1"/>
        <v>3.1828070164551713E-2</v>
      </c>
      <c r="J81" s="29">
        <f t="shared" si="2"/>
        <v>3.2389903290434896E-2</v>
      </c>
      <c r="K81" s="29">
        <f t="shared" si="3"/>
        <v>3.5784136358450513E-2</v>
      </c>
      <c r="L81" s="31">
        <v>3.3709999999999997E-2</v>
      </c>
    </row>
    <row r="82" spans="7:12" x14ac:dyDescent="0.35">
      <c r="G82" s="2">
        <v>60</v>
      </c>
      <c r="H82" s="25">
        <v>3.2349999999999997E-2</v>
      </c>
      <c r="I82" s="29">
        <f t="shared" si="1"/>
        <v>3.1837756848751418E-2</v>
      </c>
      <c r="J82" s="29">
        <f t="shared" si="2"/>
        <v>3.240927121653403E-2</v>
      </c>
      <c r="K82" s="29">
        <f t="shared" si="3"/>
        <v>3.5803504284549648E-2</v>
      </c>
      <c r="L82" s="31">
        <v>3.3689999999999998E-2</v>
      </c>
    </row>
    <row r="83" spans="7:12" x14ac:dyDescent="0.35">
      <c r="G83" s="7">
        <v>61</v>
      </c>
      <c r="H83" s="24">
        <v>3.236E-2</v>
      </c>
      <c r="I83" s="29">
        <f t="shared" si="1"/>
        <v>3.1847443439119966E-2</v>
      </c>
      <c r="J83" s="29">
        <f t="shared" si="2"/>
        <v>3.2428638861232706E-2</v>
      </c>
      <c r="K83" s="29">
        <f t="shared" si="3"/>
        <v>3.5822871929248323E-2</v>
      </c>
      <c r="L83" s="31">
        <v>3.3680000000000002E-2</v>
      </c>
    </row>
    <row r="84" spans="7:12" x14ac:dyDescent="0.35">
      <c r="G84" s="7">
        <v>62</v>
      </c>
      <c r="H84" s="24">
        <v>3.2370000000000003E-2</v>
      </c>
      <c r="I84" s="29">
        <f t="shared" si="1"/>
        <v>3.1857129935659603E-2</v>
      </c>
      <c r="J84" s="29">
        <f t="shared" si="2"/>
        <v>3.2448006224577552E-2</v>
      </c>
      <c r="K84" s="29">
        <f t="shared" si="3"/>
        <v>3.584223929259317E-2</v>
      </c>
      <c r="L84" s="31">
        <v>3.3669999999999999E-2</v>
      </c>
    </row>
    <row r="85" spans="7:12" x14ac:dyDescent="0.35">
      <c r="G85" s="7">
        <v>63</v>
      </c>
      <c r="H85" s="24">
        <v>3.2379999999999999E-2</v>
      </c>
      <c r="I85" s="29">
        <f t="shared" si="1"/>
        <v>3.1866816338371934E-2</v>
      </c>
      <c r="J85" s="29">
        <f t="shared" si="2"/>
        <v>3.2467373306536373E-2</v>
      </c>
      <c r="K85" s="29">
        <f t="shared" si="3"/>
        <v>3.5861606374551991E-2</v>
      </c>
      <c r="L85" s="31">
        <v>3.3660000000000002E-2</v>
      </c>
    </row>
    <row r="86" spans="7:12" x14ac:dyDescent="0.35">
      <c r="G86" s="2">
        <v>64</v>
      </c>
      <c r="H86" s="25">
        <v>3.2390000000000002E-2</v>
      </c>
      <c r="I86" s="29">
        <f t="shared" si="1"/>
        <v>3.187650264725856E-2</v>
      </c>
      <c r="J86" s="29">
        <f t="shared" si="2"/>
        <v>3.2486740107116052E-2</v>
      </c>
      <c r="K86" s="29">
        <f t="shared" si="3"/>
        <v>3.588097317513167E-2</v>
      </c>
      <c r="L86" s="31">
        <v>3.3649999999999999E-2</v>
      </c>
    </row>
    <row r="87" spans="7:12" x14ac:dyDescent="0.35">
      <c r="G87" s="2">
        <v>65</v>
      </c>
      <c r="H87" s="25">
        <v>3.2399999999999998E-2</v>
      </c>
      <c r="I87" s="29">
        <f t="shared" si="1"/>
        <v>3.1886188862321731E-2</v>
      </c>
      <c r="J87" s="29">
        <f t="shared" si="2"/>
        <v>3.2506106626364772E-2</v>
      </c>
      <c r="K87" s="29">
        <f t="shared" ref="K87:K118" si="4">J87+LN(1+V.TOTAL_VA)</f>
        <v>3.590033969438039E-2</v>
      </c>
      <c r="L87" s="31">
        <v>3.3640000000000003E-2</v>
      </c>
    </row>
    <row r="88" spans="7:12" x14ac:dyDescent="0.35">
      <c r="G88" s="7">
        <v>66</v>
      </c>
      <c r="H88" s="24">
        <v>3.2410000000000001E-2</v>
      </c>
      <c r="I88" s="29">
        <f t="shared" ref="I88:I151" si="5">LN(1+H88)</f>
        <v>3.1895874983563055E-2</v>
      </c>
      <c r="J88" s="29">
        <f t="shared" si="2"/>
        <v>3.2525472864248783E-2</v>
      </c>
      <c r="K88" s="29">
        <f t="shared" si="4"/>
        <v>3.5919705932264401E-2</v>
      </c>
      <c r="L88" s="31">
        <v>3.363E-2</v>
      </c>
    </row>
    <row r="89" spans="7:12" x14ac:dyDescent="0.35">
      <c r="G89" s="7">
        <v>67</v>
      </c>
      <c r="H89" s="24">
        <v>3.2419999999999997E-2</v>
      </c>
      <c r="I89" s="29">
        <f t="shared" si="5"/>
        <v>3.1905561010984122E-2</v>
      </c>
      <c r="J89" s="29">
        <f t="shared" ref="J89:J152" si="6">G89*I89-G88*I88</f>
        <v>3.2544838820774746E-2</v>
      </c>
      <c r="K89" s="29">
        <f t="shared" si="4"/>
        <v>3.5939071888790364E-2</v>
      </c>
      <c r="L89" s="31">
        <v>3.3619999999999997E-2</v>
      </c>
    </row>
    <row r="90" spans="7:12" x14ac:dyDescent="0.35">
      <c r="G90" s="7">
        <v>68</v>
      </c>
      <c r="H90" s="24">
        <v>3.243E-2</v>
      </c>
      <c r="I90" s="29">
        <f t="shared" si="5"/>
        <v>3.1915246944587181E-2</v>
      </c>
      <c r="J90" s="29">
        <f t="shared" si="6"/>
        <v>3.2564204495991955E-2</v>
      </c>
      <c r="K90" s="29">
        <f t="shared" si="4"/>
        <v>3.5958437564007573E-2</v>
      </c>
      <c r="L90" s="31">
        <v>3.3610000000000001E-2</v>
      </c>
    </row>
    <row r="91" spans="7:12" x14ac:dyDescent="0.35">
      <c r="G91" s="2">
        <v>69</v>
      </c>
      <c r="H91" s="25">
        <v>3.2439999999999997E-2</v>
      </c>
      <c r="I91" s="29">
        <f t="shared" si="5"/>
        <v>3.1924932784373847E-2</v>
      </c>
      <c r="J91" s="29">
        <f t="shared" si="6"/>
        <v>3.2583569889867103E-2</v>
      </c>
      <c r="K91" s="29">
        <f t="shared" si="4"/>
        <v>3.5977802957882721E-2</v>
      </c>
      <c r="L91" s="31">
        <v>3.3599999999999998E-2</v>
      </c>
    </row>
    <row r="92" spans="7:12" x14ac:dyDescent="0.35">
      <c r="G92" s="2">
        <v>70</v>
      </c>
      <c r="H92" s="25">
        <v>3.2439999999999997E-2</v>
      </c>
      <c r="I92" s="29">
        <f t="shared" si="5"/>
        <v>3.1924932784373847E-2</v>
      </c>
      <c r="J92" s="29">
        <f t="shared" si="6"/>
        <v>3.1924932784374249E-2</v>
      </c>
      <c r="K92" s="29">
        <f t="shared" si="4"/>
        <v>3.5319165852389867E-2</v>
      </c>
      <c r="L92" s="31">
        <v>3.3599999999999998E-2</v>
      </c>
    </row>
    <row r="93" spans="7:12" x14ac:dyDescent="0.35">
      <c r="G93" s="7">
        <v>71</v>
      </c>
      <c r="H93" s="24">
        <v>3.245E-2</v>
      </c>
      <c r="I93" s="29">
        <f t="shared" si="5"/>
        <v>3.1934618530345925E-2</v>
      </c>
      <c r="J93" s="29">
        <f t="shared" si="6"/>
        <v>3.2612620748391219E-2</v>
      </c>
      <c r="K93" s="29">
        <f t="shared" si="4"/>
        <v>3.6006853816406836E-2</v>
      </c>
      <c r="L93" s="31">
        <v>3.3590000000000002E-2</v>
      </c>
    </row>
    <row r="94" spans="7:12" x14ac:dyDescent="0.35">
      <c r="G94" s="7">
        <v>72</v>
      </c>
      <c r="H94" s="24">
        <v>3.2460000000000003E-2</v>
      </c>
      <c r="I94" s="29">
        <f t="shared" si="5"/>
        <v>3.1944304182505025E-2</v>
      </c>
      <c r="J94" s="29">
        <f t="shared" si="6"/>
        <v>3.2631985485801263E-2</v>
      </c>
      <c r="K94" s="29">
        <f t="shared" si="4"/>
        <v>3.602621855381688E-2</v>
      </c>
      <c r="L94" s="31">
        <v>3.3579999999999999E-2</v>
      </c>
    </row>
    <row r="95" spans="7:12" x14ac:dyDescent="0.35">
      <c r="G95" s="7">
        <v>73</v>
      </c>
      <c r="H95" s="24">
        <v>3.2469999999999999E-2</v>
      </c>
      <c r="I95" s="29">
        <f t="shared" si="5"/>
        <v>3.1953989740853388E-2</v>
      </c>
      <c r="J95" s="29">
        <f t="shared" si="6"/>
        <v>3.2651349941935415E-2</v>
      </c>
      <c r="K95" s="29">
        <f t="shared" si="4"/>
        <v>3.6045583009951032E-2</v>
      </c>
      <c r="L95" s="31">
        <v>3.3570000000000003E-2</v>
      </c>
    </row>
    <row r="96" spans="7:12" x14ac:dyDescent="0.35">
      <c r="G96" s="2">
        <v>74</v>
      </c>
      <c r="H96" s="25">
        <v>3.2469999999999999E-2</v>
      </c>
      <c r="I96" s="29">
        <f t="shared" si="5"/>
        <v>3.1953989740853388E-2</v>
      </c>
      <c r="J96" s="29">
        <f t="shared" si="6"/>
        <v>3.1953989740853395E-2</v>
      </c>
      <c r="K96" s="29">
        <f t="shared" si="4"/>
        <v>3.5348222808869012E-2</v>
      </c>
      <c r="L96" s="31">
        <v>3.356E-2</v>
      </c>
    </row>
    <row r="97" spans="7:12" x14ac:dyDescent="0.35">
      <c r="G97" s="2">
        <v>75</v>
      </c>
      <c r="H97" s="25">
        <v>3.2480000000000002E-2</v>
      </c>
      <c r="I97" s="29">
        <f t="shared" si="5"/>
        <v>3.1963675205392623E-2</v>
      </c>
      <c r="J97" s="29">
        <f t="shared" si="6"/>
        <v>3.2680399581296093E-2</v>
      </c>
      <c r="K97" s="29">
        <f t="shared" si="4"/>
        <v>3.6074632649311711E-2</v>
      </c>
      <c r="L97" s="31">
        <v>3.356E-2</v>
      </c>
    </row>
    <row r="98" spans="7:12" x14ac:dyDescent="0.35">
      <c r="G98" s="7">
        <v>76</v>
      </c>
      <c r="H98" s="24">
        <v>3.2489999999999998E-2</v>
      </c>
      <c r="I98" s="29">
        <f t="shared" si="5"/>
        <v>3.1973360576124321E-2</v>
      </c>
      <c r="J98" s="29">
        <f t="shared" si="6"/>
        <v>3.2699763381001556E-2</v>
      </c>
      <c r="K98" s="29">
        <f t="shared" si="4"/>
        <v>3.6093996449017174E-2</v>
      </c>
      <c r="L98" s="31">
        <v>3.3550000000000003E-2</v>
      </c>
    </row>
    <row r="99" spans="7:12" x14ac:dyDescent="0.35">
      <c r="G99" s="7">
        <v>77</v>
      </c>
      <c r="H99" s="24">
        <v>3.2489999999999998E-2</v>
      </c>
      <c r="I99" s="29">
        <f t="shared" si="5"/>
        <v>3.1973360576124321E-2</v>
      </c>
      <c r="J99" s="29">
        <f t="shared" si="6"/>
        <v>3.1973360576124321E-2</v>
      </c>
      <c r="K99" s="29">
        <f t="shared" si="4"/>
        <v>3.5367593644139939E-2</v>
      </c>
      <c r="L99" s="31">
        <v>3.354E-2</v>
      </c>
    </row>
    <row r="100" spans="7:12" x14ac:dyDescent="0.35">
      <c r="G100" s="7">
        <v>78</v>
      </c>
      <c r="H100" s="24">
        <v>3.2500000000000001E-2</v>
      </c>
      <c r="I100" s="29">
        <f t="shared" si="5"/>
        <v>3.1983045853050743E-2</v>
      </c>
      <c r="J100" s="29">
        <f t="shared" si="6"/>
        <v>3.2728812176385347E-2</v>
      </c>
      <c r="K100" s="29">
        <f t="shared" si="4"/>
        <v>3.6123045244400964E-2</v>
      </c>
      <c r="L100" s="31">
        <v>3.354E-2</v>
      </c>
    </row>
    <row r="101" spans="7:12" x14ac:dyDescent="0.35">
      <c r="G101" s="2">
        <v>79</v>
      </c>
      <c r="H101" s="25">
        <v>3.2509999999999997E-2</v>
      </c>
      <c r="I101" s="29">
        <f t="shared" si="5"/>
        <v>3.1992731036173484E-2</v>
      </c>
      <c r="J101" s="29">
        <f t="shared" si="6"/>
        <v>3.2748175319747386E-2</v>
      </c>
      <c r="K101" s="29">
        <f t="shared" si="4"/>
        <v>3.6142408387763003E-2</v>
      </c>
      <c r="L101" s="31">
        <v>3.3529999999999997E-2</v>
      </c>
    </row>
    <row r="102" spans="7:12" x14ac:dyDescent="0.35">
      <c r="G102" s="2">
        <v>80</v>
      </c>
      <c r="H102" s="25">
        <v>3.2509999999999997E-2</v>
      </c>
      <c r="I102" s="29">
        <f t="shared" si="5"/>
        <v>3.1992731036173484E-2</v>
      </c>
      <c r="J102" s="29">
        <f t="shared" si="6"/>
        <v>3.1992731036173172E-2</v>
      </c>
      <c r="K102" s="29">
        <f t="shared" si="4"/>
        <v>3.5386964104188789E-2</v>
      </c>
      <c r="L102" s="31">
        <v>3.3520000000000001E-2</v>
      </c>
    </row>
    <row r="103" spans="7:12" x14ac:dyDescent="0.35">
      <c r="G103" s="7">
        <v>81</v>
      </c>
      <c r="H103" s="24">
        <v>3.252E-2</v>
      </c>
      <c r="I103" s="29">
        <f t="shared" si="5"/>
        <v>3.2002416125494357E-2</v>
      </c>
      <c r="J103" s="29">
        <f t="shared" si="6"/>
        <v>3.2777223271164058E-2</v>
      </c>
      <c r="K103" s="29">
        <f t="shared" si="4"/>
        <v>3.6171456339179675E-2</v>
      </c>
      <c r="L103" s="31">
        <v>3.3520000000000001E-2</v>
      </c>
    </row>
    <row r="104" spans="7:12" x14ac:dyDescent="0.35">
      <c r="G104" s="7">
        <v>82</v>
      </c>
      <c r="H104" s="24">
        <v>3.2530000000000003E-2</v>
      </c>
      <c r="I104" s="29">
        <f t="shared" si="5"/>
        <v>3.201210112101497E-2</v>
      </c>
      <c r="J104" s="29">
        <f t="shared" si="6"/>
        <v>3.2796585758184893E-2</v>
      </c>
      <c r="K104" s="29">
        <f t="shared" si="4"/>
        <v>3.619081882620051E-2</v>
      </c>
      <c r="L104" s="31">
        <v>3.3509999999999998E-2</v>
      </c>
    </row>
    <row r="105" spans="7:12" x14ac:dyDescent="0.35">
      <c r="G105" s="7">
        <v>83</v>
      </c>
      <c r="H105" s="24">
        <v>3.2530000000000003E-2</v>
      </c>
      <c r="I105" s="29">
        <f t="shared" si="5"/>
        <v>3.201210112101497E-2</v>
      </c>
      <c r="J105" s="29">
        <f t="shared" si="6"/>
        <v>3.2012101121015046E-2</v>
      </c>
      <c r="K105" s="29">
        <f t="shared" si="4"/>
        <v>3.5406334189030664E-2</v>
      </c>
      <c r="L105" s="31">
        <v>3.3500000000000002E-2</v>
      </c>
    </row>
    <row r="106" spans="7:12" x14ac:dyDescent="0.35">
      <c r="G106" s="2">
        <v>84</v>
      </c>
      <c r="H106" s="25">
        <v>3.2539999999999999E-2</v>
      </c>
      <c r="I106" s="29">
        <f t="shared" si="5"/>
        <v>3.2021786022737572E-2</v>
      </c>
      <c r="J106" s="29">
        <f t="shared" si="6"/>
        <v>3.2825632865713494E-2</v>
      </c>
      <c r="K106" s="29">
        <f t="shared" si="4"/>
        <v>3.6219865933729112E-2</v>
      </c>
      <c r="L106" s="31">
        <v>3.3500000000000002E-2</v>
      </c>
    </row>
    <row r="107" spans="7:12" x14ac:dyDescent="0.35">
      <c r="G107" s="2">
        <v>85</v>
      </c>
      <c r="H107" s="25">
        <v>3.2539999999999999E-2</v>
      </c>
      <c r="I107" s="29">
        <f t="shared" si="5"/>
        <v>3.2021786022737572E-2</v>
      </c>
      <c r="J107" s="29">
        <f t="shared" si="6"/>
        <v>3.202178602273742E-2</v>
      </c>
      <c r="K107" s="29">
        <f t="shared" si="4"/>
        <v>3.5416019090753037E-2</v>
      </c>
      <c r="L107" s="31">
        <v>3.3489999999999999E-2</v>
      </c>
    </row>
    <row r="108" spans="7:12" x14ac:dyDescent="0.35">
      <c r="G108" s="7">
        <v>86</v>
      </c>
      <c r="H108" s="24">
        <v>3.2550000000000003E-2</v>
      </c>
      <c r="I108" s="29">
        <f t="shared" si="5"/>
        <v>3.2031470830663759E-2</v>
      </c>
      <c r="J108" s="29">
        <f t="shared" si="6"/>
        <v>3.2854679504389583E-2</v>
      </c>
      <c r="K108" s="29">
        <f t="shared" si="4"/>
        <v>3.6248912572405201E-2</v>
      </c>
      <c r="L108" s="31">
        <v>3.3489999999999999E-2</v>
      </c>
    </row>
    <row r="109" spans="7:12" x14ac:dyDescent="0.35">
      <c r="G109" s="7">
        <v>87</v>
      </c>
      <c r="H109" s="24">
        <v>3.2550000000000003E-2</v>
      </c>
      <c r="I109" s="29">
        <f t="shared" si="5"/>
        <v>3.2031470830663759E-2</v>
      </c>
      <c r="J109" s="29">
        <f t="shared" si="6"/>
        <v>3.2031470830664155E-2</v>
      </c>
      <c r="K109" s="29">
        <f t="shared" si="4"/>
        <v>3.5425703898679772E-2</v>
      </c>
      <c r="L109" s="31">
        <v>3.3480000000000003E-2</v>
      </c>
    </row>
    <row r="110" spans="7:12" x14ac:dyDescent="0.35">
      <c r="G110" s="7">
        <v>88</v>
      </c>
      <c r="H110" s="24">
        <v>3.2559999999999999E-2</v>
      </c>
      <c r="I110" s="29">
        <f t="shared" si="5"/>
        <v>3.2041155544795127E-2</v>
      </c>
      <c r="J110" s="29">
        <f t="shared" si="6"/>
        <v>3.2883725674223818E-2</v>
      </c>
      <c r="K110" s="29">
        <f t="shared" si="4"/>
        <v>3.6277958742239436E-2</v>
      </c>
      <c r="L110" s="31">
        <v>3.347E-2</v>
      </c>
    </row>
    <row r="111" spans="7:12" x14ac:dyDescent="0.35">
      <c r="G111" s="2">
        <v>89</v>
      </c>
      <c r="H111" s="25">
        <v>3.2559999999999999E-2</v>
      </c>
      <c r="I111" s="29">
        <f t="shared" si="5"/>
        <v>3.2041155544795127E-2</v>
      </c>
      <c r="J111" s="29">
        <f t="shared" si="6"/>
        <v>3.2041155544795252E-2</v>
      </c>
      <c r="K111" s="29">
        <f t="shared" si="4"/>
        <v>3.543538861281087E-2</v>
      </c>
      <c r="L111" s="31">
        <v>3.347E-2</v>
      </c>
    </row>
    <row r="112" spans="7:12" x14ac:dyDescent="0.35">
      <c r="G112" s="2">
        <v>90</v>
      </c>
      <c r="H112" s="25">
        <v>3.2570000000000002E-2</v>
      </c>
      <c r="I112" s="29">
        <f t="shared" si="5"/>
        <v>3.2050840165133938E-2</v>
      </c>
      <c r="J112" s="29">
        <f t="shared" si="6"/>
        <v>3.2912771375288141E-2</v>
      </c>
      <c r="K112" s="29">
        <f t="shared" si="4"/>
        <v>3.6307004443303759E-2</v>
      </c>
      <c r="L112" s="31">
        <v>3.3459999999999997E-2</v>
      </c>
    </row>
    <row r="113" spans="7:12" x14ac:dyDescent="0.35">
      <c r="G113" s="7">
        <v>91</v>
      </c>
      <c r="H113" s="24">
        <v>3.2570000000000002E-2</v>
      </c>
      <c r="I113" s="29">
        <f t="shared" si="5"/>
        <v>3.2050840165133938E-2</v>
      </c>
      <c r="J113" s="29">
        <f t="shared" si="6"/>
        <v>3.205084016513382E-2</v>
      </c>
      <c r="K113" s="29">
        <f t="shared" si="4"/>
        <v>3.5445073233149438E-2</v>
      </c>
      <c r="L113" s="31">
        <v>3.3459999999999997E-2</v>
      </c>
    </row>
    <row r="114" spans="7:12" x14ac:dyDescent="0.35">
      <c r="G114" s="7">
        <v>92</v>
      </c>
      <c r="H114" s="24">
        <v>3.2579999999999998E-2</v>
      </c>
      <c r="I114" s="29">
        <f t="shared" si="5"/>
        <v>3.2060524691681788E-2</v>
      </c>
      <c r="J114" s="29">
        <f t="shared" si="6"/>
        <v>3.2941816607536367E-2</v>
      </c>
      <c r="K114" s="29">
        <f t="shared" si="4"/>
        <v>3.6336049675551985E-2</v>
      </c>
      <c r="L114" s="31">
        <v>3.3450000000000001E-2</v>
      </c>
    </row>
    <row r="115" spans="7:12" x14ac:dyDescent="0.35">
      <c r="G115" s="7">
        <v>93</v>
      </c>
      <c r="H115" s="24">
        <v>3.2579999999999998E-2</v>
      </c>
      <c r="I115" s="29">
        <f t="shared" si="5"/>
        <v>3.2060524691681788E-2</v>
      </c>
      <c r="J115" s="29">
        <f t="shared" si="6"/>
        <v>3.2060524691681636E-2</v>
      </c>
      <c r="K115" s="29">
        <f t="shared" si="4"/>
        <v>3.5454757759697253E-2</v>
      </c>
      <c r="L115" s="31">
        <v>3.3450000000000001E-2</v>
      </c>
    </row>
    <row r="116" spans="7:12" x14ac:dyDescent="0.35">
      <c r="G116" s="2">
        <v>94</v>
      </c>
      <c r="H116" s="25">
        <v>3.2590000000000001E-2</v>
      </c>
      <c r="I116" s="29">
        <f t="shared" si="5"/>
        <v>3.2070209124440273E-2</v>
      </c>
      <c r="J116" s="29">
        <f t="shared" si="6"/>
        <v>3.2970861370979154E-2</v>
      </c>
      <c r="K116" s="29">
        <f t="shared" si="4"/>
        <v>3.6365094438994772E-2</v>
      </c>
      <c r="L116" s="31">
        <v>3.3439999999999998E-2</v>
      </c>
    </row>
    <row r="117" spans="7:12" x14ac:dyDescent="0.35">
      <c r="G117" s="2">
        <v>95</v>
      </c>
      <c r="H117" s="25">
        <v>3.2590000000000001E-2</v>
      </c>
      <c r="I117" s="29">
        <f t="shared" si="5"/>
        <v>3.2070209124440273E-2</v>
      </c>
      <c r="J117" s="29">
        <f t="shared" si="6"/>
        <v>3.2070209124440474E-2</v>
      </c>
      <c r="K117" s="29">
        <f t="shared" si="4"/>
        <v>3.5464442192456092E-2</v>
      </c>
      <c r="L117" s="31">
        <v>3.3439999999999998E-2</v>
      </c>
    </row>
    <row r="118" spans="7:12" x14ac:dyDescent="0.35">
      <c r="G118" s="7">
        <v>96</v>
      </c>
      <c r="H118" s="24">
        <v>3.2590000000000001E-2</v>
      </c>
      <c r="I118" s="29">
        <f t="shared" si="5"/>
        <v>3.2070209124440273E-2</v>
      </c>
      <c r="J118" s="29">
        <f t="shared" si="6"/>
        <v>3.207020912444003E-2</v>
      </c>
      <c r="K118" s="29">
        <f t="shared" si="4"/>
        <v>3.5464442192455647E-2</v>
      </c>
      <c r="L118" s="31">
        <v>3.3430000000000001E-2</v>
      </c>
    </row>
    <row r="119" spans="7:12" x14ac:dyDescent="0.35">
      <c r="G119" s="7">
        <v>97</v>
      </c>
      <c r="H119" s="24">
        <v>3.2599999999999997E-2</v>
      </c>
      <c r="I119" s="29">
        <f t="shared" si="5"/>
        <v>3.2079893463411648E-2</v>
      </c>
      <c r="J119" s="29">
        <f t="shared" si="6"/>
        <v>3.3009590004663636E-2</v>
      </c>
      <c r="K119" s="29">
        <f t="shared" ref="K119:K150" si="7">J119+LN(1+V.TOTAL_VA)</f>
        <v>3.6403823072679253E-2</v>
      </c>
      <c r="L119" s="31">
        <v>3.3430000000000001E-2</v>
      </c>
    </row>
    <row r="120" spans="7:12" x14ac:dyDescent="0.35">
      <c r="G120" s="7">
        <v>98</v>
      </c>
      <c r="H120" s="24">
        <v>3.2599999999999997E-2</v>
      </c>
      <c r="I120" s="29">
        <f t="shared" si="5"/>
        <v>3.2079893463411648E-2</v>
      </c>
      <c r="J120" s="29">
        <f t="shared" si="6"/>
        <v>3.2079893463411668E-2</v>
      </c>
      <c r="K120" s="29">
        <f t="shared" si="7"/>
        <v>3.5474126531427286E-2</v>
      </c>
      <c r="L120" s="31">
        <v>3.3430000000000001E-2</v>
      </c>
    </row>
    <row r="121" spans="7:12" x14ac:dyDescent="0.35">
      <c r="G121" s="2">
        <v>99</v>
      </c>
      <c r="H121" s="25">
        <v>3.261E-2</v>
      </c>
      <c r="I121" s="29">
        <f t="shared" si="5"/>
        <v>3.2089577708597508E-2</v>
      </c>
      <c r="J121" s="29">
        <f t="shared" si="6"/>
        <v>3.3038633736811818E-2</v>
      </c>
      <c r="K121" s="29">
        <f t="shared" si="7"/>
        <v>3.6432866804827435E-2</v>
      </c>
      <c r="L121" s="31">
        <v>3.3419999999999998E-2</v>
      </c>
    </row>
    <row r="122" spans="7:12" x14ac:dyDescent="0.35">
      <c r="G122" s="2">
        <v>100</v>
      </c>
      <c r="H122" s="25">
        <v>3.261E-2</v>
      </c>
      <c r="I122" s="29">
        <f t="shared" si="5"/>
        <v>3.2089577708597508E-2</v>
      </c>
      <c r="J122" s="29">
        <f t="shared" si="6"/>
        <v>3.2089577708597883E-2</v>
      </c>
      <c r="K122" s="29">
        <f t="shared" si="7"/>
        <v>3.54838107766135E-2</v>
      </c>
      <c r="L122" s="31">
        <v>3.3419999999999998E-2</v>
      </c>
    </row>
    <row r="123" spans="7:12" x14ac:dyDescent="0.35">
      <c r="G123" s="7">
        <v>101</v>
      </c>
      <c r="H123" s="24">
        <v>3.261E-2</v>
      </c>
      <c r="I123" s="29">
        <f t="shared" si="5"/>
        <v>3.2089577708597508E-2</v>
      </c>
      <c r="J123" s="29">
        <f t="shared" si="6"/>
        <v>3.2089577708597439E-2</v>
      </c>
      <c r="K123" s="29">
        <f t="shared" si="7"/>
        <v>3.5483810776613056E-2</v>
      </c>
      <c r="L123" s="31">
        <v>3.3410000000000002E-2</v>
      </c>
    </row>
    <row r="124" spans="7:12" x14ac:dyDescent="0.35">
      <c r="G124" s="7">
        <v>102</v>
      </c>
      <c r="H124" s="24">
        <v>3.2620000000000003E-2</v>
      </c>
      <c r="I124" s="29">
        <f t="shared" si="5"/>
        <v>3.2099261859999666E-2</v>
      </c>
      <c r="J124" s="29">
        <f t="shared" si="6"/>
        <v>3.3077361151617524E-2</v>
      </c>
      <c r="K124" s="29">
        <f t="shared" si="7"/>
        <v>3.6471594219633141E-2</v>
      </c>
      <c r="L124" s="31">
        <v>3.3410000000000002E-2</v>
      </c>
    </row>
    <row r="125" spans="7:12" x14ac:dyDescent="0.35">
      <c r="G125" s="7">
        <v>103</v>
      </c>
      <c r="H125" s="24">
        <v>3.2620000000000003E-2</v>
      </c>
      <c r="I125" s="29">
        <f t="shared" si="5"/>
        <v>3.2099261859999666E-2</v>
      </c>
      <c r="J125" s="29">
        <f t="shared" si="6"/>
        <v>3.2099261859999562E-2</v>
      </c>
      <c r="K125" s="29">
        <f t="shared" si="7"/>
        <v>3.5493494928015179E-2</v>
      </c>
      <c r="L125" s="31">
        <v>3.3410000000000002E-2</v>
      </c>
    </row>
    <row r="126" spans="7:12" x14ac:dyDescent="0.35">
      <c r="G126" s="2">
        <v>104</v>
      </c>
      <c r="H126" s="25">
        <v>3.2629999999999999E-2</v>
      </c>
      <c r="I126" s="29">
        <f t="shared" si="5"/>
        <v>3.2108945917619737E-2</v>
      </c>
      <c r="J126" s="29">
        <f t="shared" si="6"/>
        <v>3.3106403852487087E-2</v>
      </c>
      <c r="K126" s="29">
        <f t="shared" si="7"/>
        <v>3.6500636920502705E-2</v>
      </c>
      <c r="L126" s="31">
        <v>3.3399999999999999E-2</v>
      </c>
    </row>
    <row r="127" spans="7:12" x14ac:dyDescent="0.35">
      <c r="G127" s="2">
        <v>105</v>
      </c>
      <c r="H127" s="25">
        <v>3.2629999999999999E-2</v>
      </c>
      <c r="I127" s="29">
        <f t="shared" si="5"/>
        <v>3.2108945917619737E-2</v>
      </c>
      <c r="J127" s="29">
        <f t="shared" si="6"/>
        <v>3.2108945917619813E-2</v>
      </c>
      <c r="K127" s="29">
        <f t="shared" si="7"/>
        <v>3.5503178985635431E-2</v>
      </c>
      <c r="L127" s="31">
        <v>3.3399999999999999E-2</v>
      </c>
    </row>
    <row r="128" spans="7:12" x14ac:dyDescent="0.35">
      <c r="G128" s="7">
        <v>106</v>
      </c>
      <c r="H128" s="24">
        <v>3.2629999999999999E-2</v>
      </c>
      <c r="I128" s="29">
        <f t="shared" si="5"/>
        <v>3.2108945917619737E-2</v>
      </c>
      <c r="J128" s="29">
        <f t="shared" si="6"/>
        <v>3.2108945917619813E-2</v>
      </c>
      <c r="K128" s="29">
        <f t="shared" si="7"/>
        <v>3.5503178985635431E-2</v>
      </c>
      <c r="L128" s="31">
        <v>3.3390000000000003E-2</v>
      </c>
    </row>
    <row r="129" spans="7:12" x14ac:dyDescent="0.35">
      <c r="G129" s="7">
        <v>107</v>
      </c>
      <c r="H129" s="24">
        <v>3.2640000000000002E-2</v>
      </c>
      <c r="I129" s="29">
        <f t="shared" si="5"/>
        <v>3.2118629881459949E-2</v>
      </c>
      <c r="J129" s="29">
        <f t="shared" si="6"/>
        <v>3.3145130048522375E-2</v>
      </c>
      <c r="K129" s="29">
        <f t="shared" si="7"/>
        <v>3.6539363116537993E-2</v>
      </c>
      <c r="L129" s="31">
        <v>3.3390000000000003E-2</v>
      </c>
    </row>
    <row r="130" spans="7:12" x14ac:dyDescent="0.35">
      <c r="G130" s="7">
        <v>108</v>
      </c>
      <c r="H130" s="24">
        <v>3.2640000000000002E-2</v>
      </c>
      <c r="I130" s="29">
        <f t="shared" si="5"/>
        <v>3.2118629881459949E-2</v>
      </c>
      <c r="J130" s="29">
        <f t="shared" si="6"/>
        <v>3.211862988145997E-2</v>
      </c>
      <c r="K130" s="29">
        <f t="shared" si="7"/>
        <v>3.5512862949475588E-2</v>
      </c>
      <c r="L130" s="31">
        <v>3.3390000000000003E-2</v>
      </c>
    </row>
    <row r="131" spans="7:12" x14ac:dyDescent="0.35">
      <c r="G131" s="2">
        <v>109</v>
      </c>
      <c r="H131" s="25">
        <v>3.2640000000000002E-2</v>
      </c>
      <c r="I131" s="29">
        <f t="shared" si="5"/>
        <v>3.2118629881459949E-2</v>
      </c>
      <c r="J131" s="29">
        <f t="shared" si="6"/>
        <v>3.211862988145997E-2</v>
      </c>
      <c r="K131" s="29">
        <f t="shared" si="7"/>
        <v>3.5512862949475588E-2</v>
      </c>
      <c r="L131" s="31">
        <v>3.338E-2</v>
      </c>
    </row>
    <row r="132" spans="7:12" x14ac:dyDescent="0.35">
      <c r="G132" s="2">
        <v>110</v>
      </c>
      <c r="H132" s="25">
        <v>3.2649999999999998E-2</v>
      </c>
      <c r="I132" s="29">
        <f t="shared" si="5"/>
        <v>3.2128313751521927E-2</v>
      </c>
      <c r="J132" s="29">
        <f t="shared" si="6"/>
        <v>3.31838555882773E-2</v>
      </c>
      <c r="K132" s="29">
        <f t="shared" si="7"/>
        <v>3.6578088656292918E-2</v>
      </c>
      <c r="L132" s="31">
        <v>3.338E-2</v>
      </c>
    </row>
    <row r="133" spans="7:12" x14ac:dyDescent="0.35">
      <c r="G133" s="7">
        <v>111</v>
      </c>
      <c r="H133" s="24">
        <v>3.2649999999999998E-2</v>
      </c>
      <c r="I133" s="29">
        <f t="shared" si="5"/>
        <v>3.2128313751521927E-2</v>
      </c>
      <c r="J133" s="29">
        <f t="shared" si="6"/>
        <v>3.2128313751521809E-2</v>
      </c>
      <c r="K133" s="29">
        <f t="shared" si="7"/>
        <v>3.5522546819537426E-2</v>
      </c>
      <c r="L133" s="31">
        <v>3.338E-2</v>
      </c>
    </row>
    <row r="134" spans="7:12" x14ac:dyDescent="0.35">
      <c r="G134" s="7">
        <v>112</v>
      </c>
      <c r="H134" s="24">
        <v>3.2649999999999998E-2</v>
      </c>
      <c r="I134" s="29">
        <f t="shared" si="5"/>
        <v>3.2128313751521927E-2</v>
      </c>
      <c r="J134" s="29">
        <f t="shared" si="6"/>
        <v>3.2128313751522253E-2</v>
      </c>
      <c r="K134" s="29">
        <f t="shared" si="7"/>
        <v>3.552254681953787E-2</v>
      </c>
      <c r="L134" s="31">
        <v>3.3369999999999997E-2</v>
      </c>
    </row>
    <row r="135" spans="7:12" x14ac:dyDescent="0.35">
      <c r="G135" s="7">
        <v>113</v>
      </c>
      <c r="H135" s="24">
        <v>3.2660000000000002E-2</v>
      </c>
      <c r="I135" s="29">
        <f t="shared" si="5"/>
        <v>3.2137997527807251E-2</v>
      </c>
      <c r="J135" s="29">
        <f t="shared" si="6"/>
        <v>3.3222580471763408E-2</v>
      </c>
      <c r="K135" s="29">
        <f t="shared" si="7"/>
        <v>3.6616813539779025E-2</v>
      </c>
      <c r="L135" s="31">
        <v>3.3369999999999997E-2</v>
      </c>
    </row>
    <row r="136" spans="7:12" x14ac:dyDescent="0.35">
      <c r="G136" s="2">
        <v>114</v>
      </c>
      <c r="H136" s="25">
        <v>3.2660000000000002E-2</v>
      </c>
      <c r="I136" s="29">
        <f t="shared" si="5"/>
        <v>3.2137997527807251E-2</v>
      </c>
      <c r="J136" s="29">
        <f t="shared" si="6"/>
        <v>3.2137997527807105E-2</v>
      </c>
      <c r="K136" s="29">
        <f t="shared" si="7"/>
        <v>3.5532230595822722E-2</v>
      </c>
      <c r="L136" s="31">
        <v>3.3369999999999997E-2</v>
      </c>
    </row>
    <row r="137" spans="7:12" x14ac:dyDescent="0.35">
      <c r="G137" s="2">
        <v>115</v>
      </c>
      <c r="H137" s="25">
        <v>3.2660000000000002E-2</v>
      </c>
      <c r="I137" s="29">
        <f t="shared" si="5"/>
        <v>3.2137997527807251E-2</v>
      </c>
      <c r="J137" s="29">
        <f t="shared" si="6"/>
        <v>3.2137997527807549E-2</v>
      </c>
      <c r="K137" s="29">
        <f t="shared" si="7"/>
        <v>3.5532230595823167E-2</v>
      </c>
      <c r="L137" s="31">
        <v>3.3360000000000001E-2</v>
      </c>
    </row>
    <row r="138" spans="7:12" x14ac:dyDescent="0.35">
      <c r="G138" s="7">
        <v>116</v>
      </c>
      <c r="H138" s="24">
        <v>3.2660000000000002E-2</v>
      </c>
      <c r="I138" s="29">
        <f t="shared" si="5"/>
        <v>3.2137997527807251E-2</v>
      </c>
      <c r="J138" s="29">
        <f t="shared" si="6"/>
        <v>3.2137997527807105E-2</v>
      </c>
      <c r="K138" s="29">
        <f t="shared" si="7"/>
        <v>3.5532230595822722E-2</v>
      </c>
      <c r="L138" s="31">
        <v>3.3360000000000001E-2</v>
      </c>
    </row>
    <row r="139" spans="7:12" x14ac:dyDescent="0.35">
      <c r="G139" s="7">
        <v>117</v>
      </c>
      <c r="H139" s="24">
        <v>3.2669999999999998E-2</v>
      </c>
      <c r="I139" s="29">
        <f t="shared" si="5"/>
        <v>3.214768121031817E-2</v>
      </c>
      <c r="J139" s="29">
        <f t="shared" si="6"/>
        <v>3.3270988381584932E-2</v>
      </c>
      <c r="K139" s="29">
        <f t="shared" si="7"/>
        <v>3.6665221449600549E-2</v>
      </c>
      <c r="L139" s="31">
        <v>3.3360000000000001E-2</v>
      </c>
    </row>
    <row r="140" spans="7:12" x14ac:dyDescent="0.35">
      <c r="G140" s="7">
        <v>118</v>
      </c>
      <c r="H140" s="24">
        <v>3.2669999999999998E-2</v>
      </c>
      <c r="I140" s="29">
        <f t="shared" si="5"/>
        <v>3.214768121031817E-2</v>
      </c>
      <c r="J140" s="29">
        <f t="shared" si="6"/>
        <v>3.214768121031808E-2</v>
      </c>
      <c r="K140" s="29">
        <f t="shared" si="7"/>
        <v>3.5541914278333697E-2</v>
      </c>
      <c r="L140" s="31">
        <v>3.3349999999999998E-2</v>
      </c>
    </row>
    <row r="141" spans="7:12" x14ac:dyDescent="0.35">
      <c r="G141" s="2">
        <v>119</v>
      </c>
      <c r="H141" s="25">
        <v>3.2669999999999998E-2</v>
      </c>
      <c r="I141" s="29">
        <f t="shared" si="5"/>
        <v>3.214768121031817E-2</v>
      </c>
      <c r="J141" s="29">
        <f t="shared" si="6"/>
        <v>3.214768121031808E-2</v>
      </c>
      <c r="K141" s="29">
        <f t="shared" si="7"/>
        <v>3.5541914278333697E-2</v>
      </c>
      <c r="L141" s="31">
        <v>3.3349999999999998E-2</v>
      </c>
    </row>
    <row r="142" spans="7:12" x14ac:dyDescent="0.35">
      <c r="G142" s="2">
        <v>120</v>
      </c>
      <c r="H142" s="25">
        <v>3.2680000000000001E-2</v>
      </c>
      <c r="I142" s="29">
        <f t="shared" si="5"/>
        <v>3.2157364799056294E-2</v>
      </c>
      <c r="J142" s="29">
        <f t="shared" si="6"/>
        <v>3.3309711858893198E-2</v>
      </c>
      <c r="K142" s="29">
        <f t="shared" si="7"/>
        <v>3.6703944926908816E-2</v>
      </c>
      <c r="L142" s="31">
        <v>3.3349999999999998E-2</v>
      </c>
    </row>
    <row r="143" spans="7:12" x14ac:dyDescent="0.35">
      <c r="G143" s="7">
        <v>121</v>
      </c>
      <c r="H143" s="24">
        <v>3.2680000000000001E-2</v>
      </c>
      <c r="I143" s="29">
        <f t="shared" si="5"/>
        <v>3.2157364799056294E-2</v>
      </c>
      <c r="J143" s="29">
        <f t="shared" si="6"/>
        <v>3.2157364799056065E-2</v>
      </c>
      <c r="K143" s="29">
        <f t="shared" si="7"/>
        <v>3.5551597867071683E-2</v>
      </c>
      <c r="L143" s="31">
        <v>3.3340000000000002E-2</v>
      </c>
    </row>
    <row r="144" spans="7:12" x14ac:dyDescent="0.35">
      <c r="G144" s="7">
        <v>122</v>
      </c>
      <c r="H144" s="24">
        <v>3.2680000000000001E-2</v>
      </c>
      <c r="I144" s="29">
        <f t="shared" si="5"/>
        <v>3.2157364799056294E-2</v>
      </c>
      <c r="J144" s="29">
        <f t="shared" si="6"/>
        <v>3.2157364799056509E-2</v>
      </c>
      <c r="K144" s="29">
        <f t="shared" si="7"/>
        <v>3.5551597867072127E-2</v>
      </c>
      <c r="L144" s="31">
        <v>3.3340000000000002E-2</v>
      </c>
    </row>
    <row r="145" spans="7:12" x14ac:dyDescent="0.35">
      <c r="G145" s="7">
        <v>123</v>
      </c>
      <c r="H145" s="24">
        <v>3.2680000000000001E-2</v>
      </c>
      <c r="I145" s="29">
        <f t="shared" si="5"/>
        <v>3.2157364799056294E-2</v>
      </c>
      <c r="J145" s="29">
        <f t="shared" si="6"/>
        <v>3.2157364799056065E-2</v>
      </c>
      <c r="K145" s="29">
        <f t="shared" si="7"/>
        <v>3.5551597867071683E-2</v>
      </c>
      <c r="L145" s="31">
        <v>3.3340000000000002E-2</v>
      </c>
    </row>
    <row r="146" spans="7:12" x14ac:dyDescent="0.35">
      <c r="G146" s="2">
        <v>124</v>
      </c>
      <c r="H146" s="25">
        <v>3.2689999999999997E-2</v>
      </c>
      <c r="I146" s="29">
        <f t="shared" si="5"/>
        <v>3.2167048294023441E-2</v>
      </c>
      <c r="J146" s="29">
        <f t="shared" si="6"/>
        <v>3.3358118174982909E-2</v>
      </c>
      <c r="K146" s="29">
        <f t="shared" si="7"/>
        <v>3.6752351242998527E-2</v>
      </c>
      <c r="L146" s="31">
        <v>3.3340000000000002E-2</v>
      </c>
    </row>
    <row r="147" spans="7:12" x14ac:dyDescent="0.35">
      <c r="G147" s="2">
        <v>125</v>
      </c>
      <c r="H147" s="25">
        <v>3.2689999999999997E-2</v>
      </c>
      <c r="I147" s="29">
        <f t="shared" si="5"/>
        <v>3.2167048294023441E-2</v>
      </c>
      <c r="J147" s="29">
        <f t="shared" si="6"/>
        <v>3.2167048294022837E-2</v>
      </c>
      <c r="K147" s="29">
        <f t="shared" si="7"/>
        <v>3.5561281362038455E-2</v>
      </c>
      <c r="L147" s="31">
        <v>3.3329999999999999E-2</v>
      </c>
    </row>
    <row r="148" spans="7:12" x14ac:dyDescent="0.35">
      <c r="G148" s="7">
        <v>126</v>
      </c>
      <c r="H148" s="24">
        <v>3.2689999999999997E-2</v>
      </c>
      <c r="I148" s="29">
        <f t="shared" si="5"/>
        <v>3.2167048294023441E-2</v>
      </c>
      <c r="J148" s="29">
        <f t="shared" si="6"/>
        <v>3.216704829402417E-2</v>
      </c>
      <c r="K148" s="29">
        <f t="shared" si="7"/>
        <v>3.5561281362039787E-2</v>
      </c>
      <c r="L148" s="31">
        <v>3.3329999999999999E-2</v>
      </c>
    </row>
    <row r="149" spans="7:12" x14ac:dyDescent="0.35">
      <c r="G149" s="7">
        <v>127</v>
      </c>
      <c r="H149" s="24">
        <v>3.2689999999999997E-2</v>
      </c>
      <c r="I149" s="29">
        <f t="shared" si="5"/>
        <v>3.2167048294023441E-2</v>
      </c>
      <c r="J149" s="29">
        <f t="shared" si="6"/>
        <v>3.2167048294023282E-2</v>
      </c>
      <c r="K149" s="29">
        <f t="shared" si="7"/>
        <v>3.5561281362038899E-2</v>
      </c>
      <c r="L149" s="31">
        <v>3.3329999999999999E-2</v>
      </c>
    </row>
    <row r="150" spans="7:12" x14ac:dyDescent="0.35">
      <c r="G150" s="7">
        <v>128</v>
      </c>
      <c r="H150" s="24">
        <v>3.27E-2</v>
      </c>
      <c r="I150" s="29">
        <f t="shared" si="5"/>
        <v>3.21767316952212E-2</v>
      </c>
      <c r="J150" s="29">
        <f t="shared" si="6"/>
        <v>3.3406523647336428E-2</v>
      </c>
      <c r="K150" s="29">
        <f t="shared" si="7"/>
        <v>3.6800756715352045E-2</v>
      </c>
      <c r="L150" s="31">
        <v>3.3329999999999999E-2</v>
      </c>
    </row>
    <row r="151" spans="7:12" x14ac:dyDescent="0.35">
      <c r="G151" s="2">
        <v>129</v>
      </c>
      <c r="H151" s="25">
        <v>3.27E-2</v>
      </c>
      <c r="I151" s="29">
        <f t="shared" si="5"/>
        <v>3.21767316952212E-2</v>
      </c>
      <c r="J151" s="29">
        <f t="shared" si="6"/>
        <v>3.2176731695221505E-2</v>
      </c>
      <c r="K151" s="29">
        <f t="shared" ref="K151:K172" si="8">J151+LN(1+V.TOTAL_VA)</f>
        <v>3.5570964763237123E-2</v>
      </c>
      <c r="L151" s="31">
        <v>3.3320000000000002E-2</v>
      </c>
    </row>
    <row r="152" spans="7:12" x14ac:dyDescent="0.35">
      <c r="G152" s="2">
        <v>130</v>
      </c>
      <c r="H152" s="25">
        <v>3.27E-2</v>
      </c>
      <c r="I152" s="29">
        <f t="shared" ref="I152:I172" si="9">LN(1+H152)</f>
        <v>3.21767316952212E-2</v>
      </c>
      <c r="J152" s="29">
        <f t="shared" si="6"/>
        <v>3.2176731695220617E-2</v>
      </c>
      <c r="K152" s="29">
        <f t="shared" si="8"/>
        <v>3.5570964763236235E-2</v>
      </c>
      <c r="L152" s="31">
        <v>3.3320000000000002E-2</v>
      </c>
    </row>
    <row r="153" spans="7:12" x14ac:dyDescent="0.35">
      <c r="G153" s="7">
        <v>131</v>
      </c>
      <c r="H153" s="24">
        <v>3.27E-2</v>
      </c>
      <c r="I153" s="29">
        <f t="shared" si="9"/>
        <v>3.21767316952212E-2</v>
      </c>
      <c r="J153" s="29">
        <f t="shared" ref="J153:J172" si="10">G153*I153-G152*I152</f>
        <v>3.2176731695221505E-2</v>
      </c>
      <c r="K153" s="29">
        <f t="shared" si="8"/>
        <v>3.5570964763237123E-2</v>
      </c>
      <c r="L153" s="31">
        <v>3.3320000000000002E-2</v>
      </c>
    </row>
    <row r="154" spans="7:12" x14ac:dyDescent="0.35">
      <c r="G154" s="7">
        <v>132</v>
      </c>
      <c r="H154" s="24">
        <v>3.2710000000000003E-2</v>
      </c>
      <c r="I154" s="29">
        <f t="shared" si="9"/>
        <v>3.2186415002651826E-2</v>
      </c>
      <c r="J154" s="29">
        <f t="shared" si="10"/>
        <v>3.3454928276063889E-2</v>
      </c>
      <c r="K154" s="29">
        <f t="shared" si="8"/>
        <v>3.6849161344079506E-2</v>
      </c>
      <c r="L154" s="31">
        <v>3.3320000000000002E-2</v>
      </c>
    </row>
    <row r="155" spans="7:12" x14ac:dyDescent="0.35">
      <c r="G155" s="7">
        <v>133</v>
      </c>
      <c r="H155" s="24">
        <v>3.2710000000000003E-2</v>
      </c>
      <c r="I155" s="29">
        <f t="shared" si="9"/>
        <v>3.2186415002651826E-2</v>
      </c>
      <c r="J155" s="29">
        <f t="shared" si="10"/>
        <v>3.2186415002652069E-2</v>
      </c>
      <c r="K155" s="29">
        <f t="shared" si="8"/>
        <v>3.5580648070667686E-2</v>
      </c>
      <c r="L155" s="31">
        <v>3.3309999999999999E-2</v>
      </c>
    </row>
    <row r="156" spans="7:12" x14ac:dyDescent="0.35">
      <c r="G156" s="2">
        <v>134</v>
      </c>
      <c r="H156" s="25">
        <v>3.2710000000000003E-2</v>
      </c>
      <c r="I156" s="29">
        <f t="shared" si="9"/>
        <v>3.2186415002651826E-2</v>
      </c>
      <c r="J156" s="29">
        <f t="shared" si="10"/>
        <v>3.2186415002651181E-2</v>
      </c>
      <c r="K156" s="29">
        <f t="shared" si="8"/>
        <v>3.5580648070666798E-2</v>
      </c>
      <c r="L156" s="31">
        <v>3.3309999999999999E-2</v>
      </c>
    </row>
    <row r="157" spans="7:12" x14ac:dyDescent="0.35">
      <c r="G157" s="2">
        <v>135</v>
      </c>
      <c r="H157" s="25">
        <v>3.2710000000000003E-2</v>
      </c>
      <c r="I157" s="29">
        <f t="shared" si="9"/>
        <v>3.2186415002651826E-2</v>
      </c>
      <c r="J157" s="29">
        <f t="shared" si="10"/>
        <v>3.2186415002652069E-2</v>
      </c>
      <c r="K157" s="29">
        <f t="shared" si="8"/>
        <v>3.5580648070667686E-2</v>
      </c>
      <c r="L157" s="31">
        <v>3.3309999999999999E-2</v>
      </c>
    </row>
    <row r="158" spans="7:12" x14ac:dyDescent="0.35">
      <c r="G158" s="7">
        <v>136</v>
      </c>
      <c r="H158" s="24">
        <v>3.2710000000000003E-2</v>
      </c>
      <c r="I158" s="29">
        <f t="shared" si="9"/>
        <v>3.2186415002651826E-2</v>
      </c>
      <c r="J158" s="29">
        <f t="shared" si="10"/>
        <v>3.2186415002652069E-2</v>
      </c>
      <c r="K158" s="29">
        <f t="shared" si="8"/>
        <v>3.5580648070667686E-2</v>
      </c>
      <c r="L158" s="31">
        <v>3.3309999999999999E-2</v>
      </c>
    </row>
    <row r="159" spans="7:12" x14ac:dyDescent="0.35">
      <c r="G159" s="7">
        <v>137</v>
      </c>
      <c r="H159" s="24">
        <v>3.2719999999999999E-2</v>
      </c>
      <c r="I159" s="29">
        <f t="shared" si="9"/>
        <v>3.2196098216316915E-2</v>
      </c>
      <c r="J159" s="29">
        <f t="shared" si="10"/>
        <v>3.3513015274769131E-2</v>
      </c>
      <c r="K159" s="29">
        <f t="shared" si="8"/>
        <v>3.6907248342784749E-2</v>
      </c>
      <c r="L159" s="31">
        <v>3.3300000000000003E-2</v>
      </c>
    </row>
    <row r="160" spans="7:12" x14ac:dyDescent="0.35">
      <c r="G160" s="7">
        <v>138</v>
      </c>
      <c r="H160" s="24">
        <v>3.2719999999999999E-2</v>
      </c>
      <c r="I160" s="29">
        <f t="shared" si="9"/>
        <v>3.2196098216316915E-2</v>
      </c>
      <c r="J160" s="29">
        <f t="shared" si="10"/>
        <v>3.2196098216316749E-2</v>
      </c>
      <c r="K160" s="29">
        <f t="shared" si="8"/>
        <v>3.5590331284332366E-2</v>
      </c>
      <c r="L160" s="31">
        <v>3.3300000000000003E-2</v>
      </c>
    </row>
    <row r="161" spans="7:12" x14ac:dyDescent="0.35">
      <c r="G161" s="2">
        <v>139</v>
      </c>
      <c r="H161" s="25">
        <v>3.2719999999999999E-2</v>
      </c>
      <c r="I161" s="29">
        <f t="shared" si="9"/>
        <v>3.2196098216316915E-2</v>
      </c>
      <c r="J161" s="29">
        <f t="shared" si="10"/>
        <v>3.2196098216316749E-2</v>
      </c>
      <c r="K161" s="29">
        <f t="shared" si="8"/>
        <v>3.5590331284332366E-2</v>
      </c>
      <c r="L161" s="31">
        <v>3.3300000000000003E-2</v>
      </c>
    </row>
    <row r="162" spans="7:12" x14ac:dyDescent="0.35">
      <c r="G162" s="2">
        <v>140</v>
      </c>
      <c r="H162" s="25">
        <v>3.2719999999999999E-2</v>
      </c>
      <c r="I162" s="29">
        <f t="shared" si="9"/>
        <v>3.2196098216316915E-2</v>
      </c>
      <c r="J162" s="29">
        <f t="shared" si="10"/>
        <v>3.2196098216316749E-2</v>
      </c>
      <c r="K162" s="29">
        <f t="shared" si="8"/>
        <v>3.5590331284332366E-2</v>
      </c>
      <c r="L162" s="31">
        <v>3.3300000000000003E-2</v>
      </c>
    </row>
    <row r="163" spans="7:12" x14ac:dyDescent="0.35">
      <c r="G163" s="7">
        <v>141</v>
      </c>
      <c r="H163" s="24">
        <v>3.2719999999999999E-2</v>
      </c>
      <c r="I163" s="29">
        <f t="shared" si="9"/>
        <v>3.2196098216316915E-2</v>
      </c>
      <c r="J163" s="29">
        <f t="shared" si="10"/>
        <v>3.2196098216316749E-2</v>
      </c>
      <c r="K163" s="29">
        <f t="shared" si="8"/>
        <v>3.5590331284332366E-2</v>
      </c>
      <c r="L163" s="31">
        <v>3.3300000000000003E-2</v>
      </c>
    </row>
    <row r="164" spans="7:12" x14ac:dyDescent="0.35">
      <c r="G164" s="7">
        <v>142</v>
      </c>
      <c r="H164" s="24">
        <v>3.2730000000000002E-2</v>
      </c>
      <c r="I164" s="29">
        <f t="shared" si="9"/>
        <v>3.220578133621807E-2</v>
      </c>
      <c r="J164" s="29">
        <f t="shared" si="10"/>
        <v>3.3571101242281465E-2</v>
      </c>
      <c r="K164" s="29">
        <f t="shared" si="8"/>
        <v>3.6965334310297082E-2</v>
      </c>
      <c r="L164" s="31">
        <v>3.329E-2</v>
      </c>
    </row>
    <row r="165" spans="7:12" x14ac:dyDescent="0.35">
      <c r="G165" s="7">
        <v>143</v>
      </c>
      <c r="H165" s="24">
        <v>3.2730000000000002E-2</v>
      </c>
      <c r="I165" s="29">
        <f t="shared" si="9"/>
        <v>3.220578133621807E-2</v>
      </c>
      <c r="J165" s="29">
        <f t="shared" si="10"/>
        <v>3.2205781336218209E-2</v>
      </c>
      <c r="K165" s="29">
        <f t="shared" si="8"/>
        <v>3.5600014404233826E-2</v>
      </c>
      <c r="L165" s="31">
        <v>3.329E-2</v>
      </c>
    </row>
    <row r="166" spans="7:12" x14ac:dyDescent="0.35">
      <c r="G166" s="2">
        <v>144</v>
      </c>
      <c r="H166" s="25">
        <v>3.2730000000000002E-2</v>
      </c>
      <c r="I166" s="29">
        <f t="shared" si="9"/>
        <v>3.220578133621807E-2</v>
      </c>
      <c r="J166" s="29">
        <f t="shared" si="10"/>
        <v>3.2205781336218209E-2</v>
      </c>
      <c r="K166" s="29">
        <f t="shared" si="8"/>
        <v>3.5600014404233826E-2</v>
      </c>
      <c r="L166" s="31">
        <v>3.329E-2</v>
      </c>
    </row>
    <row r="167" spans="7:12" x14ac:dyDescent="0.35">
      <c r="G167" s="2">
        <v>145</v>
      </c>
      <c r="H167" s="25">
        <v>3.2730000000000002E-2</v>
      </c>
      <c r="I167" s="29">
        <f t="shared" si="9"/>
        <v>3.220578133621807E-2</v>
      </c>
      <c r="J167" s="29">
        <f t="shared" si="10"/>
        <v>3.2205781336217321E-2</v>
      </c>
      <c r="K167" s="29">
        <f t="shared" si="8"/>
        <v>3.5600014404232938E-2</v>
      </c>
      <c r="L167" s="31">
        <v>3.329E-2</v>
      </c>
    </row>
    <row r="168" spans="7:12" x14ac:dyDescent="0.35">
      <c r="G168" s="7">
        <v>146</v>
      </c>
      <c r="H168" s="24">
        <v>3.2730000000000002E-2</v>
      </c>
      <c r="I168" s="29">
        <f t="shared" si="9"/>
        <v>3.220578133621807E-2</v>
      </c>
      <c r="J168" s="29">
        <f t="shared" si="10"/>
        <v>3.2205781336218209E-2</v>
      </c>
      <c r="K168" s="29">
        <f t="shared" si="8"/>
        <v>3.5600014404233826E-2</v>
      </c>
      <c r="L168" s="31">
        <v>3.329E-2</v>
      </c>
    </row>
    <row r="169" spans="7:12" x14ac:dyDescent="0.35">
      <c r="G169" s="7">
        <v>147</v>
      </c>
      <c r="H169" s="24">
        <v>3.2739999999999998E-2</v>
      </c>
      <c r="I169" s="29">
        <f t="shared" si="9"/>
        <v>3.2215464362357539E-2</v>
      </c>
      <c r="J169" s="29">
        <f t="shared" si="10"/>
        <v>3.3629186178719905E-2</v>
      </c>
      <c r="K169" s="29">
        <f t="shared" si="8"/>
        <v>3.7023419246735523E-2</v>
      </c>
      <c r="L169" s="31">
        <v>3.3279999999999997E-2</v>
      </c>
    </row>
    <row r="170" spans="7:12" x14ac:dyDescent="0.35">
      <c r="G170" s="7">
        <v>148</v>
      </c>
      <c r="H170" s="24">
        <v>3.2739999999999998E-2</v>
      </c>
      <c r="I170" s="29">
        <f t="shared" si="9"/>
        <v>3.2215464362357539E-2</v>
      </c>
      <c r="J170" s="29">
        <f t="shared" si="10"/>
        <v>3.2215464362358226E-2</v>
      </c>
      <c r="K170" s="29">
        <f t="shared" si="8"/>
        <v>3.5609697430373843E-2</v>
      </c>
      <c r="L170" s="31">
        <v>3.3279999999999997E-2</v>
      </c>
    </row>
    <row r="171" spans="7:12" x14ac:dyDescent="0.35">
      <c r="G171" s="2">
        <v>149</v>
      </c>
      <c r="H171" s="25">
        <v>3.2739999999999998E-2</v>
      </c>
      <c r="I171" s="29">
        <f t="shared" si="9"/>
        <v>3.2215464362357539E-2</v>
      </c>
      <c r="J171" s="29">
        <f t="shared" si="10"/>
        <v>3.2215464362357338E-2</v>
      </c>
      <c r="K171" s="29">
        <f t="shared" si="8"/>
        <v>3.5609697430372955E-2</v>
      </c>
      <c r="L171" s="31">
        <v>3.3279999999999997E-2</v>
      </c>
    </row>
    <row r="172" spans="7:12" x14ac:dyDescent="0.35">
      <c r="G172" s="2">
        <v>150</v>
      </c>
      <c r="H172" s="25">
        <v>3.2739999999999998E-2</v>
      </c>
      <c r="I172" s="29">
        <f t="shared" si="9"/>
        <v>3.2215464362357539E-2</v>
      </c>
      <c r="J172" s="29">
        <f t="shared" si="10"/>
        <v>3.2215464362357338E-2</v>
      </c>
      <c r="K172" s="29">
        <f t="shared" si="8"/>
        <v>3.5609697430372955E-2</v>
      </c>
      <c r="L172" s="32">
        <v>3.3279999999999997E-2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topLeftCell="E21"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2"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7"/>
      <c r="H8" s="63" t="s">
        <v>3</v>
      </c>
      <c r="I8" s="7"/>
      <c r="J8" s="7"/>
      <c r="K8" s="7"/>
      <c r="L8" s="7"/>
      <c r="M8" s="7"/>
      <c r="N8" s="7"/>
    </row>
    <row r="9" spans="1:18" x14ac:dyDescent="0.35">
      <c r="G9" s="7"/>
      <c r="H9" s="7"/>
      <c r="I9" s="7"/>
      <c r="J9" s="7"/>
      <c r="K9" s="7"/>
      <c r="L9" s="7"/>
      <c r="M9" s="7"/>
      <c r="N9" s="7"/>
    </row>
    <row r="10" spans="1:18" x14ac:dyDescent="0.35">
      <c r="G10" s="12" t="s">
        <v>4</v>
      </c>
      <c r="H10" s="68">
        <f>V.FSP</f>
        <v>20</v>
      </c>
      <c r="I10" s="7"/>
      <c r="J10" s="7"/>
      <c r="K10" s="7"/>
      <c r="L10" s="7"/>
    </row>
    <row r="11" spans="1:18" x14ac:dyDescent="0.35">
      <c r="G11" s="12" t="s">
        <v>5</v>
      </c>
      <c r="H11" s="80">
        <f>V.UFR + 0.0015</f>
        <v>3.4500000000000003E-2</v>
      </c>
      <c r="I11" s="7"/>
      <c r="J11" s="7"/>
      <c r="K11" s="7"/>
      <c r="L11" s="7"/>
    </row>
    <row r="12" spans="1:18" x14ac:dyDescent="0.35">
      <c r="G12" s="12" t="s">
        <v>42</v>
      </c>
      <c r="H12" s="79">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7" t="s">
        <v>106</v>
      </c>
      <c r="G17" s="57"/>
      <c r="H17" s="62"/>
      <c r="I17" s="62"/>
      <c r="J17" s="57"/>
      <c r="K17" s="62"/>
      <c r="L17" s="62"/>
      <c r="M17" s="62"/>
      <c r="N17" s="62"/>
      <c r="O17" s="62"/>
      <c r="P17" s="62"/>
      <c r="Q17" s="62"/>
      <c r="R17" s="62"/>
    </row>
    <row r="18" spans="6:18" x14ac:dyDescent="0.35">
      <c r="H18" s="7"/>
      <c r="I18" s="7"/>
      <c r="J18" s="10"/>
      <c r="K18" s="7"/>
      <c r="L18" s="7"/>
    </row>
    <row r="19" spans="6:18" ht="17.5" x14ac:dyDescent="0.45">
      <c r="H19" s="10"/>
      <c r="K19" s="12" t="s">
        <v>126</v>
      </c>
      <c r="L19" s="73" cm="1">
        <f t="array" ref="L19">GetLLFR(R.IRR_SHOCK_UP_CC,R.DLT,R.LLFR_WEIGHTS)</f>
        <v>4.0080833262401007E-2</v>
      </c>
      <c r="N19" s="16" t="s">
        <v>127</v>
      </c>
      <c r="O19" s="73" cm="1">
        <f t="array" ref="O19">_xlfn.LET(_xlpm.FIRST_LLFR_WEIGHT, INDEX(R.LLFR_WEIGHTS, V.FSP),
     V.LLFR_IRR_UP + _xlpm.FIRST_LLFR_WEIGHT * LN(1+$H$12))</f>
        <v>4.1200930174846162E-2</v>
      </c>
    </row>
    <row r="20" spans="6:18" x14ac:dyDescent="0.35">
      <c r="H20" s="7"/>
      <c r="I20" s="7"/>
      <c r="J20" s="10"/>
      <c r="K20" s="7"/>
      <c r="L20" s="7"/>
    </row>
    <row r="21" spans="6:18" ht="41.15" customHeight="1" x14ac:dyDescent="0.35">
      <c r="G21" s="36" t="s">
        <v>13</v>
      </c>
      <c r="H21" s="36" t="s">
        <v>128</v>
      </c>
      <c r="I21" s="36" t="s">
        <v>129</v>
      </c>
      <c r="J21" s="36" t="s">
        <v>107</v>
      </c>
      <c r="K21" s="36" t="s">
        <v>108</v>
      </c>
      <c r="L21" s="36" t="s">
        <v>109</v>
      </c>
      <c r="M21" s="36" t="s">
        <v>110</v>
      </c>
      <c r="N21" s="36" t="s">
        <v>111</v>
      </c>
      <c r="O21" s="11" t="s">
        <v>112</v>
      </c>
    </row>
    <row r="22" spans="6:18" x14ac:dyDescent="0.35">
      <c r="G22" s="7">
        <v>1</v>
      </c>
      <c r="H22" s="74" cm="1">
        <f t="array" ref="H22:H171">R.BASECURVE</f>
        <v>2.1760000000000002E-2</v>
      </c>
      <c r="I22" s="74" cm="1">
        <f t="array" ref="I22:I171">_xlfn.LET(_xlpm.LLP, MAX(_xlfn._xlws.FILTER(R.MATURITY,R.DLT=1)),
     BootstrapCurve(V.INSTRUMENT,_xlfn.ANCHORARRAY(H22),R.DLT,"A",V.CRA,V.COUPON_FREQ,_xlpm.LLP,"A", "Z"))</f>
        <v>2.0760000000000112E-2</v>
      </c>
      <c r="J22" s="74" cm="1">
        <f t="array" ref="J22">_xlfn.LET(_xlpm.m, G22,
     _xlpm.rfr, I22,
     _xlpm.sm_up, INDEX(R.IRR_SM_UP, _xlpm.m),
     _xlpm.bm_up, INDEX(R.IRR_BM_UP, _xlpm.m),
     _xlpm.rfr * (1 + _xlpm.sm_up) + _xlpm.bm_up)</f>
        <v>5.4823600000000181E-2</v>
      </c>
      <c r="K22" s="74">
        <f>LN(1+J22)</f>
        <v>5.3373549156448492E-2</v>
      </c>
      <c r="L22" s="75" cm="1">
        <f t="array" ref="L22:L171">ROUND(Extrapolation(R.IRR_SHOCK_UP_CC, "Z", V.FSP, V.UFR_UP, V.LLFR_IRR_UP, V.ALPHA, "A"), 5)</f>
        <v>5.4820000000000001E-2</v>
      </c>
      <c r="M22" s="74">
        <f>K22</f>
        <v>5.3373549156448492E-2</v>
      </c>
      <c r="N22" s="74">
        <f t="shared" ref="N22:N53" si="0">M22+LN(1+V.TOTAL_VA)</f>
        <v>5.676778222446411E-2</v>
      </c>
      <c r="O22" s="75" cm="1">
        <f t="array" ref="O22:O171">ROUND(Extrapolation(N22:N171, "F", V.FSP,V.UFR_UP,V.LLFR_STAR_IRR_UP,V.ALPHA,"A"), 5)</f>
        <v>5.8409999999999997E-2</v>
      </c>
    </row>
    <row r="23" spans="6:18" x14ac:dyDescent="0.35">
      <c r="G23" s="7">
        <v>2</v>
      </c>
      <c r="H23" s="74">
        <v>2.2620999999999999E-2</v>
      </c>
      <c r="I23" s="74">
        <v>2.162099999999989E-2</v>
      </c>
      <c r="J23" s="74" cm="1">
        <f t="array" ref="J23">_xlfn.LET(_xlpm.m, G23,
     _xlpm.rfr, I23,
     _xlpm.sm_up, INDEX(R.IRR_SM_UP, _xlpm.m),
     _xlpm.bm_up, INDEX(R.IRR_BM_UP, _xlpm.m),
     _xlpm.rfr * (1 + _xlpm.sm_up) + _xlpm.bm_up)</f>
        <v>5.1680129999999831E-2</v>
      </c>
      <c r="K23" s="74">
        <f t="shared" ref="K23:K86" si="1">LN(1+J23)</f>
        <v>5.0389009144866242E-2</v>
      </c>
      <c r="L23" s="76">
        <v>5.1679999999999997E-2</v>
      </c>
      <c r="M23" s="74">
        <f t="shared" ref="M23:M54" si="2">G23*K23-G22*K22</f>
        <v>4.7404469133283993E-2</v>
      </c>
      <c r="N23" s="74">
        <f t="shared" si="0"/>
        <v>5.079870220129961E-2</v>
      </c>
      <c r="O23" s="76">
        <v>5.5259999999999997E-2</v>
      </c>
    </row>
    <row r="24" spans="6:18" x14ac:dyDescent="0.35">
      <c r="G24" s="7">
        <v>3</v>
      </c>
      <c r="H24" s="74">
        <v>2.3795E-2</v>
      </c>
      <c r="I24" s="74">
        <v>2.2794999999999899E-2</v>
      </c>
      <c r="J24" s="74" cm="1">
        <f t="array" ref="J24">_xlfn.LET(_xlpm.m, G24,
     _xlpm.rfr, I24,
     _xlpm.sm_up, INDEX(R.IRR_SM_UP, _xlpm.m),
     _xlpm.bm_up, INDEX(R.IRR_BM_UP, _xlpm.m),
     _xlpm.rfr * (1 + _xlpm.sm_up) + _xlpm.bm_up)</f>
        <v>5.116454999999985E-2</v>
      </c>
      <c r="K24" s="74">
        <f t="shared" si="1"/>
        <v>4.989864481578863E-2</v>
      </c>
      <c r="L24" s="76">
        <v>5.1159999999999997E-2</v>
      </c>
      <c r="M24" s="74">
        <f t="shared" si="2"/>
        <v>4.8917916157633412E-2</v>
      </c>
      <c r="N24" s="74">
        <f t="shared" si="0"/>
        <v>5.2312149225649029E-2</v>
      </c>
      <c r="O24" s="76">
        <v>5.4739999999999997E-2</v>
      </c>
    </row>
    <row r="25" spans="6:18" x14ac:dyDescent="0.35">
      <c r="G25" s="2">
        <v>4</v>
      </c>
      <c r="H25" s="74">
        <v>2.4799999999999999E-2</v>
      </c>
      <c r="I25" s="74">
        <v>2.3800000000000043E-2</v>
      </c>
      <c r="J25" s="74" cm="1">
        <f t="array" ref="J25">_xlfn.LET(_xlpm.m, G25,
     _xlpm.rfr, I25,
     _xlpm.sm_up, INDEX(R.IRR_SM_UP, _xlpm.m),
     _xlpm.bm_up, INDEX(R.IRR_BM_UP, _xlpm.m),
     _xlpm.rfr * (1 + _xlpm.sm_up) + _xlpm.bm_up)</f>
        <v>5.084800000000006E-2</v>
      </c>
      <c r="K25" s="74">
        <f t="shared" si="1"/>
        <v>4.9597457268271174E-2</v>
      </c>
      <c r="L25" s="76">
        <v>5.0849999999999999E-2</v>
      </c>
      <c r="M25" s="74">
        <f t="shared" si="2"/>
        <v>4.8693894625718798E-2</v>
      </c>
      <c r="N25" s="74">
        <f t="shared" si="0"/>
        <v>5.2088127693734415E-2</v>
      </c>
      <c r="O25" s="76">
        <v>5.4420000000000003E-2</v>
      </c>
    </row>
    <row r="26" spans="6:18" x14ac:dyDescent="0.35">
      <c r="G26" s="2">
        <v>5</v>
      </c>
      <c r="H26" s="74">
        <v>2.5690000000000001E-2</v>
      </c>
      <c r="I26" s="74">
        <v>2.4690000000000101E-2</v>
      </c>
      <c r="J26" s="74" cm="1">
        <f t="array" ref="J26">_xlfn.LET(_xlpm.m, G26,
     _xlpm.rfr, I26,
     _xlpm.sm_up, INDEX(R.IRR_SM_UP, _xlpm.m),
     _xlpm.bm_up, INDEX(R.IRR_BM_UP, _xlpm.m),
     _xlpm.rfr * (1 + _xlpm.sm_up) + _xlpm.bm_up)</f>
        <v>5.1600500000000146E-2</v>
      </c>
      <c r="K26" s="74">
        <f t="shared" si="1"/>
        <v>5.0313289339432847E-2</v>
      </c>
      <c r="L26" s="76">
        <v>5.16E-2</v>
      </c>
      <c r="M26" s="74">
        <f t="shared" si="2"/>
        <v>5.317661762407952E-2</v>
      </c>
      <c r="N26" s="74">
        <f t="shared" si="0"/>
        <v>5.6570850692095137E-2</v>
      </c>
      <c r="O26" s="76">
        <v>5.518E-2</v>
      </c>
    </row>
    <row r="27" spans="6:18" x14ac:dyDescent="0.35">
      <c r="G27" s="7">
        <v>6</v>
      </c>
      <c r="H27" s="74">
        <v>2.6509999999999999E-2</v>
      </c>
      <c r="I27" s="74">
        <v>2.5509999999999922E-2</v>
      </c>
      <c r="J27" s="74" cm="1">
        <f t="array" ref="J27">_xlfn.LET(_xlpm.m, G27,
     _xlpm.rfr, I27,
     _xlpm.sm_up, INDEX(R.IRR_SM_UP, _xlpm.m),
     _xlpm.bm_up, INDEX(R.IRR_BM_UP, _xlpm.m),
     _xlpm.rfr * (1 + _xlpm.sm_up) + _xlpm.bm_up)</f>
        <v>5.0369099999999889E-2</v>
      </c>
      <c r="K27" s="74">
        <f t="shared" si="1"/>
        <v>4.9141626208936758E-2</v>
      </c>
      <c r="L27" s="76">
        <v>5.0369999999999998E-2</v>
      </c>
      <c r="M27" s="74">
        <f t="shared" si="2"/>
        <v>4.3283310556456345E-2</v>
      </c>
      <c r="N27" s="74">
        <f t="shared" si="0"/>
        <v>4.6677543624471962E-2</v>
      </c>
      <c r="O27" s="76">
        <v>5.3940000000000002E-2</v>
      </c>
    </row>
    <row r="28" spans="6:18" x14ac:dyDescent="0.35">
      <c r="G28" s="7">
        <v>7</v>
      </c>
      <c r="H28" s="74">
        <v>2.7320000000000001E-2</v>
      </c>
      <c r="I28" s="74">
        <v>2.6319999999999899E-2</v>
      </c>
      <c r="J28" s="74" cm="1">
        <f t="array" ref="J28">_xlfn.LET(_xlpm.m, G28,
     _xlpm.rfr, I28,
     _xlpm.sm_up, INDEX(R.IRR_SM_UP, _xlpm.m),
     _xlpm.bm_up, INDEX(R.IRR_BM_UP, _xlpm.m),
     _xlpm.rfr * (1 + _xlpm.sm_up) + _xlpm.bm_up)</f>
        <v>4.9058399999999863E-2</v>
      </c>
      <c r="K28" s="74">
        <f t="shared" si="1"/>
        <v>4.7892999933164662E-2</v>
      </c>
      <c r="L28" s="76">
        <v>4.9059999999999999E-2</v>
      </c>
      <c r="M28" s="74">
        <f t="shared" si="2"/>
        <v>4.040124227853209E-2</v>
      </c>
      <c r="N28" s="74">
        <f t="shared" si="0"/>
        <v>4.3795475346547708E-2</v>
      </c>
      <c r="O28" s="76">
        <v>5.2630000000000003E-2</v>
      </c>
    </row>
    <row r="29" spans="6:18" x14ac:dyDescent="0.35">
      <c r="G29" s="7">
        <v>8</v>
      </c>
      <c r="H29" s="74">
        <v>2.8000000000000001E-2</v>
      </c>
      <c r="I29" s="74">
        <v>2.6999999999999913E-2</v>
      </c>
      <c r="J29" s="74" cm="1">
        <f t="array" ref="J29">_xlfn.LET(_xlpm.m, G29,
     _xlpm.rfr, I29,
     _xlpm.sm_up, INDEX(R.IRR_SM_UP, _xlpm.m),
     _xlpm.bm_up, INDEX(R.IRR_BM_UP, _xlpm.m),
     _xlpm.rfr * (1 + _xlpm.sm_up) + _xlpm.bm_up)</f>
        <v>4.8079999999999887E-2</v>
      </c>
      <c r="K29" s="74">
        <f t="shared" si="1"/>
        <v>4.6959918863278063E-2</v>
      </c>
      <c r="L29" s="76">
        <v>4.8079999999999998E-2</v>
      </c>
      <c r="M29" s="74">
        <f t="shared" si="2"/>
        <v>4.0428351374071858E-2</v>
      </c>
      <c r="N29" s="74">
        <f t="shared" si="0"/>
        <v>4.3822584442087475E-2</v>
      </c>
      <c r="O29" s="76">
        <v>5.1639999999999998E-2</v>
      </c>
    </row>
    <row r="30" spans="6:18" x14ac:dyDescent="0.35">
      <c r="G30" s="2">
        <v>9</v>
      </c>
      <c r="H30" s="74">
        <v>2.8631E-2</v>
      </c>
      <c r="I30" s="74">
        <v>2.7630999999999961E-2</v>
      </c>
      <c r="J30" s="74" cm="1">
        <f t="array" ref="J30">_xlfn.LET(_xlpm.m, G30,
     _xlpm.rfr, I30,
     _xlpm.sm_up, INDEX(R.IRR_SM_UP, _xlpm.m),
     _xlpm.bm_up, INDEX(R.IRR_BM_UP, _xlpm.m),
     _xlpm.rfr * (1 + _xlpm.sm_up) + _xlpm.bm_up)</f>
        <v>4.7672919999999952E-2</v>
      </c>
      <c r="K30" s="74">
        <f t="shared" si="1"/>
        <v>4.657143794910653E-2</v>
      </c>
      <c r="L30" s="76">
        <v>4.7669999999999997E-2</v>
      </c>
      <c r="M30" s="74">
        <f t="shared" si="2"/>
        <v>4.3463590635734239E-2</v>
      </c>
      <c r="N30" s="74">
        <f t="shared" si="0"/>
        <v>4.6857823703749857E-2</v>
      </c>
      <c r="O30" s="76">
        <v>5.1240000000000001E-2</v>
      </c>
    </row>
    <row r="31" spans="6:18" x14ac:dyDescent="0.35">
      <c r="G31" s="2">
        <v>10</v>
      </c>
      <c r="H31" s="74">
        <v>2.9270000000000001E-2</v>
      </c>
      <c r="I31" s="74">
        <v>2.8270000000000017E-2</v>
      </c>
      <c r="J31" s="74" cm="1">
        <f t="array" ref="J31">_xlfn.LET(_xlpm.m, G31,
     _xlpm.rfr, I31,
     _xlpm.sm_up, INDEX(R.IRR_SM_UP, _xlpm.m),
     _xlpm.bm_up, INDEX(R.IRR_BM_UP, _xlpm.m),
     _xlpm.rfr * (1 + _xlpm.sm_up) + _xlpm.bm_up)</f>
        <v>4.7251000000000029E-2</v>
      </c>
      <c r="K31" s="74">
        <f t="shared" si="1"/>
        <v>4.6168635726384612E-2</v>
      </c>
      <c r="L31" s="76">
        <v>4.725E-2</v>
      </c>
      <c r="M31" s="74">
        <f t="shared" si="2"/>
        <v>4.2543415721887357E-2</v>
      </c>
      <c r="N31" s="74">
        <f t="shared" si="0"/>
        <v>4.5937648789902974E-2</v>
      </c>
      <c r="O31" s="76">
        <v>5.0810000000000001E-2</v>
      </c>
    </row>
    <row r="32" spans="6:18" x14ac:dyDescent="0.35">
      <c r="G32" s="7">
        <v>11</v>
      </c>
      <c r="H32" s="74">
        <v>2.9790000000000001E-2</v>
      </c>
      <c r="I32" s="74">
        <v>2.8790000000000093E-2</v>
      </c>
      <c r="J32" s="74" cm="1">
        <f t="array" ref="J32">_xlfn.LET(_xlpm.m, G32,
     _xlpm.rfr, I32,
     _xlpm.sm_up, INDEX(R.IRR_SM_UP, _xlpm.m),
     _xlpm.bm_up, INDEX(R.IRR_BM_UP, _xlpm.m),
     _xlpm.rfr * (1 + _xlpm.sm_up) + _xlpm.bm_up)</f>
        <v>4.7927000000000122E-2</v>
      </c>
      <c r="K32" s="74">
        <f t="shared" si="1"/>
        <v>4.681392698417499E-2</v>
      </c>
      <c r="L32" s="76">
        <v>4.793E-2</v>
      </c>
      <c r="M32" s="74">
        <f t="shared" si="2"/>
        <v>5.3266839562078783E-2</v>
      </c>
      <c r="N32" s="74">
        <f t="shared" si="0"/>
        <v>5.66610726300944E-2</v>
      </c>
      <c r="O32" s="76">
        <v>5.1490000000000001E-2</v>
      </c>
    </row>
    <row r="33" spans="7:15" x14ac:dyDescent="0.35">
      <c r="G33" s="7">
        <v>12</v>
      </c>
      <c r="H33" s="74">
        <v>3.0269999999999998E-2</v>
      </c>
      <c r="I33" s="74">
        <v>2.9269999999999907E-2</v>
      </c>
      <c r="J33" s="74" cm="1">
        <f t="array" ref="J33">_xlfn.LET(_xlpm.m, G33,
     _xlpm.rfr, I33,
     _xlpm.sm_up, INDEX(R.IRR_SM_UP, _xlpm.m),
     _xlpm.bm_up, INDEX(R.IRR_BM_UP, _xlpm.m),
     _xlpm.rfr * (1 + _xlpm.sm_up) + _xlpm.bm_up)</f>
        <v>4.8550999999999886E-2</v>
      </c>
      <c r="K33" s="74">
        <f t="shared" si="1"/>
        <v>4.7409211092500111E-2</v>
      </c>
      <c r="L33" s="76">
        <v>4.8550000000000003E-2</v>
      </c>
      <c r="M33" s="74">
        <f t="shared" si="2"/>
        <v>5.3957336284076396E-2</v>
      </c>
      <c r="N33" s="74">
        <f t="shared" si="0"/>
        <v>5.7351569352092013E-2</v>
      </c>
      <c r="O33" s="76">
        <v>5.212E-2</v>
      </c>
    </row>
    <row r="34" spans="7:15" x14ac:dyDescent="0.35">
      <c r="G34" s="7">
        <v>13</v>
      </c>
      <c r="H34" s="74">
        <v>3.0779000000000001E-2</v>
      </c>
      <c r="I34" s="74">
        <v>2.9779E-2</v>
      </c>
      <c r="J34" s="74" cm="1">
        <f t="array" ref="J34">_xlfn.LET(_xlpm.m, G34,
     _xlpm.rfr, I34,
     _xlpm.sm_up, INDEX(R.IRR_SM_UP, _xlpm.m),
     _xlpm.bm_up, INDEX(R.IRR_BM_UP, _xlpm.m),
     _xlpm.rfr * (1 + _xlpm.sm_up) + _xlpm.bm_up)</f>
        <v>4.9212700000000005E-2</v>
      </c>
      <c r="K34" s="74">
        <f t="shared" si="1"/>
        <v>4.8040073397864529E-2</v>
      </c>
      <c r="L34" s="76">
        <v>4.9209999999999997E-2</v>
      </c>
      <c r="M34" s="74">
        <f t="shared" si="2"/>
        <v>5.5610421062237569E-2</v>
      </c>
      <c r="N34" s="74">
        <f t="shared" si="0"/>
        <v>5.9004654130253187E-2</v>
      </c>
      <c r="O34" s="76">
        <v>5.2780000000000001E-2</v>
      </c>
    </row>
    <row r="35" spans="7:15" x14ac:dyDescent="0.35">
      <c r="G35" s="2">
        <v>14</v>
      </c>
      <c r="H35" s="74">
        <v>3.1123999999999999E-2</v>
      </c>
      <c r="I35" s="74">
        <v>3.0127698835053618E-2</v>
      </c>
      <c r="J35" s="74" cm="1">
        <f t="array" ref="J35">_xlfn.LET(_xlpm.m, G35,
     _xlpm.rfr, I35,
     _xlpm.sm_up, INDEX(R.IRR_SM_UP, _xlpm.m),
     _xlpm.bm_up, INDEX(R.IRR_BM_UP, _xlpm.m),
     _xlpm.rfr * (1 + _xlpm.sm_up) + _xlpm.bm_up)</f>
        <v>4.9064731497219169E-2</v>
      </c>
      <c r="K35" s="74">
        <f t="shared" si="1"/>
        <v>4.7899035324628941E-2</v>
      </c>
      <c r="L35" s="76">
        <v>4.9059999999999999E-2</v>
      </c>
      <c r="M35" s="74">
        <f t="shared" si="2"/>
        <v>4.6065540372566383E-2</v>
      </c>
      <c r="N35" s="74">
        <f t="shared" si="0"/>
        <v>4.9459773440582E-2</v>
      </c>
      <c r="O35" s="76">
        <v>5.2630000000000003E-2</v>
      </c>
    </row>
    <row r="36" spans="7:15" x14ac:dyDescent="0.35">
      <c r="G36" s="2">
        <v>15</v>
      </c>
      <c r="H36" s="74">
        <v>3.143E-2</v>
      </c>
      <c r="I36" s="74">
        <v>3.0429999999999957E-2</v>
      </c>
      <c r="J36" s="74" cm="1">
        <f t="array" ref="J36">_xlfn.LET(_xlpm.m, G36,
     _xlpm.rfr, I36,
     _xlpm.sm_up, INDEX(R.IRR_SM_UP, _xlpm.m),
     _xlpm.bm_up, INDEX(R.IRR_BM_UP, _xlpm.m),
     _xlpm.rfr * (1 + _xlpm.sm_up) + _xlpm.bm_up)</f>
        <v>4.8750399999999944E-2</v>
      </c>
      <c r="K36" s="74">
        <f t="shared" si="1"/>
        <v>4.7599360205642247E-2</v>
      </c>
      <c r="L36" s="76">
        <v>4.8750000000000002E-2</v>
      </c>
      <c r="M36" s="74">
        <f t="shared" si="2"/>
        <v>4.3403908539828451E-2</v>
      </c>
      <c r="N36" s="74">
        <f t="shared" si="0"/>
        <v>4.6798141607844068E-2</v>
      </c>
      <c r="O36" s="76">
        <v>5.2319999999999998E-2</v>
      </c>
    </row>
    <row r="37" spans="7:15" x14ac:dyDescent="0.35">
      <c r="G37" s="7">
        <v>16</v>
      </c>
      <c r="H37" s="74">
        <v>3.1741999999999999E-2</v>
      </c>
      <c r="I37" s="74">
        <v>3.0654926342562394E-2</v>
      </c>
      <c r="J37" s="74" cm="1">
        <f t="array" ref="J37">_xlfn.LET(_xlpm.m, G37,
     _xlpm.rfr, I37,
     _xlpm.sm_up, INDEX(R.IRR_SM_UP, _xlpm.m),
     _xlpm.bm_up, INDEX(R.IRR_BM_UP, _xlpm.m),
     _xlpm.rfr * (1 + _xlpm.sm_up) + _xlpm.bm_up)</f>
        <v>4.9038305718479863E-2</v>
      </c>
      <c r="K37" s="74">
        <f t="shared" si="1"/>
        <v>4.7873845161636827E-2</v>
      </c>
      <c r="L37" s="76">
        <v>4.904E-2</v>
      </c>
      <c r="M37" s="74">
        <f t="shared" si="2"/>
        <v>5.1991119501555549E-2</v>
      </c>
      <c r="N37" s="74">
        <f t="shared" si="0"/>
        <v>5.5385352569571167E-2</v>
      </c>
      <c r="O37" s="76">
        <v>5.2609999999999997E-2</v>
      </c>
    </row>
    <row r="38" spans="7:15" x14ac:dyDescent="0.35">
      <c r="G38" s="7">
        <v>17</v>
      </c>
      <c r="H38" s="74">
        <v>3.1960000000000002E-2</v>
      </c>
      <c r="I38" s="74">
        <v>3.0853431535391884E-2</v>
      </c>
      <c r="J38" s="74" cm="1">
        <f t="array" ref="J38">_xlfn.LET(_xlpm.m, G38,
     _xlpm.rfr, I38,
     _xlpm.sm_up, INDEX(R.IRR_SM_UP, _xlpm.m),
     _xlpm.bm_up, INDEX(R.IRR_BM_UP, _xlpm.m),
     _xlpm.rfr * (1 + _xlpm.sm_up) + _xlpm.bm_up)</f>
        <v>4.8683858049947695E-2</v>
      </c>
      <c r="K38" s="74">
        <f t="shared" si="1"/>
        <v>4.7535909396808546E-2</v>
      </c>
      <c r="L38" s="76">
        <v>4.8680000000000001E-2</v>
      </c>
      <c r="M38" s="74">
        <f t="shared" si="2"/>
        <v>4.2128937159556012E-2</v>
      </c>
      <c r="N38" s="74">
        <f t="shared" si="0"/>
        <v>4.552317022757163E-2</v>
      </c>
      <c r="O38" s="76">
        <v>5.2249999999999998E-2</v>
      </c>
    </row>
    <row r="39" spans="7:15" x14ac:dyDescent="0.35">
      <c r="G39" s="7">
        <v>18</v>
      </c>
      <c r="H39" s="74">
        <v>3.2131E-2</v>
      </c>
      <c r="I39" s="74">
        <v>3.1029912691710404E-2</v>
      </c>
      <c r="J39" s="74" cm="1">
        <f t="array" ref="J39">_xlfn.LET(_xlpm.m, G39,
     _xlpm.rfr, I39,
     _xlpm.sm_up, INDEX(R.IRR_SM_UP, _xlpm.m),
     _xlpm.bm_up, INDEX(R.IRR_BM_UP, _xlpm.m),
     _xlpm.rfr * (1 + _xlpm.sm_up) + _xlpm.bm_up)</f>
        <v>4.8197689991555104E-2</v>
      </c>
      <c r="K39" s="74">
        <f t="shared" si="1"/>
        <v>4.7072203597538886E-2</v>
      </c>
      <c r="L39" s="76">
        <v>4.82E-2</v>
      </c>
      <c r="M39" s="74">
        <f t="shared" si="2"/>
        <v>3.9189205009954708E-2</v>
      </c>
      <c r="N39" s="74">
        <f t="shared" si="0"/>
        <v>4.2583438077970326E-2</v>
      </c>
      <c r="O39" s="76">
        <v>5.176E-2</v>
      </c>
    </row>
    <row r="40" spans="7:15" x14ac:dyDescent="0.35">
      <c r="G40" s="2">
        <v>19</v>
      </c>
      <c r="H40" s="74">
        <v>3.2272000000000002E-2</v>
      </c>
      <c r="I40" s="74">
        <v>3.1187842494311724E-2</v>
      </c>
      <c r="J40" s="74" cm="1">
        <f t="array" ref="J40">_xlfn.LET(_xlpm.m, G40,
     _xlpm.rfr, I40,
     _xlpm.sm_up, INDEX(R.IRR_SM_UP, _xlpm.m),
     _xlpm.bm_up, INDEX(R.IRR_BM_UP, _xlpm.m),
     _xlpm.rfr * (1 + _xlpm.sm_up) + _xlpm.bm_up)</f>
        <v>4.8396681542832776E-2</v>
      </c>
      <c r="K40" s="74">
        <f t="shared" si="1"/>
        <v>4.7262027203456097E-2</v>
      </c>
      <c r="L40" s="76">
        <v>4.8399999999999999E-2</v>
      </c>
      <c r="M40" s="74">
        <f t="shared" si="2"/>
        <v>5.0678852109965922E-2</v>
      </c>
      <c r="N40" s="74">
        <f t="shared" si="0"/>
        <v>5.4073085177981539E-2</v>
      </c>
      <c r="O40" s="76">
        <v>5.1959999999999999E-2</v>
      </c>
    </row>
    <row r="41" spans="7:15" x14ac:dyDescent="0.35">
      <c r="G41" s="2">
        <v>20</v>
      </c>
      <c r="H41" s="74">
        <v>3.2329999999999998E-2</v>
      </c>
      <c r="I41" s="74">
        <v>3.133000000000008E-2</v>
      </c>
      <c r="J41" s="74" cm="1">
        <f t="array" ref="J41">_xlfn.LET(_xlpm.m, G41,
     _xlpm.rfr, I41,
     _xlpm.sm_up, INDEX(R.IRR_SM_UP, _xlpm.m),
     _xlpm.bm_up, INDEX(R.IRR_BM_UP, _xlpm.m),
     _xlpm.rfr * (1 + _xlpm.sm_up) + _xlpm.bm_up)</f>
        <v>4.7962500000000102E-2</v>
      </c>
      <c r="K41" s="74">
        <f t="shared" si="1"/>
        <v>4.6847802815895574E-2</v>
      </c>
      <c r="L41" s="76">
        <v>4.7960000000000003E-2</v>
      </c>
      <c r="M41" s="74">
        <f t="shared" si="2"/>
        <v>3.897753945224558E-2</v>
      </c>
      <c r="N41" s="74">
        <f t="shared" si="0"/>
        <v>4.2371772520261197E-2</v>
      </c>
      <c r="O41" s="76">
        <v>5.1529999999999999E-2</v>
      </c>
    </row>
    <row r="42" spans="7:15" x14ac:dyDescent="0.35">
      <c r="G42" s="7">
        <v>21</v>
      </c>
      <c r="H42" s="74">
        <v>3.2460000000000003E-2</v>
      </c>
      <c r="I42" s="74">
        <v>3.1370473649038111E-2</v>
      </c>
      <c r="J42" s="74" cm="1">
        <f t="array" ref="J42">_xlfn.LET(_xlpm.m, G42,
     _xlpm.rfr, I42,
     _xlpm.sm_up, INDEX(R.IRR_SM_UP, _xlpm.m),
     _xlpm.bm_up, INDEX(R.IRR_BM_UP, _xlpm.m),
     _xlpm.rfr * (1 + _xlpm.sm_up) + _xlpm.bm_up)</f>
        <v>4.7913092061297638E-2</v>
      </c>
      <c r="K42" s="74">
        <f t="shared" si="1"/>
        <v>4.6800655037755635E-2</v>
      </c>
      <c r="L42" s="76">
        <v>4.761E-2</v>
      </c>
      <c r="M42" s="74">
        <f t="shared" si="2"/>
        <v>4.5857699474956881E-2</v>
      </c>
      <c r="N42" s="74">
        <f t="shared" si="0"/>
        <v>4.9251932542972499E-2</v>
      </c>
      <c r="O42" s="76">
        <v>5.1049999999999998E-2</v>
      </c>
    </row>
    <row r="43" spans="7:15" x14ac:dyDescent="0.35">
      <c r="G43" s="7">
        <v>22</v>
      </c>
      <c r="H43" s="74">
        <v>3.2510999999999998E-2</v>
      </c>
      <c r="I43" s="74">
        <v>3.1407269253757697E-2</v>
      </c>
      <c r="J43" s="74" cm="1">
        <f t="array" ref="J43">_xlfn.LET(_xlpm.m, G43,
     _xlpm.rfr, I43,
     _xlpm.sm_up, INDEX(R.IRR_SM_UP, _xlpm.m),
     _xlpm.bm_up, INDEX(R.IRR_BM_UP, _xlpm.m),
     _xlpm.rfr * (1 + _xlpm.sm_up) + _xlpm.bm_up)</f>
        <v>4.7445013874659547E-2</v>
      </c>
      <c r="K43" s="74">
        <f t="shared" si="1"/>
        <v>4.6353878715275958E-2</v>
      </c>
      <c r="L43" s="76">
        <v>4.7260000000000003E-2</v>
      </c>
      <c r="M43" s="74">
        <f t="shared" si="2"/>
        <v>3.6971575943202661E-2</v>
      </c>
      <c r="N43" s="74">
        <f t="shared" si="0"/>
        <v>4.0365809011218279E-2</v>
      </c>
      <c r="O43" s="76">
        <v>5.0590000000000003E-2</v>
      </c>
    </row>
    <row r="44" spans="7:15" x14ac:dyDescent="0.35">
      <c r="G44" s="7">
        <v>23</v>
      </c>
      <c r="H44" s="74">
        <v>3.2542000000000001E-2</v>
      </c>
      <c r="I44" s="74">
        <v>3.1440866387146382E-2</v>
      </c>
      <c r="J44" s="74" cm="1">
        <f t="array" ref="J44">_xlfn.LET(_xlpm.m, G44,
     _xlpm.rfr, I44,
     _xlpm.sm_up, INDEX(R.IRR_SM_UP, _xlpm.m),
     _xlpm.bm_up, INDEX(R.IRR_BM_UP, _xlpm.m),
     _xlpm.rfr * (1 + _xlpm.sm_up) + _xlpm.bm_up)</f>
        <v>4.718667432006151E-2</v>
      </c>
      <c r="K44" s="74">
        <f t="shared" si="1"/>
        <v>4.610721047535199E-2</v>
      </c>
      <c r="L44" s="76">
        <v>4.691E-2</v>
      </c>
      <c r="M44" s="74">
        <f t="shared" si="2"/>
        <v>4.0680509197024817E-2</v>
      </c>
      <c r="N44" s="74">
        <f t="shared" si="0"/>
        <v>4.4074742265040434E-2</v>
      </c>
      <c r="O44" s="76">
        <v>5.0139999999999997E-2</v>
      </c>
    </row>
    <row r="45" spans="7:15" x14ac:dyDescent="0.35">
      <c r="G45" s="2">
        <v>24</v>
      </c>
      <c r="H45" s="74">
        <v>3.2550999999999997E-2</v>
      </c>
      <c r="I45" s="74">
        <v>3.1471664720814418E-2</v>
      </c>
      <c r="J45" s="74" cm="1">
        <f t="array" ref="J45">_xlfn.LET(_xlpm.m, G45,
     _xlpm.rfr, I45,
     _xlpm.sm_up, INDEX(R.IRR_SM_UP, _xlpm.m),
     _xlpm.bm_up, INDEX(R.IRR_BM_UP, _xlpm.m),
     _xlpm.rfr * (1 + _xlpm.sm_up) + _xlpm.bm_up)</f>
        <v>4.6710147606601735E-2</v>
      </c>
      <c r="K45" s="74">
        <f t="shared" si="1"/>
        <v>4.5652052688495814E-2</v>
      </c>
      <c r="L45" s="76">
        <v>4.6580000000000003E-2</v>
      </c>
      <c r="M45" s="74">
        <f t="shared" si="2"/>
        <v>3.5183423590803731E-2</v>
      </c>
      <c r="N45" s="74">
        <f t="shared" si="0"/>
        <v>3.8577656658819348E-2</v>
      </c>
      <c r="O45" s="76">
        <v>4.9700000000000001E-2</v>
      </c>
    </row>
    <row r="46" spans="7:15" x14ac:dyDescent="0.35">
      <c r="G46" s="2">
        <v>25</v>
      </c>
      <c r="H46" s="74">
        <v>3.2500000000000001E-2</v>
      </c>
      <c r="I46" s="74">
        <v>3.1500000000000083E-2</v>
      </c>
      <c r="J46" s="74" cm="1">
        <f t="array" ref="J46">_xlfn.LET(_xlpm.m, G46,
     _xlpm.rfr, I46,
     _xlpm.sm_up, INDEX(R.IRR_SM_UP, _xlpm.m),
     _xlpm.bm_up, INDEX(R.IRR_BM_UP, _xlpm.m),
     _xlpm.rfr * (1 + _xlpm.sm_up) + _xlpm.bm_up)</f>
        <v>4.6230000000000104E-2</v>
      </c>
      <c r="K46" s="74">
        <f t="shared" si="1"/>
        <v>4.519322674875343E-2</v>
      </c>
      <c r="L46" s="76">
        <v>4.6249999999999999E-2</v>
      </c>
      <c r="M46" s="74">
        <f t="shared" si="2"/>
        <v>3.4181404194936205E-2</v>
      </c>
      <c r="N46" s="74">
        <f t="shared" si="0"/>
        <v>3.7575637262951822E-2</v>
      </c>
      <c r="O46" s="76">
        <v>4.9270000000000001E-2</v>
      </c>
    </row>
    <row r="47" spans="7:15" x14ac:dyDescent="0.35">
      <c r="G47" s="7">
        <v>26</v>
      </c>
      <c r="H47" s="74">
        <v>3.2539999999999999E-2</v>
      </c>
      <c r="I47" s="74">
        <v>3.1484076513391468E-2</v>
      </c>
      <c r="J47" s="74" cm="1">
        <f t="array" ref="J47">_xlfn.LET(_xlpm.m, G47,
     _xlpm.rfr, I47,
     _xlpm.sm_up, INDEX(R.IRR_SM_UP, _xlpm.m),
     _xlpm.bm_up, INDEX(R.IRR_BM_UP, _xlpm.m),
     _xlpm.rfr * (1 + _xlpm.sm_up) + _xlpm.bm_up)</f>
        <v>4.601057334633759E-2</v>
      </c>
      <c r="K47" s="74">
        <f t="shared" si="1"/>
        <v>4.4983473953341464E-2</v>
      </c>
      <c r="L47" s="76">
        <v>4.5929999999999999E-2</v>
      </c>
      <c r="M47" s="74">
        <f t="shared" si="2"/>
        <v>3.9739654068042363E-2</v>
      </c>
      <c r="N47" s="74">
        <f t="shared" si="0"/>
        <v>4.313388713605798E-2</v>
      </c>
      <c r="O47" s="76">
        <v>4.8860000000000001E-2</v>
      </c>
    </row>
    <row r="48" spans="7:15" x14ac:dyDescent="0.35">
      <c r="G48" s="7">
        <v>27</v>
      </c>
      <c r="H48" s="74">
        <v>3.2528000000000001E-2</v>
      </c>
      <c r="I48" s="74">
        <v>3.1469332763485403E-2</v>
      </c>
      <c r="J48" s="74" cm="1">
        <f t="array" ref="J48">_xlfn.LET(_xlpm.m, G48,
     _xlpm.rfr, I48,
     _xlpm.sm_up, INDEX(R.IRR_SM_UP, _xlpm.m),
     _xlpm.bm_up, INDEX(R.IRR_BM_UP, _xlpm.m),
     _xlpm.rfr * (1 + _xlpm.sm_up) + _xlpm.bm_up)</f>
        <v>4.5477892643817339E-2</v>
      </c>
      <c r="K48" s="74">
        <f t="shared" si="1"/>
        <v>4.4474094415562444E-2</v>
      </c>
      <c r="L48" s="76">
        <v>4.5620000000000001E-2</v>
      </c>
      <c r="M48" s="74">
        <f t="shared" si="2"/>
        <v>3.1230226433307973E-2</v>
      </c>
      <c r="N48" s="74">
        <f t="shared" si="0"/>
        <v>3.462445950132359E-2</v>
      </c>
      <c r="O48" s="76">
        <v>4.8460000000000003E-2</v>
      </c>
    </row>
    <row r="49" spans="7:15" x14ac:dyDescent="0.35">
      <c r="G49" s="7">
        <v>28</v>
      </c>
      <c r="H49" s="74">
        <v>3.2509999999999997E-2</v>
      </c>
      <c r="I49" s="74">
        <v>3.1455642327273825E-2</v>
      </c>
      <c r="J49" s="74" cm="1">
        <f t="array" ref="J49">_xlfn.LET(_xlpm.m, G49,
     _xlpm.rfr, I49,
     _xlpm.sm_up, INDEX(R.IRR_SM_UP, _xlpm.m),
     _xlpm.bm_up, INDEX(R.IRR_BM_UP, _xlpm.m),
     _xlpm.rfr * (1 + _xlpm.sm_up) + _xlpm.bm_up)</f>
        <v>4.5261327216001325E-2</v>
      </c>
      <c r="K49" s="74">
        <f t="shared" si="1"/>
        <v>4.4266928044421276E-2</v>
      </c>
      <c r="L49" s="76">
        <v>4.5319999999999999E-2</v>
      </c>
      <c r="M49" s="74">
        <f t="shared" si="2"/>
        <v>3.867343602360962E-2</v>
      </c>
      <c r="N49" s="74">
        <f t="shared" si="0"/>
        <v>4.2067669091625237E-2</v>
      </c>
      <c r="O49" s="76">
        <v>4.8079999999999998E-2</v>
      </c>
    </row>
    <row r="50" spans="7:15" x14ac:dyDescent="0.35">
      <c r="G50" s="2">
        <v>29</v>
      </c>
      <c r="H50" s="74">
        <v>3.2489999999999998E-2</v>
      </c>
      <c r="I50" s="74">
        <v>3.1442896222421135E-2</v>
      </c>
      <c r="J50" s="74" cm="1">
        <f t="array" ref="J50">_xlfn.LET(_xlpm.m, G50,
     _xlpm.rfr, I50,
     _xlpm.sm_up, INDEX(R.IRR_SM_UP, _xlpm.m),
     _xlpm.bm_up, INDEX(R.IRR_BM_UP, _xlpm.m),
     _xlpm.rfr * (1 + _xlpm.sm_up) + _xlpm.bm_up)</f>
        <v>4.4731475466905361E-2</v>
      </c>
      <c r="K50" s="74">
        <f t="shared" si="1"/>
        <v>4.3759891120880245E-2</v>
      </c>
      <c r="L50" s="76">
        <v>4.5030000000000001E-2</v>
      </c>
      <c r="M50" s="74">
        <f t="shared" si="2"/>
        <v>2.9562857261731468E-2</v>
      </c>
      <c r="N50" s="74">
        <f t="shared" si="0"/>
        <v>3.2957090329747085E-2</v>
      </c>
      <c r="O50" s="76">
        <v>4.7710000000000002E-2</v>
      </c>
    </row>
    <row r="51" spans="7:15" x14ac:dyDescent="0.35">
      <c r="G51" s="2">
        <v>30</v>
      </c>
      <c r="H51" s="74">
        <v>3.2431000000000001E-2</v>
      </c>
      <c r="I51" s="74">
        <v>3.1430999999999987E-2</v>
      </c>
      <c r="J51" s="74" cm="1">
        <f t="array" ref="J51">_xlfn.LET(_xlpm.m, G51,
     _xlpm.rfr, I51,
     _xlpm.sm_up, INDEX(R.IRR_SM_UP, _xlpm.m),
     _xlpm.bm_up, INDEX(R.IRR_BM_UP, _xlpm.m),
     _xlpm.rfr * (1 + _xlpm.sm_up) + _xlpm.bm_up)</f>
        <v>4.4617199999999982E-2</v>
      </c>
      <c r="K51" s="74">
        <f t="shared" si="1"/>
        <v>4.3650502517282384E-2</v>
      </c>
      <c r="L51" s="76">
        <v>4.4760000000000001E-2</v>
      </c>
      <c r="M51" s="74">
        <f t="shared" si="2"/>
        <v>4.0478233012944287E-2</v>
      </c>
      <c r="N51" s="74">
        <f t="shared" si="0"/>
        <v>4.3872466080959904E-2</v>
      </c>
      <c r="O51" s="76">
        <v>4.7359999999999999E-2</v>
      </c>
    </row>
    <row r="52" spans="7:15" x14ac:dyDescent="0.35">
      <c r="G52" s="7">
        <v>31</v>
      </c>
      <c r="H52" s="74" t="e">
        <v>#N/A</v>
      </c>
      <c r="I52" s="74">
        <v>3.1383121532013059E-2</v>
      </c>
      <c r="J52" s="74" cm="1">
        <f t="array" ref="J52">_xlfn.LET(_xlpm.m, G52,
     _xlpm.rfr, I52,
     _xlpm.sm_up, INDEX(R.IRR_SM_UP, _xlpm.m),
     _xlpm.bm_up, INDEX(R.IRR_BM_UP, _xlpm.m),
     _xlpm.rfr * (1 + _xlpm.sm_up) + _xlpm.bm_up)</f>
        <v>4.4659745838415671E-2</v>
      </c>
      <c r="K52" s="74">
        <f t="shared" si="1"/>
        <v>4.3691230328409866E-2</v>
      </c>
      <c r="L52" s="76">
        <v>4.4490000000000002E-2</v>
      </c>
      <c r="M52" s="74">
        <f t="shared" si="2"/>
        <v>4.4913064662234436E-2</v>
      </c>
      <c r="N52" s="74">
        <f t="shared" si="0"/>
        <v>4.8307297730250054E-2</v>
      </c>
      <c r="O52" s="76">
        <v>4.7019999999999999E-2</v>
      </c>
    </row>
    <row r="53" spans="7:15" x14ac:dyDescent="0.35">
      <c r="G53" s="7">
        <v>32</v>
      </c>
      <c r="H53" s="74" t="e">
        <v>#N/A</v>
      </c>
      <c r="I53" s="74">
        <v>3.1338237486751908E-2</v>
      </c>
      <c r="J53" s="74" cm="1">
        <f t="array" ref="J53">_xlfn.LET(_xlpm.m, G53,
     _xlpm.rfr, I53,
     _xlpm.sm_up, INDEX(R.IRR_SM_UP, _xlpm.m),
     _xlpm.bm_up, INDEX(R.IRR_BM_UP, _xlpm.m),
     _xlpm.rfr * (1 + _xlpm.sm_up) + _xlpm.bm_up)</f>
        <v>4.4705884984102287E-2</v>
      </c>
      <c r="K53" s="74">
        <f t="shared" si="1"/>
        <v>4.3735396026374232E-2</v>
      </c>
      <c r="L53" s="76">
        <v>4.4229999999999998E-2</v>
      </c>
      <c r="M53" s="74">
        <f t="shared" si="2"/>
        <v>4.5104532663269525E-2</v>
      </c>
      <c r="N53" s="74">
        <f t="shared" si="0"/>
        <v>4.8498765731285143E-2</v>
      </c>
      <c r="O53" s="76">
        <v>4.6690000000000002E-2</v>
      </c>
    </row>
    <row r="54" spans="7:15" x14ac:dyDescent="0.35">
      <c r="G54" s="7">
        <v>33</v>
      </c>
      <c r="H54" s="74" t="e">
        <v>#N/A</v>
      </c>
      <c r="I54" s="74">
        <v>3.1296075465953921E-2</v>
      </c>
      <c r="J54" s="74" cm="1">
        <f t="array" ref="J54">_xlfn.LET(_xlpm.m, G54,
     _xlpm.rfr, I54,
     _xlpm.sm_up, INDEX(R.IRR_SM_UP, _xlpm.m),
     _xlpm.bm_up, INDEX(R.IRR_BM_UP, _xlpm.m),
     _xlpm.rfr * (1 + _xlpm.sm_up) + _xlpm.bm_up)</f>
        <v>4.4655290559144703E-2</v>
      </c>
      <c r="K54" s="74">
        <f t="shared" si="1"/>
        <v>4.368696550554356E-2</v>
      </c>
      <c r="L54" s="76">
        <v>4.3990000000000001E-2</v>
      </c>
      <c r="M54" s="74">
        <f t="shared" si="2"/>
        <v>4.2137188838962114E-2</v>
      </c>
      <c r="N54" s="74">
        <f t="shared" ref="N54:N85" si="3">M54+LN(1+V.TOTAL_VA)</f>
        <v>4.5531421906977732E-2</v>
      </c>
      <c r="O54" s="76">
        <v>4.6379999999999998E-2</v>
      </c>
    </row>
    <row r="55" spans="7:15" x14ac:dyDescent="0.35">
      <c r="G55" s="2">
        <v>34</v>
      </c>
      <c r="H55" s="74" t="e">
        <v>#N/A</v>
      </c>
      <c r="I55" s="74">
        <v>3.1256395138546278E-2</v>
      </c>
      <c r="J55" s="74" cm="1">
        <f t="array" ref="J55">_xlfn.LET(_xlpm.m, G55,
     _xlpm.rfr, I55,
     _xlpm.sm_up, INDEX(R.IRR_SM_UP, _xlpm.m),
     _xlpm.bm_up, INDEX(R.IRR_BM_UP, _xlpm.m),
     _xlpm.rfr * (1 + _xlpm.sm_up) + _xlpm.bm_up)</f>
        <v>4.4607674166255537E-2</v>
      </c>
      <c r="K55" s="74">
        <f t="shared" si="1"/>
        <v>4.364138350490384E-2</v>
      </c>
      <c r="L55" s="76">
        <v>4.3749999999999997E-2</v>
      </c>
      <c r="M55" s="74">
        <f t="shared" ref="M55:M86" si="4">G55*K55-G54*K54</f>
        <v>4.2137177483793087E-2</v>
      </c>
      <c r="N55" s="74">
        <f t="shared" si="3"/>
        <v>4.5531410551808704E-2</v>
      </c>
      <c r="O55" s="76">
        <v>4.6080000000000003E-2</v>
      </c>
    </row>
    <row r="56" spans="7:15" x14ac:dyDescent="0.35">
      <c r="G56" s="2">
        <v>35</v>
      </c>
      <c r="H56" s="74" t="e">
        <v>#N/A</v>
      </c>
      <c r="I56" s="74">
        <v>3.1218983656795762E-2</v>
      </c>
      <c r="J56" s="74" cm="1">
        <f t="array" ref="J56">_xlfn.LET(_xlpm.m, G56,
     _xlpm.rfr, I56,
     _xlpm.sm_up, INDEX(R.IRR_SM_UP, _xlpm.m),
     _xlpm.bm_up, INDEX(R.IRR_BM_UP, _xlpm.m),
     _xlpm.rfr * (1 + _xlpm.sm_up) + _xlpm.bm_up)</f>
        <v>4.4562780388154914E-2</v>
      </c>
      <c r="K56" s="74">
        <f t="shared" si="1"/>
        <v>4.3598405893374235E-2</v>
      </c>
      <c r="L56" s="76">
        <v>4.3520000000000003E-2</v>
      </c>
      <c r="M56" s="74">
        <f t="shared" si="4"/>
        <v>4.2137167101367723E-2</v>
      </c>
      <c r="N56" s="74">
        <f t="shared" si="3"/>
        <v>4.553140016938334E-2</v>
      </c>
      <c r="O56" s="76">
        <v>4.5789999999999997E-2</v>
      </c>
    </row>
    <row r="57" spans="7:15" x14ac:dyDescent="0.35">
      <c r="G57" s="7">
        <v>36</v>
      </c>
      <c r="H57" s="74" t="e">
        <v>#N/A</v>
      </c>
      <c r="I57" s="74">
        <v>3.1183651836891535E-2</v>
      </c>
      <c r="J57" s="74" cm="1">
        <f t="array" ref="J57">_xlfn.LET(_xlpm.m, G57,
     _xlpm.rfr, I57,
     _xlpm.sm_up, INDEX(R.IRR_SM_UP, _xlpm.m),
     _xlpm.bm_up, INDEX(R.IRR_BM_UP, _xlpm.m),
     _xlpm.rfr * (1 + _xlpm.sm_up) + _xlpm.bm_up)</f>
        <v>4.4620382204269837E-2</v>
      </c>
      <c r="K57" s="74">
        <f t="shared" si="1"/>
        <v>4.3653548800095768E-2</v>
      </c>
      <c r="L57" s="76">
        <v>4.3299999999999998E-2</v>
      </c>
      <c r="M57" s="74">
        <f t="shared" si="4"/>
        <v>4.5583550535349238E-2</v>
      </c>
      <c r="N57" s="74">
        <f t="shared" si="3"/>
        <v>4.8977783603364855E-2</v>
      </c>
      <c r="O57" s="76">
        <v>4.5519999999999998E-2</v>
      </c>
    </row>
    <row r="58" spans="7:15" x14ac:dyDescent="0.35">
      <c r="G58" s="7">
        <v>37</v>
      </c>
      <c r="H58" s="74" t="e">
        <v>#N/A</v>
      </c>
      <c r="I58" s="74">
        <v>3.1150230959252623E-2</v>
      </c>
      <c r="J58" s="74" cm="1">
        <f t="array" ref="J58">_xlfn.LET(_xlpm.m, G58,
     _xlpm.rfr, I58,
     _xlpm.sm_up, INDEX(R.IRR_SM_UP, _xlpm.m),
     _xlpm.bm_up, INDEX(R.IRR_BM_UP, _xlpm.m),
     _xlpm.rfr * (1 + _xlpm.sm_up) + _xlpm.bm_up)</f>
        <v>4.4891779460695669E-2</v>
      </c>
      <c r="K58" s="74">
        <f t="shared" si="1"/>
        <v>4.3913319729340622E-2</v>
      </c>
      <c r="L58" s="76">
        <v>4.3090000000000003E-2</v>
      </c>
      <c r="M58" s="74">
        <f t="shared" si="4"/>
        <v>5.3265073182155342E-2</v>
      </c>
      <c r="N58" s="74">
        <f t="shared" si="3"/>
        <v>5.665930625017096E-2</v>
      </c>
      <c r="O58" s="76">
        <v>4.5249999999999999E-2</v>
      </c>
    </row>
    <row r="59" spans="7:15" x14ac:dyDescent="0.35">
      <c r="G59" s="7">
        <v>38</v>
      </c>
      <c r="H59" s="74" t="e">
        <v>#N/A</v>
      </c>
      <c r="I59" s="74">
        <v>3.1118570074337937E-2</v>
      </c>
      <c r="J59" s="74" cm="1">
        <f t="array" ref="J59">_xlfn.LET(_xlpm.m, G59,
     _xlpm.rfr, I59,
     _xlpm.sm_up, INDEX(R.IRR_SM_UP, _xlpm.m),
     _xlpm.bm_up, INDEX(R.IRR_BM_UP, _xlpm.m),
     _xlpm.rfr * (1 + _xlpm.sm_up) + _xlpm.bm_up)</f>
        <v>4.4853469789948898E-2</v>
      </c>
      <c r="K59" s="74">
        <f t="shared" si="1"/>
        <v>4.3876655288289892E-2</v>
      </c>
      <c r="L59" s="76">
        <v>4.2889999999999998E-2</v>
      </c>
      <c r="M59" s="74">
        <f t="shared" si="4"/>
        <v>4.2520070969412904E-2</v>
      </c>
      <c r="N59" s="74">
        <f t="shared" si="3"/>
        <v>4.5914304037428522E-2</v>
      </c>
      <c r="O59" s="76">
        <v>4.4990000000000002E-2</v>
      </c>
    </row>
    <row r="60" spans="7:15" x14ac:dyDescent="0.35">
      <c r="G60" s="2">
        <v>39</v>
      </c>
      <c r="H60" s="74" t="e">
        <v>#N/A</v>
      </c>
      <c r="I60" s="74">
        <v>3.1088533723176104E-2</v>
      </c>
      <c r="J60" s="74" cm="1">
        <f t="array" ref="J60">_xlfn.LET(_xlpm.m, G60,
     _xlpm.rfr, I60,
     _xlpm.sm_up, INDEX(R.IRR_SM_UP, _xlpm.m),
     _xlpm.bm_up, INDEX(R.IRR_BM_UP, _xlpm.m),
     _xlpm.rfr * (1 + _xlpm.sm_up) + _xlpm.bm_up)</f>
        <v>4.4917125805043083E-2</v>
      </c>
      <c r="K60" s="74">
        <f t="shared" si="1"/>
        <v>4.3937576822211402E-2</v>
      </c>
      <c r="L60" s="76">
        <v>4.2689999999999999E-2</v>
      </c>
      <c r="M60" s="74">
        <f t="shared" si="4"/>
        <v>4.6252595111228922E-2</v>
      </c>
      <c r="N60" s="74">
        <f t="shared" si="3"/>
        <v>4.964682817924454E-2</v>
      </c>
      <c r="O60" s="76">
        <v>4.4749999999999998E-2</v>
      </c>
    </row>
    <row r="61" spans="7:15" x14ac:dyDescent="0.35">
      <c r="G61" s="2">
        <v>40</v>
      </c>
      <c r="H61" s="74">
        <v>3.2059999999999998E-2</v>
      </c>
      <c r="I61" s="74">
        <v>3.1060000000000088E-2</v>
      </c>
      <c r="J61" s="74" cm="1">
        <f t="array" ref="J61">_xlfn.LET(_xlpm.m, G61,
     _xlpm.rfr, I61,
     _xlpm.sm_up, INDEX(R.IRR_SM_UP, _xlpm.m),
     _xlpm.bm_up, INDEX(R.IRR_BM_UP, _xlpm.m),
     _xlpm.rfr * (1 + _xlpm.sm_up) + _xlpm.bm_up)</f>
        <v>4.4882600000000106E-2</v>
      </c>
      <c r="K61" s="74">
        <f t="shared" si="1"/>
        <v>4.3904534608051125E-2</v>
      </c>
      <c r="L61" s="76">
        <v>4.2509999999999999E-2</v>
      </c>
      <c r="M61" s="74">
        <f t="shared" si="4"/>
        <v>4.2615888255800316E-2</v>
      </c>
      <c r="N61" s="74">
        <f t="shared" si="3"/>
        <v>4.6010121323815933E-2</v>
      </c>
      <c r="O61" s="76">
        <v>4.4510000000000001E-2</v>
      </c>
    </row>
    <row r="62" spans="7:15" x14ac:dyDescent="0.35">
      <c r="G62" s="7">
        <v>41</v>
      </c>
      <c r="H62" s="74" t="e">
        <v>#N/A</v>
      </c>
      <c r="I62" s="74">
        <v>3.0968507363280384E-2</v>
      </c>
      <c r="J62" s="74" cm="1">
        <f t="array" ref="J62">_xlfn.LET(_xlpm.m, G62,
     _xlpm.rfr, I62,
     _xlpm.sm_up, INDEX(R.IRR_SM_UP, _xlpm.m),
     _xlpm.bm_up, INDEX(R.IRR_BM_UP, _xlpm.m),
     _xlpm.rfr * (1 + _xlpm.sm_up) + _xlpm.bm_up)</f>
        <v>4.4871893909569263E-2</v>
      </c>
      <c r="K62" s="74">
        <f t="shared" si="1"/>
        <v>4.3894288341839324E-2</v>
      </c>
      <c r="L62" s="76">
        <v>4.233E-2</v>
      </c>
      <c r="M62" s="74">
        <f t="shared" si="4"/>
        <v>4.3484437693367184E-2</v>
      </c>
      <c r="N62" s="74">
        <f t="shared" si="3"/>
        <v>4.6878670761382801E-2</v>
      </c>
      <c r="O62" s="76">
        <v>4.4290000000000003E-2</v>
      </c>
    </row>
    <row r="63" spans="7:15" x14ac:dyDescent="0.35">
      <c r="G63" s="7">
        <v>42</v>
      </c>
      <c r="H63" s="74" t="e">
        <v>#N/A</v>
      </c>
      <c r="I63" s="74">
        <v>3.0881379066826087E-2</v>
      </c>
      <c r="J63" s="74" cm="1">
        <f t="array" ref="J63">_xlfn.LET(_xlpm.m, G63,
     _xlpm.rfr, I63,
     _xlpm.sm_up, INDEX(R.IRR_SM_UP, _xlpm.m),
     _xlpm.bm_up, INDEX(R.IRR_BM_UP, _xlpm.m),
     _xlpm.rfr * (1 + _xlpm.sm_up) + _xlpm.bm_up)</f>
        <v>4.4766468670859566E-2</v>
      </c>
      <c r="K63" s="74">
        <f t="shared" si="1"/>
        <v>4.3793385486410229E-2</v>
      </c>
      <c r="L63" s="76">
        <v>4.215E-2</v>
      </c>
      <c r="M63" s="74">
        <f t="shared" si="4"/>
        <v>3.9656368413817367E-2</v>
      </c>
      <c r="N63" s="74">
        <f t="shared" si="3"/>
        <v>4.3050601481832984E-2</v>
      </c>
      <c r="O63" s="76">
        <v>4.4069999999999998E-2</v>
      </c>
    </row>
    <row r="64" spans="7:15" x14ac:dyDescent="0.35">
      <c r="G64" s="7">
        <v>43</v>
      </c>
      <c r="H64" s="74" t="e">
        <v>#N/A</v>
      </c>
      <c r="I64" s="74">
        <v>3.0798310106840532E-2</v>
      </c>
      <c r="J64" s="74" cm="1">
        <f t="array" ref="J64">_xlfn.LET(_xlpm.m, G64,
     _xlpm.rfr, I64,
     _xlpm.sm_up, INDEX(R.IRR_SM_UP, _xlpm.m),
     _xlpm.bm_up, INDEX(R.IRR_BM_UP, _xlpm.m),
     _xlpm.rfr * (1 + _xlpm.sm_up) + _xlpm.bm_up)</f>
        <v>4.4765955229277045E-2</v>
      </c>
      <c r="K64" s="74">
        <f t="shared" si="1"/>
        <v>4.3792894044806636E-2</v>
      </c>
      <c r="L64" s="76">
        <v>4.199E-2</v>
      </c>
      <c r="M64" s="74">
        <f t="shared" si="4"/>
        <v>4.3772253497455837E-2</v>
      </c>
      <c r="N64" s="74">
        <f t="shared" si="3"/>
        <v>4.7166486565471455E-2</v>
      </c>
      <c r="O64" s="76">
        <v>4.3860000000000003E-2</v>
      </c>
    </row>
    <row r="65" spans="7:15" x14ac:dyDescent="0.35">
      <c r="G65" s="2">
        <v>44</v>
      </c>
      <c r="H65" s="74" t="e">
        <v>#N/A</v>
      </c>
      <c r="I65" s="74">
        <v>3.0719023252943733E-2</v>
      </c>
      <c r="J65" s="74" cm="1">
        <f t="array" ref="J65">_xlfn.LET(_xlpm.m, G65,
     _xlpm.rfr, I65,
     _xlpm.sm_up, INDEX(R.IRR_SM_UP, _xlpm.m),
     _xlpm.bm_up, INDEX(R.IRR_BM_UP, _xlpm.m),
     _xlpm.rfr * (1 + _xlpm.sm_up) + _xlpm.bm_up)</f>
        <v>4.4670018136061918E-2</v>
      </c>
      <c r="K65" s="74">
        <f t="shared" si="1"/>
        <v>4.3701063431659991E-2</v>
      </c>
      <c r="L65" s="76">
        <v>4.1829999999999999E-2</v>
      </c>
      <c r="M65" s="74">
        <f t="shared" si="4"/>
        <v>3.975234706635411E-2</v>
      </c>
      <c r="N65" s="74">
        <f t="shared" si="3"/>
        <v>4.3146580134369727E-2</v>
      </c>
      <c r="O65" s="76">
        <v>4.3659999999999997E-2</v>
      </c>
    </row>
    <row r="66" spans="7:15" x14ac:dyDescent="0.35">
      <c r="G66" s="2">
        <v>45</v>
      </c>
      <c r="H66" s="74" t="e">
        <v>#N/A</v>
      </c>
      <c r="I66" s="74">
        <v>3.0643265957257304E-2</v>
      </c>
      <c r="J66" s="74" cm="1">
        <f t="array" ref="J66">_xlfn.LET(_xlpm.m, G66,
     _xlpm.rfr, I66,
     _xlpm.sm_up, INDEX(R.IRR_SM_UP, _xlpm.m),
     _xlpm.bm_up, INDEX(R.IRR_BM_UP, _xlpm.m),
     _xlpm.rfr * (1 + _xlpm.sm_up) + _xlpm.bm_up)</f>
        <v>4.457835180828134E-2</v>
      </c>
      <c r="K66" s="74">
        <f t="shared" si="1"/>
        <v>4.3613312899786337E-2</v>
      </c>
      <c r="L66" s="76">
        <v>4.1680000000000002E-2</v>
      </c>
      <c r="M66" s="74">
        <f t="shared" si="4"/>
        <v>3.9752289497345661E-2</v>
      </c>
      <c r="N66" s="74">
        <f t="shared" si="3"/>
        <v>4.3146522565361278E-2</v>
      </c>
      <c r="O66" s="76">
        <v>4.3470000000000002E-2</v>
      </c>
    </row>
    <row r="67" spans="7:15" x14ac:dyDescent="0.35">
      <c r="G67" s="7">
        <v>46</v>
      </c>
      <c r="H67" s="74" t="e">
        <v>#N/A</v>
      </c>
      <c r="I67" s="74">
        <v>3.057080766728637E-2</v>
      </c>
      <c r="J67" s="74" cm="1">
        <f t="array" ref="J67">_xlfn.LET(_xlpm.m, G67,
     _xlpm.rfr, I67,
     _xlpm.sm_up, INDEX(R.IRR_SM_UP, _xlpm.m),
     _xlpm.bm_up, INDEX(R.IRR_BM_UP, _xlpm.m),
     _xlpm.rfr * (1 + _xlpm.sm_up) + _xlpm.bm_up)</f>
        <v>4.4490677277416506E-2</v>
      </c>
      <c r="K67" s="74">
        <f t="shared" si="1"/>
        <v>4.3529376438428961E-2</v>
      </c>
      <c r="L67" s="76">
        <v>4.1529999999999997E-2</v>
      </c>
      <c r="M67" s="74">
        <f t="shared" si="4"/>
        <v>3.9752235677347203E-2</v>
      </c>
      <c r="N67" s="74">
        <f t="shared" si="3"/>
        <v>4.314646874536282E-2</v>
      </c>
      <c r="O67" s="76">
        <v>4.3279999999999999E-2</v>
      </c>
    </row>
    <row r="68" spans="7:15" x14ac:dyDescent="0.35">
      <c r="G68" s="7">
        <v>47</v>
      </c>
      <c r="H68" s="74" t="e">
        <v>#N/A</v>
      </c>
      <c r="I68" s="74">
        <v>3.0501437482368443E-2</v>
      </c>
      <c r="J68" s="74" cm="1">
        <f t="array" ref="J68">_xlfn.LET(_xlpm.m, G68,
     _xlpm.rfr, I68,
     _xlpm.sm_up, INDEX(R.IRR_SM_UP, _xlpm.m),
     _xlpm.bm_up, INDEX(R.IRR_BM_UP, _xlpm.m),
     _xlpm.rfr * (1 + _xlpm.sm_up) + _xlpm.bm_up)</f>
        <v>4.4406739353665813E-2</v>
      </c>
      <c r="K68" s="74">
        <f t="shared" si="1"/>
        <v>4.3449010669265181E-2</v>
      </c>
      <c r="L68" s="76">
        <v>4.138E-2</v>
      </c>
      <c r="M68" s="74">
        <f t="shared" si="4"/>
        <v>3.9752185287730946E-2</v>
      </c>
      <c r="N68" s="74">
        <f t="shared" si="3"/>
        <v>4.3146418355746563E-2</v>
      </c>
      <c r="O68" s="76">
        <v>4.3099999999999999E-2</v>
      </c>
    </row>
    <row r="69" spans="7:15" x14ac:dyDescent="0.35">
      <c r="G69" s="7">
        <v>48</v>
      </c>
      <c r="H69" s="74" t="e">
        <v>#N/A</v>
      </c>
      <c r="I69" s="74">
        <v>3.043496210351071E-2</v>
      </c>
      <c r="J69" s="74" cm="1">
        <f t="array" ref="J69">_xlfn.LET(_xlpm.m, G69,
     _xlpm.rfr, I69,
     _xlpm.sm_up, INDEX(R.IRR_SM_UP, _xlpm.m),
     _xlpm.bm_up, INDEX(R.IRR_BM_UP, _xlpm.m),
     _xlpm.rfr * (1 + _xlpm.sm_up) + _xlpm.bm_up)</f>
        <v>4.422630414524796E-2</v>
      </c>
      <c r="K69" s="74">
        <f t="shared" si="1"/>
        <v>4.3276232392651867E-2</v>
      </c>
      <c r="L69" s="76">
        <v>4.1250000000000002E-2</v>
      </c>
      <c r="M69" s="74">
        <f t="shared" si="4"/>
        <v>3.5155653391826025E-2</v>
      </c>
      <c r="N69" s="74">
        <f t="shared" si="3"/>
        <v>3.8549886459841642E-2</v>
      </c>
      <c r="O69" s="76">
        <v>4.2930000000000003E-2</v>
      </c>
    </row>
    <row r="70" spans="7:15" x14ac:dyDescent="0.35">
      <c r="G70" s="2">
        <v>49</v>
      </c>
      <c r="H70" s="74" t="e">
        <v>#N/A</v>
      </c>
      <c r="I70" s="74">
        <v>3.0371204034636667E-2</v>
      </c>
      <c r="J70" s="74" cm="1">
        <f t="array" ref="J70">_xlfn.LET(_xlpm.m, G70,
     _xlpm.rfr, I70,
     _xlpm.sm_up, INDEX(R.IRR_SM_UP, _xlpm.m),
     _xlpm.bm_up, INDEX(R.IRR_BM_UP, _xlpm.m),
     _xlpm.rfr * (1 + _xlpm.sm_up) + _xlpm.bm_up)</f>
        <v>4.4149156881910373E-2</v>
      </c>
      <c r="K70" s="74">
        <f t="shared" si="1"/>
        <v>4.3202349831960619E-2</v>
      </c>
      <c r="L70" s="76">
        <v>4.1110000000000001E-2</v>
      </c>
      <c r="M70" s="74">
        <f t="shared" si="4"/>
        <v>3.9655986918781139E-2</v>
      </c>
      <c r="N70" s="74">
        <f t="shared" si="3"/>
        <v>4.3050219986796756E-2</v>
      </c>
      <c r="O70" s="76">
        <v>4.2770000000000002E-2</v>
      </c>
    </row>
    <row r="71" spans="7:15" x14ac:dyDescent="0.35">
      <c r="G71" s="2">
        <v>50</v>
      </c>
      <c r="H71" s="74">
        <v>3.1309999999999998E-2</v>
      </c>
      <c r="I71" s="74">
        <v>3.0310000000000059E-2</v>
      </c>
      <c r="J71" s="74" cm="1">
        <f t="array" ref="J71">_xlfn.LET(_xlpm.m, G71,
     _xlpm.rfr, I71,
     _xlpm.sm_up, INDEX(R.IRR_SM_UP, _xlpm.m),
     _xlpm.bm_up, INDEX(R.IRR_BM_UP, _xlpm.m),
     _xlpm.rfr * (1 + _xlpm.sm_up) + _xlpm.bm_up)</f>
        <v>4.3975100000000072E-2</v>
      </c>
      <c r="K71" s="74">
        <f t="shared" si="1"/>
        <v>4.3035638601305E-2</v>
      </c>
      <c r="L71" s="76">
        <v>4.0989999999999999E-2</v>
      </c>
      <c r="M71" s="74">
        <f t="shared" si="4"/>
        <v>3.486678829917933E-2</v>
      </c>
      <c r="N71" s="74">
        <f t="shared" si="3"/>
        <v>3.8261021367194947E-2</v>
      </c>
      <c r="O71" s="76">
        <v>4.2610000000000002E-2</v>
      </c>
    </row>
    <row r="72" spans="7:15" x14ac:dyDescent="0.35">
      <c r="G72" s="7">
        <v>51</v>
      </c>
      <c r="H72" s="74" t="e">
        <v>#N/A</v>
      </c>
      <c r="I72" s="74" t="e">
        <v>#N/A</v>
      </c>
      <c r="J72" s="74" t="e" cm="1">
        <f t="array" ref="J72">_xlfn.LET(_xlpm.m, G72,
     _xlpm.rfr, I72,
     _xlpm.sm_up, INDEX(R.IRR_SM_UP, _xlpm.m),
     _xlpm.bm_up, INDEX(R.IRR_BM_UP, _xlpm.m),
     _xlpm.rfr * (1 + _xlpm.sm_up) + _xlpm.bm_up)</f>
        <v>#N/A</v>
      </c>
      <c r="K72" s="74" t="e">
        <f t="shared" si="1"/>
        <v>#N/A</v>
      </c>
      <c r="L72" s="76">
        <v>4.086E-2</v>
      </c>
      <c r="M72" s="74" t="e">
        <f t="shared" si="4"/>
        <v>#N/A</v>
      </c>
      <c r="N72" s="74" t="e">
        <f t="shared" si="3"/>
        <v>#N/A</v>
      </c>
      <c r="O72" s="76">
        <v>4.2450000000000002E-2</v>
      </c>
    </row>
    <row r="73" spans="7:15" x14ac:dyDescent="0.35">
      <c r="G73" s="7">
        <v>52</v>
      </c>
      <c r="H73" s="74" t="e">
        <v>#N/A</v>
      </c>
      <c r="I73" s="74" t="e">
        <v>#N/A</v>
      </c>
      <c r="J73" s="74" t="e" cm="1">
        <f t="array" ref="J73">_xlfn.LET(_xlpm.m, G73,
     _xlpm.rfr, I73,
     _xlpm.sm_up, INDEX(R.IRR_SM_UP, _xlpm.m),
     _xlpm.bm_up, INDEX(R.IRR_BM_UP, _xlpm.m),
     _xlpm.rfr * (1 + _xlpm.sm_up) + _xlpm.bm_up)</f>
        <v>#N/A</v>
      </c>
      <c r="K73" s="74" t="e">
        <f t="shared" si="1"/>
        <v>#N/A</v>
      </c>
      <c r="L73" s="76">
        <v>4.0739999999999998E-2</v>
      </c>
      <c r="M73" s="74" t="e">
        <f t="shared" si="4"/>
        <v>#N/A</v>
      </c>
      <c r="N73" s="74" t="e">
        <f t="shared" si="3"/>
        <v>#N/A</v>
      </c>
      <c r="O73" s="76">
        <v>4.2299999999999997E-2</v>
      </c>
    </row>
    <row r="74" spans="7:15" x14ac:dyDescent="0.35">
      <c r="G74" s="7">
        <v>53</v>
      </c>
      <c r="H74" s="74" t="e">
        <v>#N/A</v>
      </c>
      <c r="I74" s="74" t="e">
        <v>#N/A</v>
      </c>
      <c r="J74" s="74" t="e" cm="1">
        <f t="array" ref="J74">_xlfn.LET(_xlpm.m, G74,
     _xlpm.rfr, I74,
     _xlpm.sm_up, INDEX(R.IRR_SM_UP, _xlpm.m),
     _xlpm.bm_up, INDEX(R.IRR_BM_UP, _xlpm.m),
     _xlpm.rfr * (1 + _xlpm.sm_up) + _xlpm.bm_up)</f>
        <v>#N/A</v>
      </c>
      <c r="K74" s="74" t="e">
        <f t="shared" si="1"/>
        <v>#N/A</v>
      </c>
      <c r="L74" s="76">
        <v>4.0629999999999999E-2</v>
      </c>
      <c r="M74" s="74" t="e">
        <f t="shared" si="4"/>
        <v>#N/A</v>
      </c>
      <c r="N74" s="74" t="e">
        <f t="shared" si="3"/>
        <v>#N/A</v>
      </c>
      <c r="O74" s="76">
        <v>4.2160000000000003E-2</v>
      </c>
    </row>
    <row r="75" spans="7:15" x14ac:dyDescent="0.35">
      <c r="G75" s="2">
        <v>54</v>
      </c>
      <c r="H75" s="74" t="e">
        <v>#N/A</v>
      </c>
      <c r="I75" s="74" t="e">
        <v>#N/A</v>
      </c>
      <c r="J75" s="74" t="e" cm="1">
        <f t="array" ref="J75">_xlfn.LET(_xlpm.m, G75,
     _xlpm.rfr, I75,
     _xlpm.sm_up, INDEX(R.IRR_SM_UP, _xlpm.m),
     _xlpm.bm_up, INDEX(R.IRR_BM_UP, _xlpm.m),
     _xlpm.rfr * (1 + _xlpm.sm_up) + _xlpm.bm_up)</f>
        <v>#N/A</v>
      </c>
      <c r="K75" s="74" t="e">
        <f t="shared" si="1"/>
        <v>#N/A</v>
      </c>
      <c r="L75" s="76">
        <v>4.052E-2</v>
      </c>
      <c r="M75" s="74" t="e">
        <f t="shared" si="4"/>
        <v>#N/A</v>
      </c>
      <c r="N75" s="74" t="e">
        <f t="shared" si="3"/>
        <v>#N/A</v>
      </c>
      <c r="O75" s="76">
        <v>4.2020000000000002E-2</v>
      </c>
    </row>
    <row r="76" spans="7:15" x14ac:dyDescent="0.35">
      <c r="G76" s="2">
        <v>55</v>
      </c>
      <c r="H76" s="74" t="e">
        <v>#N/A</v>
      </c>
      <c r="I76" s="74" t="e">
        <v>#N/A</v>
      </c>
      <c r="J76" s="74" t="e" cm="1">
        <f t="array" ref="J76">_xlfn.LET(_xlpm.m, G76,
     _xlpm.rfr, I76,
     _xlpm.sm_up, INDEX(R.IRR_SM_UP, _xlpm.m),
     _xlpm.bm_up, INDEX(R.IRR_BM_UP, _xlpm.m),
     _xlpm.rfr * (1 + _xlpm.sm_up) + _xlpm.bm_up)</f>
        <v>#N/A</v>
      </c>
      <c r="K76" s="74" t="e">
        <f t="shared" si="1"/>
        <v>#N/A</v>
      </c>
      <c r="L76" s="76">
        <v>4.0410000000000001E-2</v>
      </c>
      <c r="M76" s="74" t="e">
        <f t="shared" si="4"/>
        <v>#N/A</v>
      </c>
      <c r="N76" s="74" t="e">
        <f t="shared" si="3"/>
        <v>#N/A</v>
      </c>
      <c r="O76" s="76">
        <v>4.1889999999999997E-2</v>
      </c>
    </row>
    <row r="77" spans="7:15" x14ac:dyDescent="0.35">
      <c r="G77" s="7">
        <v>56</v>
      </c>
      <c r="H77" s="74" t="e">
        <v>#N/A</v>
      </c>
      <c r="I77" s="74" t="e">
        <v>#N/A</v>
      </c>
      <c r="J77" s="74" t="e" cm="1">
        <f t="array" ref="J77">_xlfn.LET(_xlpm.m, G77,
     _xlpm.rfr, I77,
     _xlpm.sm_up, INDEX(R.IRR_SM_UP, _xlpm.m),
     _xlpm.bm_up, INDEX(R.IRR_BM_UP, _xlpm.m),
     _xlpm.rfr * (1 + _xlpm.sm_up) + _xlpm.bm_up)</f>
        <v>#N/A</v>
      </c>
      <c r="K77" s="74" t="e">
        <f t="shared" si="1"/>
        <v>#N/A</v>
      </c>
      <c r="L77" s="76">
        <v>4.0309999999999999E-2</v>
      </c>
      <c r="M77" s="74" t="e">
        <f t="shared" si="4"/>
        <v>#N/A</v>
      </c>
      <c r="N77" s="74" t="e">
        <f t="shared" si="3"/>
        <v>#N/A</v>
      </c>
      <c r="O77" s="76">
        <v>4.1759999999999999E-2</v>
      </c>
    </row>
    <row r="78" spans="7:15" x14ac:dyDescent="0.35">
      <c r="G78" s="7">
        <v>57</v>
      </c>
      <c r="H78" s="74" t="e">
        <v>#N/A</v>
      </c>
      <c r="I78" s="74" t="e">
        <v>#N/A</v>
      </c>
      <c r="J78" s="74" t="e" cm="1">
        <f t="array" ref="J78">_xlfn.LET(_xlpm.m, G78,
     _xlpm.rfr, I78,
     _xlpm.sm_up, INDEX(R.IRR_SM_UP, _xlpm.m),
     _xlpm.bm_up, INDEX(R.IRR_BM_UP, _xlpm.m),
     _xlpm.rfr * (1 + _xlpm.sm_up) + _xlpm.bm_up)</f>
        <v>#N/A</v>
      </c>
      <c r="K78" s="74" t="e">
        <f t="shared" si="1"/>
        <v>#N/A</v>
      </c>
      <c r="L78" s="76">
        <v>4.0210000000000003E-2</v>
      </c>
      <c r="M78" s="74" t="e">
        <f t="shared" si="4"/>
        <v>#N/A</v>
      </c>
      <c r="N78" s="74" t="e">
        <f t="shared" si="3"/>
        <v>#N/A</v>
      </c>
      <c r="O78" s="76">
        <v>4.163E-2</v>
      </c>
    </row>
    <row r="79" spans="7:15" x14ac:dyDescent="0.35">
      <c r="G79" s="7">
        <v>58</v>
      </c>
      <c r="H79" s="74" t="e">
        <v>#N/A</v>
      </c>
      <c r="I79" s="74" t="e">
        <v>#N/A</v>
      </c>
      <c r="J79" s="74" t="e" cm="1">
        <f t="array" ref="J79">_xlfn.LET(_xlpm.m, G79,
     _xlpm.rfr, I79,
     _xlpm.sm_up, INDEX(R.IRR_SM_UP, _xlpm.m),
     _xlpm.bm_up, INDEX(R.IRR_BM_UP, _xlpm.m),
     _xlpm.rfr * (1 + _xlpm.sm_up) + _xlpm.bm_up)</f>
        <v>#N/A</v>
      </c>
      <c r="K79" s="74" t="e">
        <f t="shared" si="1"/>
        <v>#N/A</v>
      </c>
      <c r="L79" s="76">
        <v>4.011E-2</v>
      </c>
      <c r="M79" s="74" t="e">
        <f t="shared" si="4"/>
        <v>#N/A</v>
      </c>
      <c r="N79" s="74" t="e">
        <f t="shared" si="3"/>
        <v>#N/A</v>
      </c>
      <c r="O79" s="76">
        <v>4.1509999999999998E-2</v>
      </c>
    </row>
    <row r="80" spans="7:15" x14ac:dyDescent="0.35">
      <c r="G80" s="2">
        <v>59</v>
      </c>
      <c r="H80" s="74" t="e">
        <v>#N/A</v>
      </c>
      <c r="I80" s="74" t="e">
        <v>#N/A</v>
      </c>
      <c r="J80" s="74" t="e" cm="1">
        <f t="array" ref="J80">_xlfn.LET(_xlpm.m, G80,
     _xlpm.rfr, I80,
     _xlpm.sm_up, INDEX(R.IRR_SM_UP, _xlpm.m),
     _xlpm.bm_up, INDEX(R.IRR_BM_UP, _xlpm.m),
     _xlpm.rfr * (1 + _xlpm.sm_up) + _xlpm.bm_up)</f>
        <v>#N/A</v>
      </c>
      <c r="K80" s="74" t="e">
        <f t="shared" si="1"/>
        <v>#N/A</v>
      </c>
      <c r="L80" s="76">
        <v>4.002E-2</v>
      </c>
      <c r="M80" s="74" t="e">
        <f t="shared" si="4"/>
        <v>#N/A</v>
      </c>
      <c r="N80" s="74" t="e">
        <f t="shared" si="3"/>
        <v>#N/A</v>
      </c>
      <c r="O80" s="76">
        <v>4.1390000000000003E-2</v>
      </c>
    </row>
    <row r="81" spans="7:15" x14ac:dyDescent="0.35">
      <c r="G81" s="2">
        <v>60</v>
      </c>
      <c r="H81" s="74" t="e">
        <v>#N/A</v>
      </c>
      <c r="I81" s="74" t="e">
        <v>#N/A</v>
      </c>
      <c r="J81" s="74" t="e" cm="1">
        <f t="array" ref="J81">_xlfn.LET(_xlpm.m, G81,
     _xlpm.rfr, I81,
     _xlpm.sm_up, INDEX(R.IRR_SM_UP, _xlpm.m),
     _xlpm.bm_up, INDEX(R.IRR_BM_UP, _xlpm.m),
     _xlpm.rfr * (1 + _xlpm.sm_up) + _xlpm.bm_up)</f>
        <v>#N/A</v>
      </c>
      <c r="K81" s="74" t="e">
        <f t="shared" si="1"/>
        <v>#N/A</v>
      </c>
      <c r="L81" s="76">
        <v>3.993E-2</v>
      </c>
      <c r="M81" s="74" t="e">
        <f t="shared" si="4"/>
        <v>#N/A</v>
      </c>
      <c r="N81" s="74" t="e">
        <f t="shared" si="3"/>
        <v>#N/A</v>
      </c>
      <c r="O81" s="76">
        <v>4.1279999999999997E-2</v>
      </c>
    </row>
    <row r="82" spans="7:15" x14ac:dyDescent="0.35">
      <c r="G82" s="7">
        <v>61</v>
      </c>
      <c r="H82" s="74" t="e">
        <v>#N/A</v>
      </c>
      <c r="I82" s="74" t="e">
        <v>#N/A</v>
      </c>
      <c r="J82" s="74" t="e" cm="1">
        <f t="array" ref="J82">_xlfn.LET(_xlpm.m, G82,
     _xlpm.rfr, I82,
     _xlpm.sm_up, INDEX(R.IRR_SM_UP, _xlpm.m),
     _xlpm.bm_up, INDEX(R.IRR_BM_UP, _xlpm.m),
     _xlpm.rfr * (1 + _xlpm.sm_up) + _xlpm.bm_up)</f>
        <v>#N/A</v>
      </c>
      <c r="K82" s="74" t="e">
        <f t="shared" si="1"/>
        <v>#N/A</v>
      </c>
      <c r="L82" s="76">
        <v>3.984E-2</v>
      </c>
      <c r="M82" s="74" t="e">
        <f t="shared" si="4"/>
        <v>#N/A</v>
      </c>
      <c r="N82" s="74" t="e">
        <f t="shared" si="3"/>
        <v>#N/A</v>
      </c>
      <c r="O82" s="76">
        <v>4.1169999999999998E-2</v>
      </c>
    </row>
    <row r="83" spans="7:15" x14ac:dyDescent="0.35">
      <c r="G83" s="7">
        <v>62</v>
      </c>
      <c r="H83" s="74" t="e">
        <v>#N/A</v>
      </c>
      <c r="I83" s="74" t="e">
        <v>#N/A</v>
      </c>
      <c r="J83" s="74" t="e" cm="1">
        <f t="array" ref="J83">_xlfn.LET(_xlpm.m, G83,
     _xlpm.rfr, I83,
     _xlpm.sm_up, INDEX(R.IRR_SM_UP, _xlpm.m),
     _xlpm.bm_up, INDEX(R.IRR_BM_UP, _xlpm.m),
     _xlpm.rfr * (1 + _xlpm.sm_up) + _xlpm.bm_up)</f>
        <v>#N/A</v>
      </c>
      <c r="K83" s="74" t="e">
        <f t="shared" si="1"/>
        <v>#N/A</v>
      </c>
      <c r="L83" s="76">
        <v>3.9750000000000001E-2</v>
      </c>
      <c r="M83" s="74" t="e">
        <f t="shared" si="4"/>
        <v>#N/A</v>
      </c>
      <c r="N83" s="74" t="e">
        <f t="shared" si="3"/>
        <v>#N/A</v>
      </c>
      <c r="O83" s="76">
        <v>4.1059999999999999E-2</v>
      </c>
    </row>
    <row r="84" spans="7:15" x14ac:dyDescent="0.35">
      <c r="G84" s="7">
        <v>63</v>
      </c>
      <c r="H84" s="74" t="e">
        <v>#N/A</v>
      </c>
      <c r="I84" s="74" t="e">
        <v>#N/A</v>
      </c>
      <c r="J84" s="74" t="e" cm="1">
        <f t="array" ref="J84">_xlfn.LET(_xlpm.m, G84,
     _xlpm.rfr, I84,
     _xlpm.sm_up, INDEX(R.IRR_SM_UP, _xlpm.m),
     _xlpm.bm_up, INDEX(R.IRR_BM_UP, _xlpm.m),
     _xlpm.rfr * (1 + _xlpm.sm_up) + _xlpm.bm_up)</f>
        <v>#N/A</v>
      </c>
      <c r="K84" s="74" t="e">
        <f t="shared" si="1"/>
        <v>#N/A</v>
      </c>
      <c r="L84" s="76">
        <v>3.9669999999999997E-2</v>
      </c>
      <c r="M84" s="74" t="e">
        <f t="shared" si="4"/>
        <v>#N/A</v>
      </c>
      <c r="N84" s="74" t="e">
        <f t="shared" si="3"/>
        <v>#N/A</v>
      </c>
      <c r="O84" s="76">
        <v>4.0960000000000003E-2</v>
      </c>
    </row>
    <row r="85" spans="7:15" x14ac:dyDescent="0.35">
      <c r="G85" s="2">
        <v>64</v>
      </c>
      <c r="H85" s="74" t="e">
        <v>#N/A</v>
      </c>
      <c r="I85" s="74" t="e">
        <v>#N/A</v>
      </c>
      <c r="J85" s="74" t="e" cm="1">
        <f t="array" ref="J85">_xlfn.LET(_xlpm.m, G85,
     _xlpm.rfr, I85,
     _xlpm.sm_up, INDEX(R.IRR_SM_UP, _xlpm.m),
     _xlpm.bm_up, INDEX(R.IRR_BM_UP, _xlpm.m),
     _xlpm.rfr * (1 + _xlpm.sm_up) + _xlpm.bm_up)</f>
        <v>#N/A</v>
      </c>
      <c r="K85" s="74" t="e">
        <f t="shared" si="1"/>
        <v>#N/A</v>
      </c>
      <c r="L85" s="76">
        <v>3.959E-2</v>
      </c>
      <c r="M85" s="74" t="e">
        <f t="shared" si="4"/>
        <v>#N/A</v>
      </c>
      <c r="N85" s="74" t="e">
        <f t="shared" si="3"/>
        <v>#N/A</v>
      </c>
      <c r="O85" s="76">
        <v>4.086E-2</v>
      </c>
    </row>
    <row r="86" spans="7:15" x14ac:dyDescent="0.35">
      <c r="G86" s="2">
        <v>65</v>
      </c>
      <c r="H86" s="74" t="e">
        <v>#N/A</v>
      </c>
      <c r="I86" s="74" t="e">
        <v>#N/A</v>
      </c>
      <c r="J86" s="74" t="e" cm="1">
        <f t="array" ref="J86">_xlfn.LET(_xlpm.m, G86,
     _xlpm.rfr, I86,
     _xlpm.sm_up, INDEX(R.IRR_SM_UP, _xlpm.m),
     _xlpm.bm_up, INDEX(R.IRR_BM_UP, _xlpm.m),
     _xlpm.rfr * (1 + _xlpm.sm_up) + _xlpm.bm_up)</f>
        <v>#N/A</v>
      </c>
      <c r="K86" s="74" t="e">
        <f t="shared" si="1"/>
        <v>#N/A</v>
      </c>
      <c r="L86" s="76">
        <v>3.9510000000000003E-2</v>
      </c>
      <c r="M86" s="74" t="e">
        <f t="shared" si="4"/>
        <v>#N/A</v>
      </c>
      <c r="N86" s="74" t="e">
        <f t="shared" ref="N86:N117" si="5">M86+LN(1+V.TOTAL_VA)</f>
        <v>#N/A</v>
      </c>
      <c r="O86" s="76">
        <v>4.0759999999999998E-2</v>
      </c>
    </row>
    <row r="87" spans="7:15" x14ac:dyDescent="0.35">
      <c r="G87" s="7">
        <v>66</v>
      </c>
      <c r="H87" s="74" t="e">
        <v>#N/A</v>
      </c>
      <c r="I87" s="74" t="e">
        <v>#N/A</v>
      </c>
      <c r="J87" s="74" t="e" cm="1">
        <f t="array" ref="J87">_xlfn.LET(_xlpm.m, G87,
     _xlpm.rfr, I87,
     _xlpm.sm_up, INDEX(R.IRR_SM_UP, _xlpm.m),
     _xlpm.bm_up, INDEX(R.IRR_BM_UP, _xlpm.m),
     _xlpm.rfr * (1 + _xlpm.sm_up) + _xlpm.bm_up)</f>
        <v>#N/A</v>
      </c>
      <c r="K87" s="74" t="e">
        <f t="shared" ref="K87:K150" si="6">LN(1+J87)</f>
        <v>#N/A</v>
      </c>
      <c r="L87" s="76">
        <v>3.9440000000000003E-2</v>
      </c>
      <c r="M87" s="74" t="e">
        <f t="shared" ref="M87:M118" si="7">G87*K87-G86*K86</f>
        <v>#N/A</v>
      </c>
      <c r="N87" s="74" t="e">
        <f t="shared" si="5"/>
        <v>#N/A</v>
      </c>
      <c r="O87" s="76">
        <v>4.0669999999999998E-2</v>
      </c>
    </row>
    <row r="88" spans="7:15" x14ac:dyDescent="0.35">
      <c r="G88" s="7">
        <v>67</v>
      </c>
      <c r="H88" s="74" t="e">
        <v>#N/A</v>
      </c>
      <c r="I88" s="74" t="e">
        <v>#N/A</v>
      </c>
      <c r="J88" s="74" t="e" cm="1">
        <f t="array" ref="J88">_xlfn.LET(_xlpm.m, G88,
     _xlpm.rfr, I88,
     _xlpm.sm_up, INDEX(R.IRR_SM_UP, _xlpm.m),
     _xlpm.bm_up, INDEX(R.IRR_BM_UP, _xlpm.m),
     _xlpm.rfr * (1 + _xlpm.sm_up) + _xlpm.bm_up)</f>
        <v>#N/A</v>
      </c>
      <c r="K88" s="74" t="e">
        <f t="shared" si="6"/>
        <v>#N/A</v>
      </c>
      <c r="L88" s="76">
        <v>3.9359999999999999E-2</v>
      </c>
      <c r="M88" s="74" t="e">
        <f t="shared" si="7"/>
        <v>#N/A</v>
      </c>
      <c r="N88" s="74" t="e">
        <f t="shared" si="5"/>
        <v>#N/A</v>
      </c>
      <c r="O88" s="76">
        <v>4.0579999999999998E-2</v>
      </c>
    </row>
    <row r="89" spans="7:15" x14ac:dyDescent="0.35">
      <c r="G89" s="7">
        <v>68</v>
      </c>
      <c r="H89" s="74" t="e">
        <v>#N/A</v>
      </c>
      <c r="I89" s="74" t="e">
        <v>#N/A</v>
      </c>
      <c r="J89" s="74" t="e" cm="1">
        <f t="array" ref="J89">_xlfn.LET(_xlpm.m, G89,
     _xlpm.rfr, I89,
     _xlpm.sm_up, INDEX(R.IRR_SM_UP, _xlpm.m),
     _xlpm.bm_up, INDEX(R.IRR_BM_UP, _xlpm.m),
     _xlpm.rfr * (1 + _xlpm.sm_up) + _xlpm.bm_up)</f>
        <v>#N/A</v>
      </c>
      <c r="K89" s="74" t="e">
        <f t="shared" si="6"/>
        <v>#N/A</v>
      </c>
      <c r="L89" s="76">
        <v>3.9289999999999999E-2</v>
      </c>
      <c r="M89" s="74" t="e">
        <f t="shared" si="7"/>
        <v>#N/A</v>
      </c>
      <c r="N89" s="74" t="e">
        <f t="shared" si="5"/>
        <v>#N/A</v>
      </c>
      <c r="O89" s="76">
        <v>4.0489999999999998E-2</v>
      </c>
    </row>
    <row r="90" spans="7:15" x14ac:dyDescent="0.35">
      <c r="G90" s="2">
        <v>69</v>
      </c>
      <c r="H90" s="74" t="e">
        <v>#N/A</v>
      </c>
      <c r="I90" s="74" t="e">
        <v>#N/A</v>
      </c>
      <c r="J90" s="74" t="e" cm="1">
        <f t="array" ref="J90">_xlfn.LET(_xlpm.m, G90,
     _xlpm.rfr, I90,
     _xlpm.sm_up, INDEX(R.IRR_SM_UP, _xlpm.m),
     _xlpm.bm_up, INDEX(R.IRR_BM_UP, _xlpm.m),
     _xlpm.rfr * (1 + _xlpm.sm_up) + _xlpm.bm_up)</f>
        <v>#N/A</v>
      </c>
      <c r="K90" s="74" t="e">
        <f t="shared" si="6"/>
        <v>#N/A</v>
      </c>
      <c r="L90" s="76">
        <v>3.9219999999999998E-2</v>
      </c>
      <c r="M90" s="74" t="e">
        <f t="shared" si="7"/>
        <v>#N/A</v>
      </c>
      <c r="N90" s="74" t="e">
        <f t="shared" si="5"/>
        <v>#N/A</v>
      </c>
      <c r="O90" s="76">
        <v>4.0399999999999998E-2</v>
      </c>
    </row>
    <row r="91" spans="7:15" x14ac:dyDescent="0.35">
      <c r="G91" s="2">
        <v>70</v>
      </c>
      <c r="H91" s="74" t="e">
        <v>#N/A</v>
      </c>
      <c r="I91" s="74" t="e">
        <v>#N/A</v>
      </c>
      <c r="J91" s="74" t="e" cm="1">
        <f t="array" ref="J91">_xlfn.LET(_xlpm.m, G91,
     _xlpm.rfr, I91,
     _xlpm.sm_up, INDEX(R.IRR_SM_UP, _xlpm.m),
     _xlpm.bm_up, INDEX(R.IRR_BM_UP, _xlpm.m),
     _xlpm.rfr * (1 + _xlpm.sm_up) + _xlpm.bm_up)</f>
        <v>#N/A</v>
      </c>
      <c r="K91" s="74" t="e">
        <f t="shared" si="6"/>
        <v>#N/A</v>
      </c>
      <c r="L91" s="76">
        <v>3.916E-2</v>
      </c>
      <c r="M91" s="74" t="e">
        <f t="shared" si="7"/>
        <v>#N/A</v>
      </c>
      <c r="N91" s="74" t="e">
        <f t="shared" si="5"/>
        <v>#N/A</v>
      </c>
      <c r="O91" s="76">
        <v>4.0320000000000002E-2</v>
      </c>
    </row>
    <row r="92" spans="7:15" x14ac:dyDescent="0.35">
      <c r="G92" s="7">
        <v>71</v>
      </c>
      <c r="H92" s="74" t="e">
        <v>#N/A</v>
      </c>
      <c r="I92" s="74" t="e">
        <v>#N/A</v>
      </c>
      <c r="J92" s="74" t="e" cm="1">
        <f t="array" ref="J92">_xlfn.LET(_xlpm.m, G92,
     _xlpm.rfr, I92,
     _xlpm.sm_up, INDEX(R.IRR_SM_UP, _xlpm.m),
     _xlpm.bm_up, INDEX(R.IRR_BM_UP, _xlpm.m),
     _xlpm.rfr * (1 + _xlpm.sm_up) + _xlpm.bm_up)</f>
        <v>#N/A</v>
      </c>
      <c r="K92" s="74" t="e">
        <f t="shared" si="6"/>
        <v>#N/A</v>
      </c>
      <c r="L92" s="76">
        <v>3.909E-2</v>
      </c>
      <c r="M92" s="74" t="e">
        <f t="shared" si="7"/>
        <v>#N/A</v>
      </c>
      <c r="N92" s="74" t="e">
        <f t="shared" si="5"/>
        <v>#N/A</v>
      </c>
      <c r="O92" s="76">
        <v>4.0230000000000002E-2</v>
      </c>
    </row>
    <row r="93" spans="7:15" x14ac:dyDescent="0.35">
      <c r="G93" s="7">
        <v>72</v>
      </c>
      <c r="H93" s="74" t="e">
        <v>#N/A</v>
      </c>
      <c r="I93" s="74" t="e">
        <v>#N/A</v>
      </c>
      <c r="J93" s="74" t="e" cm="1">
        <f t="array" ref="J93">_xlfn.LET(_xlpm.m, G93,
     _xlpm.rfr, I93,
     _xlpm.sm_up, INDEX(R.IRR_SM_UP, _xlpm.m),
     _xlpm.bm_up, INDEX(R.IRR_BM_UP, _xlpm.m),
     _xlpm.rfr * (1 + _xlpm.sm_up) + _xlpm.bm_up)</f>
        <v>#N/A</v>
      </c>
      <c r="K93" s="74" t="e">
        <f t="shared" si="6"/>
        <v>#N/A</v>
      </c>
      <c r="L93" s="76">
        <v>3.9030000000000002E-2</v>
      </c>
      <c r="M93" s="74" t="e">
        <f t="shared" si="7"/>
        <v>#N/A</v>
      </c>
      <c r="N93" s="74" t="e">
        <f t="shared" si="5"/>
        <v>#N/A</v>
      </c>
      <c r="O93" s="76">
        <v>4.0149999999999998E-2</v>
      </c>
    </row>
    <row r="94" spans="7:15" x14ac:dyDescent="0.35">
      <c r="G94" s="7">
        <v>73</v>
      </c>
      <c r="H94" s="74" t="e">
        <v>#N/A</v>
      </c>
      <c r="I94" s="74" t="e">
        <v>#N/A</v>
      </c>
      <c r="J94" s="74" t="e" cm="1">
        <f t="array" ref="J94">_xlfn.LET(_xlpm.m, G94,
     _xlpm.rfr, I94,
     _xlpm.sm_up, INDEX(R.IRR_SM_UP, _xlpm.m),
     _xlpm.bm_up, INDEX(R.IRR_BM_UP, _xlpm.m),
     _xlpm.rfr * (1 + _xlpm.sm_up) + _xlpm.bm_up)</f>
        <v>#N/A</v>
      </c>
      <c r="K94" s="74" t="e">
        <f t="shared" si="6"/>
        <v>#N/A</v>
      </c>
      <c r="L94" s="76">
        <v>3.8969999999999998E-2</v>
      </c>
      <c r="M94" s="74" t="e">
        <f t="shared" si="7"/>
        <v>#N/A</v>
      </c>
      <c r="N94" s="74" t="e">
        <f t="shared" si="5"/>
        <v>#N/A</v>
      </c>
      <c r="O94" s="76">
        <v>4.0079999999999998E-2</v>
      </c>
    </row>
    <row r="95" spans="7:15" x14ac:dyDescent="0.35">
      <c r="G95" s="2">
        <v>74</v>
      </c>
      <c r="H95" s="74" t="e">
        <v>#N/A</v>
      </c>
      <c r="I95" s="74" t="e">
        <v>#N/A</v>
      </c>
      <c r="J95" s="74" t="e" cm="1">
        <f t="array" ref="J95">_xlfn.LET(_xlpm.m, G95,
     _xlpm.rfr, I95,
     _xlpm.sm_up, INDEX(R.IRR_SM_UP, _xlpm.m),
     _xlpm.bm_up, INDEX(R.IRR_BM_UP, _xlpm.m),
     _xlpm.rfr * (1 + _xlpm.sm_up) + _xlpm.bm_up)</f>
        <v>#N/A</v>
      </c>
      <c r="K95" s="74" t="e">
        <f t="shared" si="6"/>
        <v>#N/A</v>
      </c>
      <c r="L95" s="76">
        <v>3.891E-2</v>
      </c>
      <c r="M95" s="74" t="e">
        <f t="shared" si="7"/>
        <v>#N/A</v>
      </c>
      <c r="N95" s="74" t="e">
        <f t="shared" si="5"/>
        <v>#N/A</v>
      </c>
      <c r="O95" s="76">
        <v>0.04</v>
      </c>
    </row>
    <row r="96" spans="7:15" x14ac:dyDescent="0.35">
      <c r="G96" s="2">
        <v>75</v>
      </c>
      <c r="H96" s="74" t="e">
        <v>#N/A</v>
      </c>
      <c r="I96" s="74" t="e">
        <v>#N/A</v>
      </c>
      <c r="J96" s="74" t="e" cm="1">
        <f t="array" ref="J96">_xlfn.LET(_xlpm.m, G96,
     _xlpm.rfr, I96,
     _xlpm.sm_up, INDEX(R.IRR_SM_UP, _xlpm.m),
     _xlpm.bm_up, INDEX(R.IRR_BM_UP, _xlpm.m),
     _xlpm.rfr * (1 + _xlpm.sm_up) + _xlpm.bm_up)</f>
        <v>#N/A</v>
      </c>
      <c r="K96" s="74" t="e">
        <f t="shared" si="6"/>
        <v>#N/A</v>
      </c>
      <c r="L96" s="76">
        <v>3.8850000000000003E-2</v>
      </c>
      <c r="M96" s="74" t="e">
        <f t="shared" si="7"/>
        <v>#N/A</v>
      </c>
      <c r="N96" s="74" t="e">
        <f t="shared" si="5"/>
        <v>#N/A</v>
      </c>
      <c r="O96" s="76">
        <v>3.993E-2</v>
      </c>
    </row>
    <row r="97" spans="7:15" x14ac:dyDescent="0.35">
      <c r="G97" s="7">
        <v>76</v>
      </c>
      <c r="H97" s="74" t="e">
        <v>#N/A</v>
      </c>
      <c r="I97" s="74" t="e">
        <v>#N/A</v>
      </c>
      <c r="J97" s="74" t="e" cm="1">
        <f t="array" ref="J97">_xlfn.LET(_xlpm.m, G97,
     _xlpm.rfr, I97,
     _xlpm.sm_up, INDEX(R.IRR_SM_UP, _xlpm.m),
     _xlpm.bm_up, INDEX(R.IRR_BM_UP, _xlpm.m),
     _xlpm.rfr * (1 + _xlpm.sm_up) + _xlpm.bm_up)</f>
        <v>#N/A</v>
      </c>
      <c r="K97" s="74" t="e">
        <f t="shared" si="6"/>
        <v>#N/A</v>
      </c>
      <c r="L97" s="76">
        <v>3.8789999999999998E-2</v>
      </c>
      <c r="M97" s="74" t="e">
        <f t="shared" si="7"/>
        <v>#N/A</v>
      </c>
      <c r="N97" s="74" t="e">
        <f t="shared" si="5"/>
        <v>#N/A</v>
      </c>
      <c r="O97" s="76">
        <v>3.986E-2</v>
      </c>
    </row>
    <row r="98" spans="7:15" x14ac:dyDescent="0.35">
      <c r="G98" s="7">
        <v>77</v>
      </c>
      <c r="H98" s="74" t="e">
        <v>#N/A</v>
      </c>
      <c r="I98" s="74" t="e">
        <v>#N/A</v>
      </c>
      <c r="J98" s="74" t="e" cm="1">
        <f t="array" ref="J98">_xlfn.LET(_xlpm.m, G98,
     _xlpm.rfr, I98,
     _xlpm.sm_up, INDEX(R.IRR_SM_UP, _xlpm.m),
     _xlpm.bm_up, INDEX(R.IRR_BM_UP, _xlpm.m),
     _xlpm.rfr * (1 + _xlpm.sm_up) + _xlpm.bm_up)</f>
        <v>#N/A</v>
      </c>
      <c r="K98" s="74" t="e">
        <f t="shared" si="6"/>
        <v>#N/A</v>
      </c>
      <c r="L98" s="76">
        <v>3.8730000000000001E-2</v>
      </c>
      <c r="M98" s="74" t="e">
        <f t="shared" si="7"/>
        <v>#N/A</v>
      </c>
      <c r="N98" s="74" t="e">
        <f t="shared" si="5"/>
        <v>#N/A</v>
      </c>
      <c r="O98" s="76">
        <v>3.9789999999999999E-2</v>
      </c>
    </row>
    <row r="99" spans="7:15" x14ac:dyDescent="0.35">
      <c r="G99" s="7">
        <v>78</v>
      </c>
      <c r="H99" s="74" t="e">
        <v>#N/A</v>
      </c>
      <c r="I99" s="74" t="e">
        <v>#N/A</v>
      </c>
      <c r="J99" s="74" t="e" cm="1">
        <f t="array" ref="J99">_xlfn.LET(_xlpm.m, G99,
     _xlpm.rfr, I99,
     _xlpm.sm_up, INDEX(R.IRR_SM_UP, _xlpm.m),
     _xlpm.bm_up, INDEX(R.IRR_BM_UP, _xlpm.m),
     _xlpm.rfr * (1 + _xlpm.sm_up) + _xlpm.bm_up)</f>
        <v>#N/A</v>
      </c>
      <c r="K99" s="74" t="e">
        <f t="shared" si="6"/>
        <v>#N/A</v>
      </c>
      <c r="L99" s="76">
        <v>3.8679999999999999E-2</v>
      </c>
      <c r="M99" s="74" t="e">
        <f t="shared" si="7"/>
        <v>#N/A</v>
      </c>
      <c r="N99" s="74" t="e">
        <f t="shared" si="5"/>
        <v>#N/A</v>
      </c>
      <c r="O99" s="76">
        <v>3.9719999999999998E-2</v>
      </c>
    </row>
    <row r="100" spans="7:15" x14ac:dyDescent="0.35">
      <c r="G100" s="2">
        <v>79</v>
      </c>
      <c r="H100" s="74" t="e">
        <v>#N/A</v>
      </c>
      <c r="I100" s="74" t="e">
        <v>#N/A</v>
      </c>
      <c r="J100" s="74" t="e" cm="1">
        <f t="array" ref="J100">_xlfn.LET(_xlpm.m, G100,
     _xlpm.rfr, I100,
     _xlpm.sm_up, INDEX(R.IRR_SM_UP, _xlpm.m),
     _xlpm.bm_up, INDEX(R.IRR_BM_UP, _xlpm.m),
     _xlpm.rfr * (1 + _xlpm.sm_up) + _xlpm.bm_up)</f>
        <v>#N/A</v>
      </c>
      <c r="K100" s="74" t="e">
        <f t="shared" si="6"/>
        <v>#N/A</v>
      </c>
      <c r="L100" s="76">
        <v>3.8629999999999998E-2</v>
      </c>
      <c r="M100" s="74" t="e">
        <f t="shared" si="7"/>
        <v>#N/A</v>
      </c>
      <c r="N100" s="74" t="e">
        <f t="shared" si="5"/>
        <v>#N/A</v>
      </c>
      <c r="O100" s="76">
        <v>3.9649999999999998E-2</v>
      </c>
    </row>
    <row r="101" spans="7:15" x14ac:dyDescent="0.35">
      <c r="G101" s="2">
        <v>80</v>
      </c>
      <c r="H101" s="74" t="e">
        <v>#N/A</v>
      </c>
      <c r="I101" s="74" t="e">
        <v>#N/A</v>
      </c>
      <c r="J101" s="74" t="e" cm="1">
        <f t="array" ref="J101">_xlfn.LET(_xlpm.m, G101,
     _xlpm.rfr, I101,
     _xlpm.sm_up, INDEX(R.IRR_SM_UP, _xlpm.m),
     _xlpm.bm_up, INDEX(R.IRR_BM_UP, _xlpm.m),
     _xlpm.rfr * (1 + _xlpm.sm_up) + _xlpm.bm_up)</f>
        <v>#N/A</v>
      </c>
      <c r="K101" s="74" t="e">
        <f t="shared" si="6"/>
        <v>#N/A</v>
      </c>
      <c r="L101" s="76">
        <v>3.8580000000000003E-2</v>
      </c>
      <c r="M101" s="74" t="e">
        <f t="shared" si="7"/>
        <v>#N/A</v>
      </c>
      <c r="N101" s="74" t="e">
        <f t="shared" si="5"/>
        <v>#N/A</v>
      </c>
      <c r="O101" s="76">
        <v>3.959E-2</v>
      </c>
    </row>
    <row r="102" spans="7:15" x14ac:dyDescent="0.35">
      <c r="G102" s="7">
        <v>81</v>
      </c>
      <c r="H102" s="74" t="e">
        <v>#N/A</v>
      </c>
      <c r="I102" s="74" t="e">
        <v>#N/A</v>
      </c>
      <c r="J102" s="74" t="e" cm="1">
        <f t="array" ref="J102">_xlfn.LET(_xlpm.m, G102,
     _xlpm.rfr, I102,
     _xlpm.sm_up, INDEX(R.IRR_SM_UP, _xlpm.m),
     _xlpm.bm_up, INDEX(R.IRR_BM_UP, _xlpm.m),
     _xlpm.rfr * (1 + _xlpm.sm_up) + _xlpm.bm_up)</f>
        <v>#N/A</v>
      </c>
      <c r="K102" s="74" t="e">
        <f t="shared" si="6"/>
        <v>#N/A</v>
      </c>
      <c r="L102" s="76">
        <v>3.8530000000000002E-2</v>
      </c>
      <c r="M102" s="74" t="e">
        <f t="shared" si="7"/>
        <v>#N/A</v>
      </c>
      <c r="N102" s="74" t="e">
        <f t="shared" si="5"/>
        <v>#N/A</v>
      </c>
      <c r="O102" s="76">
        <v>3.9530000000000003E-2</v>
      </c>
    </row>
    <row r="103" spans="7:15" x14ac:dyDescent="0.35">
      <c r="G103" s="7">
        <v>82</v>
      </c>
      <c r="H103" s="74" t="e">
        <v>#N/A</v>
      </c>
      <c r="I103" s="74" t="e">
        <v>#N/A</v>
      </c>
      <c r="J103" s="74" t="e" cm="1">
        <f t="array" ref="J103">_xlfn.LET(_xlpm.m, G103,
     _xlpm.rfr, I103,
     _xlpm.sm_up, INDEX(R.IRR_SM_UP, _xlpm.m),
     _xlpm.bm_up, INDEX(R.IRR_BM_UP, _xlpm.m),
     _xlpm.rfr * (1 + _xlpm.sm_up) + _xlpm.bm_up)</f>
        <v>#N/A</v>
      </c>
      <c r="K103" s="74" t="e">
        <f t="shared" si="6"/>
        <v>#N/A</v>
      </c>
      <c r="L103" s="76">
        <v>3.848E-2</v>
      </c>
      <c r="M103" s="74" t="e">
        <f t="shared" si="7"/>
        <v>#N/A</v>
      </c>
      <c r="N103" s="74" t="e">
        <f t="shared" si="5"/>
        <v>#N/A</v>
      </c>
      <c r="O103" s="76">
        <v>3.9460000000000002E-2</v>
      </c>
    </row>
    <row r="104" spans="7:15" x14ac:dyDescent="0.35">
      <c r="G104" s="7">
        <v>83</v>
      </c>
      <c r="H104" s="74" t="e">
        <v>#N/A</v>
      </c>
      <c r="I104" s="74" t="e">
        <v>#N/A</v>
      </c>
      <c r="J104" s="74" t="e" cm="1">
        <f t="array" ref="J104">_xlfn.LET(_xlpm.m, G104,
     _xlpm.rfr, I104,
     _xlpm.sm_up, INDEX(R.IRR_SM_UP, _xlpm.m),
     _xlpm.bm_up, INDEX(R.IRR_BM_UP, _xlpm.m),
     _xlpm.rfr * (1 + _xlpm.sm_up) + _xlpm.bm_up)</f>
        <v>#N/A</v>
      </c>
      <c r="K104" s="74" t="e">
        <f t="shared" si="6"/>
        <v>#N/A</v>
      </c>
      <c r="L104" s="76">
        <v>3.8429999999999999E-2</v>
      </c>
      <c r="M104" s="74" t="e">
        <f t="shared" si="7"/>
        <v>#N/A</v>
      </c>
      <c r="N104" s="74" t="e">
        <f t="shared" si="5"/>
        <v>#N/A</v>
      </c>
      <c r="O104" s="76">
        <v>3.9410000000000001E-2</v>
      </c>
    </row>
    <row r="105" spans="7:15" x14ac:dyDescent="0.35">
      <c r="G105" s="2">
        <v>84</v>
      </c>
      <c r="H105" s="74" t="e">
        <v>#N/A</v>
      </c>
      <c r="I105" s="74" t="e">
        <v>#N/A</v>
      </c>
      <c r="J105" s="74" t="e" cm="1">
        <f t="array" ref="J105">_xlfn.LET(_xlpm.m, G105,
     _xlpm.rfr, I105,
     _xlpm.sm_up, INDEX(R.IRR_SM_UP, _xlpm.m),
     _xlpm.bm_up, INDEX(R.IRR_BM_UP, _xlpm.m),
     _xlpm.rfr * (1 + _xlpm.sm_up) + _xlpm.bm_up)</f>
        <v>#N/A</v>
      </c>
      <c r="K105" s="74" t="e">
        <f t="shared" si="6"/>
        <v>#N/A</v>
      </c>
      <c r="L105" s="76">
        <v>3.8379999999999997E-2</v>
      </c>
      <c r="M105" s="74" t="e">
        <f t="shared" si="7"/>
        <v>#N/A</v>
      </c>
      <c r="N105" s="74" t="e">
        <f t="shared" si="5"/>
        <v>#N/A</v>
      </c>
      <c r="O105" s="76">
        <v>3.9350000000000003E-2</v>
      </c>
    </row>
    <row r="106" spans="7:15" x14ac:dyDescent="0.35">
      <c r="G106" s="2">
        <v>85</v>
      </c>
      <c r="H106" s="74" t="e">
        <v>#N/A</v>
      </c>
      <c r="I106" s="74" t="e">
        <v>#N/A</v>
      </c>
      <c r="J106" s="74" t="e" cm="1">
        <f t="array" ref="J106">_xlfn.LET(_xlpm.m, G106,
     _xlpm.rfr, I106,
     _xlpm.sm_up, INDEX(R.IRR_SM_UP, _xlpm.m),
     _xlpm.bm_up, INDEX(R.IRR_BM_UP, _xlpm.m),
     _xlpm.rfr * (1 + _xlpm.sm_up) + _xlpm.bm_up)</f>
        <v>#N/A</v>
      </c>
      <c r="K106" s="74" t="e">
        <f t="shared" si="6"/>
        <v>#N/A</v>
      </c>
      <c r="L106" s="76">
        <v>3.8339999999999999E-2</v>
      </c>
      <c r="M106" s="74" t="e">
        <f t="shared" si="7"/>
        <v>#N/A</v>
      </c>
      <c r="N106" s="74" t="e">
        <f t="shared" si="5"/>
        <v>#N/A</v>
      </c>
      <c r="O106" s="76">
        <v>3.9289999999999999E-2</v>
      </c>
    </row>
    <row r="107" spans="7:15" x14ac:dyDescent="0.35">
      <c r="G107" s="7">
        <v>86</v>
      </c>
      <c r="H107" s="74" t="e">
        <v>#N/A</v>
      </c>
      <c r="I107" s="74" t="e">
        <v>#N/A</v>
      </c>
      <c r="J107" s="74" t="e" cm="1">
        <f t="array" ref="J107">_xlfn.LET(_xlpm.m, G107,
     _xlpm.rfr, I107,
     _xlpm.sm_up, INDEX(R.IRR_SM_UP, _xlpm.m),
     _xlpm.bm_up, INDEX(R.IRR_BM_UP, _xlpm.m),
     _xlpm.rfr * (1 + _xlpm.sm_up) + _xlpm.bm_up)</f>
        <v>#N/A</v>
      </c>
      <c r="K107" s="74" t="e">
        <f t="shared" si="6"/>
        <v>#N/A</v>
      </c>
      <c r="L107" s="76">
        <v>3.8289999999999998E-2</v>
      </c>
      <c r="M107" s="74" t="e">
        <f t="shared" si="7"/>
        <v>#N/A</v>
      </c>
      <c r="N107" s="74" t="e">
        <f t="shared" si="5"/>
        <v>#N/A</v>
      </c>
      <c r="O107" s="76">
        <v>3.9230000000000001E-2</v>
      </c>
    </row>
    <row r="108" spans="7:15" x14ac:dyDescent="0.35">
      <c r="G108" s="7">
        <v>87</v>
      </c>
      <c r="H108" s="74" t="e">
        <v>#N/A</v>
      </c>
      <c r="I108" s="74" t="e">
        <v>#N/A</v>
      </c>
      <c r="J108" s="74" t="e" cm="1">
        <f t="array" ref="J108">_xlfn.LET(_xlpm.m, G108,
     _xlpm.rfr, I108,
     _xlpm.sm_up, INDEX(R.IRR_SM_UP, _xlpm.m),
     _xlpm.bm_up, INDEX(R.IRR_BM_UP, _xlpm.m),
     _xlpm.rfr * (1 + _xlpm.sm_up) + _xlpm.bm_up)</f>
        <v>#N/A</v>
      </c>
      <c r="K108" s="74" t="e">
        <f t="shared" si="6"/>
        <v>#N/A</v>
      </c>
      <c r="L108" s="76">
        <v>3.8249999999999999E-2</v>
      </c>
      <c r="M108" s="74" t="e">
        <f t="shared" si="7"/>
        <v>#N/A</v>
      </c>
      <c r="N108" s="74" t="e">
        <f t="shared" si="5"/>
        <v>#N/A</v>
      </c>
      <c r="O108" s="76">
        <v>3.918E-2</v>
      </c>
    </row>
    <row r="109" spans="7:15" x14ac:dyDescent="0.35">
      <c r="G109" s="7">
        <v>88</v>
      </c>
      <c r="H109" s="74" t="e">
        <v>#N/A</v>
      </c>
      <c r="I109" s="74" t="e">
        <v>#N/A</v>
      </c>
      <c r="J109" s="74" t="e" cm="1">
        <f t="array" ref="J109">_xlfn.LET(_xlpm.m, G109,
     _xlpm.rfr, I109,
     _xlpm.sm_up, INDEX(R.IRR_SM_UP, _xlpm.m),
     _xlpm.bm_up, INDEX(R.IRR_BM_UP, _xlpm.m),
     _xlpm.rfr * (1 + _xlpm.sm_up) + _xlpm.bm_up)</f>
        <v>#N/A</v>
      </c>
      <c r="K109" s="74" t="e">
        <f t="shared" si="6"/>
        <v>#N/A</v>
      </c>
      <c r="L109" s="76">
        <v>3.8199999999999998E-2</v>
      </c>
      <c r="M109" s="74" t="e">
        <f t="shared" si="7"/>
        <v>#N/A</v>
      </c>
      <c r="N109" s="74" t="e">
        <f t="shared" si="5"/>
        <v>#N/A</v>
      </c>
      <c r="O109" s="76">
        <v>3.9129999999999998E-2</v>
      </c>
    </row>
    <row r="110" spans="7:15" x14ac:dyDescent="0.35">
      <c r="G110" s="2">
        <v>89</v>
      </c>
      <c r="H110" s="74" t="e">
        <v>#N/A</v>
      </c>
      <c r="I110" s="74" t="e">
        <v>#N/A</v>
      </c>
      <c r="J110" s="74" t="e" cm="1">
        <f t="array" ref="J110">_xlfn.LET(_xlpm.m, G110,
     _xlpm.rfr, I110,
     _xlpm.sm_up, INDEX(R.IRR_SM_UP, _xlpm.m),
     _xlpm.bm_up, INDEX(R.IRR_BM_UP, _xlpm.m),
     _xlpm.rfr * (1 + _xlpm.sm_up) + _xlpm.bm_up)</f>
        <v>#N/A</v>
      </c>
      <c r="K110" s="74" t="e">
        <f t="shared" si="6"/>
        <v>#N/A</v>
      </c>
      <c r="L110" s="76">
        <v>3.8159999999999999E-2</v>
      </c>
      <c r="M110" s="74" t="e">
        <f t="shared" si="7"/>
        <v>#N/A</v>
      </c>
      <c r="N110" s="74" t="e">
        <f t="shared" si="5"/>
        <v>#N/A</v>
      </c>
      <c r="O110" s="76">
        <v>3.9070000000000001E-2</v>
      </c>
    </row>
    <row r="111" spans="7:15" x14ac:dyDescent="0.35">
      <c r="G111" s="2">
        <v>90</v>
      </c>
      <c r="H111" s="74" t="e">
        <v>#N/A</v>
      </c>
      <c r="I111" s="74" t="e">
        <v>#N/A</v>
      </c>
      <c r="J111" s="74" t="e" cm="1">
        <f t="array" ref="J111">_xlfn.LET(_xlpm.m, G111,
     _xlpm.rfr, I111,
     _xlpm.sm_up, INDEX(R.IRR_SM_UP, _xlpm.m),
     _xlpm.bm_up, INDEX(R.IRR_BM_UP, _xlpm.m),
     _xlpm.rfr * (1 + _xlpm.sm_up) + _xlpm.bm_up)</f>
        <v>#N/A</v>
      </c>
      <c r="K111" s="74" t="e">
        <f t="shared" si="6"/>
        <v>#N/A</v>
      </c>
      <c r="L111" s="76">
        <v>3.8120000000000001E-2</v>
      </c>
      <c r="M111" s="74" t="e">
        <f t="shared" si="7"/>
        <v>#N/A</v>
      </c>
      <c r="N111" s="74" t="e">
        <f t="shared" si="5"/>
        <v>#N/A</v>
      </c>
      <c r="O111" s="76">
        <v>3.9019999999999999E-2</v>
      </c>
    </row>
    <row r="112" spans="7:15" x14ac:dyDescent="0.35">
      <c r="G112" s="7">
        <v>91</v>
      </c>
      <c r="H112" s="74" t="e">
        <v>#N/A</v>
      </c>
      <c r="I112" s="74" t="e">
        <v>#N/A</v>
      </c>
      <c r="J112" s="74" t="e" cm="1">
        <f t="array" ref="J112">_xlfn.LET(_xlpm.m, G112,
     _xlpm.rfr, I112,
     _xlpm.sm_up, INDEX(R.IRR_SM_UP, _xlpm.m),
     _xlpm.bm_up, INDEX(R.IRR_BM_UP, _xlpm.m),
     _xlpm.rfr * (1 + _xlpm.sm_up) + _xlpm.bm_up)</f>
        <v>#N/A</v>
      </c>
      <c r="K112" s="74" t="e">
        <f t="shared" si="6"/>
        <v>#N/A</v>
      </c>
      <c r="L112" s="76">
        <v>3.8080000000000003E-2</v>
      </c>
      <c r="M112" s="74" t="e">
        <f t="shared" si="7"/>
        <v>#N/A</v>
      </c>
      <c r="N112" s="74" t="e">
        <f t="shared" si="5"/>
        <v>#N/A</v>
      </c>
      <c r="O112" s="76">
        <v>3.8969999999999998E-2</v>
      </c>
    </row>
    <row r="113" spans="7:15" x14ac:dyDescent="0.35">
      <c r="G113" s="7">
        <v>92</v>
      </c>
      <c r="H113" s="74" t="e">
        <v>#N/A</v>
      </c>
      <c r="I113" s="74" t="e">
        <v>#N/A</v>
      </c>
      <c r="J113" s="74" t="e" cm="1">
        <f t="array" ref="J113">_xlfn.LET(_xlpm.m, G113,
     _xlpm.rfr, I113,
     _xlpm.sm_up, INDEX(R.IRR_SM_UP, _xlpm.m),
     _xlpm.bm_up, INDEX(R.IRR_BM_UP, _xlpm.m),
     _xlpm.rfr * (1 + _xlpm.sm_up) + _xlpm.bm_up)</f>
        <v>#N/A</v>
      </c>
      <c r="K113" s="74" t="e">
        <f t="shared" si="6"/>
        <v>#N/A</v>
      </c>
      <c r="L113" s="76">
        <v>3.8039999999999997E-2</v>
      </c>
      <c r="M113" s="74" t="e">
        <f t="shared" si="7"/>
        <v>#N/A</v>
      </c>
      <c r="N113" s="74" t="e">
        <f t="shared" si="5"/>
        <v>#N/A</v>
      </c>
      <c r="O113" s="76">
        <v>3.8920000000000003E-2</v>
      </c>
    </row>
    <row r="114" spans="7:15" x14ac:dyDescent="0.35">
      <c r="G114" s="7">
        <v>93</v>
      </c>
      <c r="H114" s="74" t="e">
        <v>#N/A</v>
      </c>
      <c r="I114" s="74" t="e">
        <v>#N/A</v>
      </c>
      <c r="J114" s="74" t="e" cm="1">
        <f t="array" ref="J114">_xlfn.LET(_xlpm.m, G114,
     _xlpm.rfr, I114,
     _xlpm.sm_up, INDEX(R.IRR_SM_UP, _xlpm.m),
     _xlpm.bm_up, INDEX(R.IRR_BM_UP, _xlpm.m),
     _xlpm.rfr * (1 + _xlpm.sm_up) + _xlpm.bm_up)</f>
        <v>#N/A</v>
      </c>
      <c r="K114" s="74" t="e">
        <f t="shared" si="6"/>
        <v>#N/A</v>
      </c>
      <c r="L114" s="76">
        <v>3.8010000000000002E-2</v>
      </c>
      <c r="M114" s="74" t="e">
        <f t="shared" si="7"/>
        <v>#N/A</v>
      </c>
      <c r="N114" s="74" t="e">
        <f t="shared" si="5"/>
        <v>#N/A</v>
      </c>
      <c r="O114" s="76">
        <v>3.8879999999999998E-2</v>
      </c>
    </row>
    <row r="115" spans="7:15" x14ac:dyDescent="0.35">
      <c r="G115" s="2">
        <v>94</v>
      </c>
      <c r="H115" s="74" t="e">
        <v>#N/A</v>
      </c>
      <c r="I115" s="74" t="e">
        <v>#N/A</v>
      </c>
      <c r="J115" s="74" t="e" cm="1">
        <f t="array" ref="J115">_xlfn.LET(_xlpm.m, G115,
     _xlpm.rfr, I115,
     _xlpm.sm_up, INDEX(R.IRR_SM_UP, _xlpm.m),
     _xlpm.bm_up, INDEX(R.IRR_BM_UP, _xlpm.m),
     _xlpm.rfr * (1 + _xlpm.sm_up) + _xlpm.bm_up)</f>
        <v>#N/A</v>
      </c>
      <c r="K115" s="74" t="e">
        <f t="shared" si="6"/>
        <v>#N/A</v>
      </c>
      <c r="L115" s="76">
        <v>3.7969999999999997E-2</v>
      </c>
      <c r="M115" s="74" t="e">
        <f t="shared" si="7"/>
        <v>#N/A</v>
      </c>
      <c r="N115" s="74" t="e">
        <f t="shared" si="5"/>
        <v>#N/A</v>
      </c>
      <c r="O115" s="76">
        <v>3.8830000000000003E-2</v>
      </c>
    </row>
    <row r="116" spans="7:15" x14ac:dyDescent="0.35">
      <c r="G116" s="2">
        <v>95</v>
      </c>
      <c r="H116" s="74" t="e">
        <v>#N/A</v>
      </c>
      <c r="I116" s="74" t="e">
        <v>#N/A</v>
      </c>
      <c r="J116" s="74" t="e" cm="1">
        <f t="array" ref="J116">_xlfn.LET(_xlpm.m, G116,
     _xlpm.rfr, I116,
     _xlpm.sm_up, INDEX(R.IRR_SM_UP, _xlpm.m),
     _xlpm.bm_up, INDEX(R.IRR_BM_UP, _xlpm.m),
     _xlpm.rfr * (1 + _xlpm.sm_up) + _xlpm.bm_up)</f>
        <v>#N/A</v>
      </c>
      <c r="K116" s="74" t="e">
        <f t="shared" si="6"/>
        <v>#N/A</v>
      </c>
      <c r="L116" s="76">
        <v>3.7929999999999998E-2</v>
      </c>
      <c r="M116" s="74" t="e">
        <f t="shared" si="7"/>
        <v>#N/A</v>
      </c>
      <c r="N116" s="74" t="e">
        <f t="shared" si="5"/>
        <v>#N/A</v>
      </c>
      <c r="O116" s="76">
        <v>3.8780000000000002E-2</v>
      </c>
    </row>
    <row r="117" spans="7:15" x14ac:dyDescent="0.35">
      <c r="G117" s="7">
        <v>96</v>
      </c>
      <c r="H117" s="74" t="e">
        <v>#N/A</v>
      </c>
      <c r="I117" s="74" t="e">
        <v>#N/A</v>
      </c>
      <c r="J117" s="74" t="e" cm="1">
        <f t="array" ref="J117">_xlfn.LET(_xlpm.m, G117,
     _xlpm.rfr, I117,
     _xlpm.sm_up, INDEX(R.IRR_SM_UP, _xlpm.m),
     _xlpm.bm_up, INDEX(R.IRR_BM_UP, _xlpm.m),
     _xlpm.rfr * (1 + _xlpm.sm_up) + _xlpm.bm_up)</f>
        <v>#N/A</v>
      </c>
      <c r="K117" s="74" t="e">
        <f t="shared" si="6"/>
        <v>#N/A</v>
      </c>
      <c r="L117" s="76">
        <v>3.7900000000000003E-2</v>
      </c>
      <c r="M117" s="74" t="e">
        <f t="shared" si="7"/>
        <v>#N/A</v>
      </c>
      <c r="N117" s="74" t="e">
        <f t="shared" si="5"/>
        <v>#N/A</v>
      </c>
      <c r="O117" s="76">
        <v>3.8739999999999997E-2</v>
      </c>
    </row>
    <row r="118" spans="7:15" x14ac:dyDescent="0.35">
      <c r="G118" s="7">
        <v>97</v>
      </c>
      <c r="H118" s="74" t="e">
        <v>#N/A</v>
      </c>
      <c r="I118" s="74" t="e">
        <v>#N/A</v>
      </c>
      <c r="J118" s="74" t="e" cm="1">
        <f t="array" ref="J118">_xlfn.LET(_xlpm.m, G118,
     _xlpm.rfr, I118,
     _xlpm.sm_up, INDEX(R.IRR_SM_UP, _xlpm.m),
     _xlpm.bm_up, INDEX(R.IRR_BM_UP, _xlpm.m),
     _xlpm.rfr * (1 + _xlpm.sm_up) + _xlpm.bm_up)</f>
        <v>#N/A</v>
      </c>
      <c r="K118" s="74" t="e">
        <f t="shared" si="6"/>
        <v>#N/A</v>
      </c>
      <c r="L118" s="76">
        <v>3.7859999999999998E-2</v>
      </c>
      <c r="M118" s="74" t="e">
        <f t="shared" si="7"/>
        <v>#N/A</v>
      </c>
      <c r="N118" s="74" t="e">
        <f t="shared" ref="N118:N149" si="8">M118+LN(1+V.TOTAL_VA)</f>
        <v>#N/A</v>
      </c>
      <c r="O118" s="76">
        <v>3.8699999999999998E-2</v>
      </c>
    </row>
    <row r="119" spans="7:15" x14ac:dyDescent="0.35">
      <c r="G119" s="7">
        <v>98</v>
      </c>
      <c r="H119" s="74" t="e">
        <v>#N/A</v>
      </c>
      <c r="I119" s="74" t="e">
        <v>#N/A</v>
      </c>
      <c r="J119" s="74" t="e" cm="1">
        <f t="array" ref="J119">_xlfn.LET(_xlpm.m, G119,
     _xlpm.rfr, I119,
     _xlpm.sm_up, INDEX(R.IRR_SM_UP, _xlpm.m),
     _xlpm.bm_up, INDEX(R.IRR_BM_UP, _xlpm.m),
     _xlpm.rfr * (1 + _xlpm.sm_up) + _xlpm.bm_up)</f>
        <v>#N/A</v>
      </c>
      <c r="K119" s="74" t="e">
        <f t="shared" si="6"/>
        <v>#N/A</v>
      </c>
      <c r="L119" s="76">
        <v>3.7830000000000003E-2</v>
      </c>
      <c r="M119" s="74" t="e">
        <f t="shared" ref="M119:M150" si="9">G119*K119-G118*K118</f>
        <v>#N/A</v>
      </c>
      <c r="N119" s="74" t="e">
        <f t="shared" si="8"/>
        <v>#N/A</v>
      </c>
      <c r="O119" s="76">
        <v>3.8649999999999997E-2</v>
      </c>
    </row>
    <row r="120" spans="7:15" x14ac:dyDescent="0.35">
      <c r="G120" s="2">
        <v>99</v>
      </c>
      <c r="H120" s="74" t="e">
        <v>#N/A</v>
      </c>
      <c r="I120" s="74" t="e">
        <v>#N/A</v>
      </c>
      <c r="J120" s="74" t="e" cm="1">
        <f t="array" ref="J120">_xlfn.LET(_xlpm.m, G120,
     _xlpm.rfr, I120,
     _xlpm.sm_up, INDEX(R.IRR_SM_UP, _xlpm.m),
     _xlpm.bm_up, INDEX(R.IRR_BM_UP, _xlpm.m),
     _xlpm.rfr * (1 + _xlpm.sm_up) + _xlpm.bm_up)</f>
        <v>#N/A</v>
      </c>
      <c r="K120" s="74" t="e">
        <f t="shared" si="6"/>
        <v>#N/A</v>
      </c>
      <c r="L120" s="76">
        <v>3.7789999999999997E-2</v>
      </c>
      <c r="M120" s="74" t="e">
        <f t="shared" si="9"/>
        <v>#N/A</v>
      </c>
      <c r="N120" s="74" t="e">
        <f t="shared" si="8"/>
        <v>#N/A</v>
      </c>
      <c r="O120" s="76">
        <v>3.8609999999999998E-2</v>
      </c>
    </row>
    <row r="121" spans="7:15" x14ac:dyDescent="0.35">
      <c r="G121" s="2">
        <v>100</v>
      </c>
      <c r="H121" s="74" t="e">
        <v>#N/A</v>
      </c>
      <c r="I121" s="74" t="e">
        <v>#N/A</v>
      </c>
      <c r="J121" s="74" t="e" cm="1">
        <f t="array" ref="J121">_xlfn.LET(_xlpm.m, G121,
     _xlpm.rfr, I121,
     _xlpm.sm_up, INDEX(R.IRR_SM_UP, _xlpm.m),
     _xlpm.bm_up, INDEX(R.IRR_BM_UP, _xlpm.m),
     _xlpm.rfr * (1 + _xlpm.sm_up) + _xlpm.bm_up)</f>
        <v>#N/A</v>
      </c>
      <c r="K121" s="74" t="e">
        <f t="shared" si="6"/>
        <v>#N/A</v>
      </c>
      <c r="L121" s="76">
        <v>3.7760000000000002E-2</v>
      </c>
      <c r="M121" s="74" t="e">
        <f t="shared" si="9"/>
        <v>#N/A</v>
      </c>
      <c r="N121" s="74" t="e">
        <f t="shared" si="8"/>
        <v>#N/A</v>
      </c>
      <c r="O121" s="76">
        <v>3.857E-2</v>
      </c>
    </row>
    <row r="122" spans="7:15" x14ac:dyDescent="0.35">
      <c r="G122" s="7">
        <v>101</v>
      </c>
      <c r="H122" s="74" t="e">
        <v>#N/A</v>
      </c>
      <c r="I122" s="74" t="e">
        <v>#N/A</v>
      </c>
      <c r="J122" s="74" t="e" cm="1">
        <f t="array" ref="J122">_xlfn.LET(_xlpm.m, G122,
     _xlpm.rfr, I122,
     _xlpm.sm_up, INDEX(R.IRR_SM_UP, _xlpm.m),
     _xlpm.bm_up, INDEX(R.IRR_BM_UP, _xlpm.m),
     _xlpm.rfr * (1 + _xlpm.sm_up) + _xlpm.bm_up)</f>
        <v>#N/A</v>
      </c>
      <c r="K122" s="74" t="e">
        <f t="shared" si="6"/>
        <v>#N/A</v>
      </c>
      <c r="L122" s="76">
        <v>3.773E-2</v>
      </c>
      <c r="M122" s="74" t="e">
        <f t="shared" si="9"/>
        <v>#N/A</v>
      </c>
      <c r="N122" s="74" t="e">
        <f t="shared" si="8"/>
        <v>#N/A</v>
      </c>
      <c r="O122" s="76">
        <v>3.8530000000000002E-2</v>
      </c>
    </row>
    <row r="123" spans="7:15" x14ac:dyDescent="0.35">
      <c r="G123" s="7">
        <v>102</v>
      </c>
      <c r="H123" s="74" t="e">
        <v>#N/A</v>
      </c>
      <c r="I123" s="74" t="e">
        <v>#N/A</v>
      </c>
      <c r="J123" s="74" t="e" cm="1">
        <f t="array" ref="J123">_xlfn.LET(_xlpm.m, G123,
     _xlpm.rfr, I123,
     _xlpm.sm_up, INDEX(R.IRR_SM_UP, _xlpm.m),
     _xlpm.bm_up, INDEX(R.IRR_BM_UP, _xlpm.m),
     _xlpm.rfr * (1 + _xlpm.sm_up) + _xlpm.bm_up)</f>
        <v>#N/A</v>
      </c>
      <c r="K123" s="74" t="e">
        <f t="shared" si="6"/>
        <v>#N/A</v>
      </c>
      <c r="L123" s="76">
        <v>3.7699999999999997E-2</v>
      </c>
      <c r="M123" s="74" t="e">
        <f t="shared" si="9"/>
        <v>#N/A</v>
      </c>
      <c r="N123" s="74" t="e">
        <f t="shared" si="8"/>
        <v>#N/A</v>
      </c>
      <c r="O123" s="76">
        <v>3.8490000000000003E-2</v>
      </c>
    </row>
    <row r="124" spans="7:15" x14ac:dyDescent="0.35">
      <c r="G124" s="7">
        <v>103</v>
      </c>
      <c r="H124" s="74" t="e">
        <v>#N/A</v>
      </c>
      <c r="I124" s="74" t="e">
        <v>#N/A</v>
      </c>
      <c r="J124" s="74" t="e" cm="1">
        <f t="array" ref="J124">_xlfn.LET(_xlpm.m, G124,
     _xlpm.rfr, I124,
     _xlpm.sm_up, INDEX(R.IRR_SM_UP, _xlpm.m),
     _xlpm.bm_up, INDEX(R.IRR_BM_UP, _xlpm.m),
     _xlpm.rfr * (1 + _xlpm.sm_up) + _xlpm.bm_up)</f>
        <v>#N/A</v>
      </c>
      <c r="K124" s="74" t="e">
        <f t="shared" si="6"/>
        <v>#N/A</v>
      </c>
      <c r="L124" s="76">
        <v>3.7659999999999999E-2</v>
      </c>
      <c r="M124" s="74" t="e">
        <f t="shared" si="9"/>
        <v>#N/A</v>
      </c>
      <c r="N124" s="74" t="e">
        <f t="shared" si="8"/>
        <v>#N/A</v>
      </c>
      <c r="O124" s="76">
        <v>3.8449999999999998E-2</v>
      </c>
    </row>
    <row r="125" spans="7:15" x14ac:dyDescent="0.35">
      <c r="G125" s="2">
        <v>104</v>
      </c>
      <c r="H125" s="74" t="e">
        <v>#N/A</v>
      </c>
      <c r="I125" s="74" t="e">
        <v>#N/A</v>
      </c>
      <c r="J125" s="74" t="e" cm="1">
        <f t="array" ref="J125">_xlfn.LET(_xlpm.m, G125,
     _xlpm.rfr, I125,
     _xlpm.sm_up, INDEX(R.IRR_SM_UP, _xlpm.m),
     _xlpm.bm_up, INDEX(R.IRR_BM_UP, _xlpm.m),
     _xlpm.rfr * (1 + _xlpm.sm_up) + _xlpm.bm_up)</f>
        <v>#N/A</v>
      </c>
      <c r="K125" s="74" t="e">
        <f t="shared" si="6"/>
        <v>#N/A</v>
      </c>
      <c r="L125" s="76">
        <v>3.7629999999999997E-2</v>
      </c>
      <c r="M125" s="74" t="e">
        <f t="shared" si="9"/>
        <v>#N/A</v>
      </c>
      <c r="N125" s="74" t="e">
        <f t="shared" si="8"/>
        <v>#N/A</v>
      </c>
      <c r="O125" s="76">
        <v>3.841E-2</v>
      </c>
    </row>
    <row r="126" spans="7:15" x14ac:dyDescent="0.35">
      <c r="G126" s="2">
        <v>105</v>
      </c>
      <c r="H126" s="74" t="e">
        <v>#N/A</v>
      </c>
      <c r="I126" s="74" t="e">
        <v>#N/A</v>
      </c>
      <c r="J126" s="74" t="e" cm="1">
        <f t="array" ref="J126">_xlfn.LET(_xlpm.m, G126,
     _xlpm.rfr, I126,
     _xlpm.sm_up, INDEX(R.IRR_SM_UP, _xlpm.m),
     _xlpm.bm_up, INDEX(R.IRR_BM_UP, _xlpm.m),
     _xlpm.rfr * (1 + _xlpm.sm_up) + _xlpm.bm_up)</f>
        <v>#N/A</v>
      </c>
      <c r="K126" s="74" t="e">
        <f t="shared" si="6"/>
        <v>#N/A</v>
      </c>
      <c r="L126" s="76">
        <v>3.7600000000000001E-2</v>
      </c>
      <c r="M126" s="74" t="e">
        <f t="shared" si="9"/>
        <v>#N/A</v>
      </c>
      <c r="N126" s="74" t="e">
        <f t="shared" si="8"/>
        <v>#N/A</v>
      </c>
      <c r="O126" s="76">
        <v>3.8379999999999997E-2</v>
      </c>
    </row>
    <row r="127" spans="7:15" x14ac:dyDescent="0.35">
      <c r="G127" s="7">
        <v>106</v>
      </c>
      <c r="H127" s="74" t="e">
        <v>#N/A</v>
      </c>
      <c r="I127" s="74" t="e">
        <v>#N/A</v>
      </c>
      <c r="J127" s="74" t="e" cm="1">
        <f t="array" ref="J127">_xlfn.LET(_xlpm.m, G127,
     _xlpm.rfr, I127,
     _xlpm.sm_up, INDEX(R.IRR_SM_UP, _xlpm.m),
     _xlpm.bm_up, INDEX(R.IRR_BM_UP, _xlpm.m),
     _xlpm.rfr * (1 + _xlpm.sm_up) + _xlpm.bm_up)</f>
        <v>#N/A</v>
      </c>
      <c r="K127" s="74" t="e">
        <f t="shared" si="6"/>
        <v>#N/A</v>
      </c>
      <c r="L127" s="76">
        <v>3.7569999999999999E-2</v>
      </c>
      <c r="M127" s="74" t="e">
        <f t="shared" si="9"/>
        <v>#N/A</v>
      </c>
      <c r="N127" s="74" t="e">
        <f t="shared" si="8"/>
        <v>#N/A</v>
      </c>
      <c r="O127" s="76">
        <v>3.8339999999999999E-2</v>
      </c>
    </row>
    <row r="128" spans="7:15" x14ac:dyDescent="0.35">
      <c r="G128" s="7">
        <v>107</v>
      </c>
      <c r="H128" s="74" t="e">
        <v>#N/A</v>
      </c>
      <c r="I128" s="74" t="e">
        <v>#N/A</v>
      </c>
      <c r="J128" s="74" t="e" cm="1">
        <f t="array" ref="J128">_xlfn.LET(_xlpm.m, G128,
     _xlpm.rfr, I128,
     _xlpm.sm_up, INDEX(R.IRR_SM_UP, _xlpm.m),
     _xlpm.bm_up, INDEX(R.IRR_BM_UP, _xlpm.m),
     _xlpm.rfr * (1 + _xlpm.sm_up) + _xlpm.bm_up)</f>
        <v>#N/A</v>
      </c>
      <c r="K128" s="74" t="e">
        <f t="shared" si="6"/>
        <v>#N/A</v>
      </c>
      <c r="L128" s="76">
        <v>3.755E-2</v>
      </c>
      <c r="M128" s="74" t="e">
        <f t="shared" si="9"/>
        <v>#N/A</v>
      </c>
      <c r="N128" s="74" t="e">
        <f t="shared" si="8"/>
        <v>#N/A</v>
      </c>
      <c r="O128" s="76">
        <v>3.8300000000000001E-2</v>
      </c>
    </row>
    <row r="129" spans="7:15" x14ac:dyDescent="0.35">
      <c r="G129" s="7">
        <v>108</v>
      </c>
      <c r="H129" s="74" t="e">
        <v>#N/A</v>
      </c>
      <c r="I129" s="74" t="e">
        <v>#N/A</v>
      </c>
      <c r="J129" s="74" t="e" cm="1">
        <f t="array" ref="J129">_xlfn.LET(_xlpm.m, G129,
     _xlpm.rfr, I129,
     _xlpm.sm_up, INDEX(R.IRR_SM_UP, _xlpm.m),
     _xlpm.bm_up, INDEX(R.IRR_BM_UP, _xlpm.m),
     _xlpm.rfr * (1 + _xlpm.sm_up) + _xlpm.bm_up)</f>
        <v>#N/A</v>
      </c>
      <c r="K129" s="74" t="e">
        <f t="shared" si="6"/>
        <v>#N/A</v>
      </c>
      <c r="L129" s="76">
        <v>3.7519999999999998E-2</v>
      </c>
      <c r="M129" s="74" t="e">
        <f t="shared" si="9"/>
        <v>#N/A</v>
      </c>
      <c r="N129" s="74" t="e">
        <f t="shared" si="8"/>
        <v>#N/A</v>
      </c>
      <c r="O129" s="76">
        <v>3.8269999999999998E-2</v>
      </c>
    </row>
    <row r="130" spans="7:15" x14ac:dyDescent="0.35">
      <c r="G130" s="2">
        <v>109</v>
      </c>
      <c r="H130" s="74" t="e">
        <v>#N/A</v>
      </c>
      <c r="I130" s="74" t="e">
        <v>#N/A</v>
      </c>
      <c r="J130" s="74" t="e" cm="1">
        <f t="array" ref="J130">_xlfn.LET(_xlpm.m, G130,
     _xlpm.rfr, I130,
     _xlpm.sm_up, INDEX(R.IRR_SM_UP, _xlpm.m),
     _xlpm.bm_up, INDEX(R.IRR_BM_UP, _xlpm.m),
     _xlpm.rfr * (1 + _xlpm.sm_up) + _xlpm.bm_up)</f>
        <v>#N/A</v>
      </c>
      <c r="K130" s="74" t="e">
        <f t="shared" si="6"/>
        <v>#N/A</v>
      </c>
      <c r="L130" s="76">
        <v>3.7490000000000002E-2</v>
      </c>
      <c r="M130" s="74" t="e">
        <f t="shared" si="9"/>
        <v>#N/A</v>
      </c>
      <c r="N130" s="74" t="e">
        <f t="shared" si="8"/>
        <v>#N/A</v>
      </c>
      <c r="O130" s="76">
        <v>3.823E-2</v>
      </c>
    </row>
    <row r="131" spans="7:15" x14ac:dyDescent="0.35">
      <c r="G131" s="2">
        <v>110</v>
      </c>
      <c r="H131" s="74" t="e">
        <v>#N/A</v>
      </c>
      <c r="I131" s="74" t="e">
        <v>#N/A</v>
      </c>
      <c r="J131" s="74" t="e" cm="1">
        <f t="array" ref="J131">_xlfn.LET(_xlpm.m, G131,
     _xlpm.rfr, I131,
     _xlpm.sm_up, INDEX(R.IRR_SM_UP, _xlpm.m),
     _xlpm.bm_up, INDEX(R.IRR_BM_UP, _xlpm.m),
     _xlpm.rfr * (1 + _xlpm.sm_up) + _xlpm.bm_up)</f>
        <v>#N/A</v>
      </c>
      <c r="K131" s="74" t="e">
        <f t="shared" si="6"/>
        <v>#N/A</v>
      </c>
      <c r="L131" s="76">
        <v>3.746E-2</v>
      </c>
      <c r="M131" s="74" t="e">
        <f t="shared" si="9"/>
        <v>#N/A</v>
      </c>
      <c r="N131" s="74" t="e">
        <f t="shared" si="8"/>
        <v>#N/A</v>
      </c>
      <c r="O131" s="76">
        <v>3.8199999999999998E-2</v>
      </c>
    </row>
    <row r="132" spans="7:15" x14ac:dyDescent="0.35">
      <c r="G132" s="7">
        <v>111</v>
      </c>
      <c r="H132" s="74" t="e">
        <v>#N/A</v>
      </c>
      <c r="I132" s="74" t="e">
        <v>#N/A</v>
      </c>
      <c r="J132" s="74" t="e" cm="1">
        <f t="array" ref="J132">_xlfn.LET(_xlpm.m, G132,
     _xlpm.rfr, I132,
     _xlpm.sm_up, INDEX(R.IRR_SM_UP, _xlpm.m),
     _xlpm.bm_up, INDEX(R.IRR_BM_UP, _xlpm.m),
     _xlpm.rfr * (1 + _xlpm.sm_up) + _xlpm.bm_up)</f>
        <v>#N/A</v>
      </c>
      <c r="K132" s="74" t="e">
        <f t="shared" si="6"/>
        <v>#N/A</v>
      </c>
      <c r="L132" s="76">
        <v>3.7440000000000001E-2</v>
      </c>
      <c r="M132" s="74" t="e">
        <f t="shared" si="9"/>
        <v>#N/A</v>
      </c>
      <c r="N132" s="74" t="e">
        <f t="shared" si="8"/>
        <v>#N/A</v>
      </c>
      <c r="O132" s="76">
        <v>3.8170000000000003E-2</v>
      </c>
    </row>
    <row r="133" spans="7:15" x14ac:dyDescent="0.35">
      <c r="G133" s="7">
        <v>112</v>
      </c>
      <c r="H133" s="74" t="e">
        <v>#N/A</v>
      </c>
      <c r="I133" s="74" t="e">
        <v>#N/A</v>
      </c>
      <c r="J133" s="74" t="e" cm="1">
        <f t="array" ref="J133">_xlfn.LET(_xlpm.m, G133,
     _xlpm.rfr, I133,
     _xlpm.sm_up, INDEX(R.IRR_SM_UP, _xlpm.m),
     _xlpm.bm_up, INDEX(R.IRR_BM_UP, _xlpm.m),
     _xlpm.rfr * (1 + _xlpm.sm_up) + _xlpm.bm_up)</f>
        <v>#N/A</v>
      </c>
      <c r="K133" s="74" t="e">
        <f t="shared" si="6"/>
        <v>#N/A</v>
      </c>
      <c r="L133" s="76">
        <v>3.7409999999999999E-2</v>
      </c>
      <c r="M133" s="74" t="e">
        <f t="shared" si="9"/>
        <v>#N/A</v>
      </c>
      <c r="N133" s="74" t="e">
        <f t="shared" si="8"/>
        <v>#N/A</v>
      </c>
      <c r="O133" s="76">
        <v>3.8129999999999997E-2</v>
      </c>
    </row>
    <row r="134" spans="7:15" x14ac:dyDescent="0.35">
      <c r="G134" s="7">
        <v>113</v>
      </c>
      <c r="H134" s="74" t="e">
        <v>#N/A</v>
      </c>
      <c r="I134" s="74" t="e">
        <v>#N/A</v>
      </c>
      <c r="J134" s="74" t="e" cm="1">
        <f t="array" ref="J134">_xlfn.LET(_xlpm.m, G134,
     _xlpm.rfr, I134,
     _xlpm.sm_up, INDEX(R.IRR_SM_UP, _xlpm.m),
     _xlpm.bm_up, INDEX(R.IRR_BM_UP, _xlpm.m),
     _xlpm.rfr * (1 + _xlpm.sm_up) + _xlpm.bm_up)</f>
        <v>#N/A</v>
      </c>
      <c r="K134" s="74" t="e">
        <f t="shared" si="6"/>
        <v>#N/A</v>
      </c>
      <c r="L134" s="76">
        <v>3.7379999999999997E-2</v>
      </c>
      <c r="M134" s="74" t="e">
        <f t="shared" si="9"/>
        <v>#N/A</v>
      </c>
      <c r="N134" s="74" t="e">
        <f t="shared" si="8"/>
        <v>#N/A</v>
      </c>
      <c r="O134" s="76">
        <v>3.8100000000000002E-2</v>
      </c>
    </row>
    <row r="135" spans="7:15" x14ac:dyDescent="0.35">
      <c r="G135" s="2">
        <v>114</v>
      </c>
      <c r="H135" s="74" t="e">
        <v>#N/A</v>
      </c>
      <c r="I135" s="74" t="e">
        <v>#N/A</v>
      </c>
      <c r="J135" s="74" t="e" cm="1">
        <f t="array" ref="J135">_xlfn.LET(_xlpm.m, G135,
     _xlpm.rfr, I135,
     _xlpm.sm_up, INDEX(R.IRR_SM_UP, _xlpm.m),
     _xlpm.bm_up, INDEX(R.IRR_BM_UP, _xlpm.m),
     _xlpm.rfr * (1 + _xlpm.sm_up) + _xlpm.bm_up)</f>
        <v>#N/A</v>
      </c>
      <c r="K135" s="74" t="e">
        <f t="shared" si="6"/>
        <v>#N/A</v>
      </c>
      <c r="L135" s="76">
        <v>3.7359999999999997E-2</v>
      </c>
      <c r="M135" s="74" t="e">
        <f t="shared" si="9"/>
        <v>#N/A</v>
      </c>
      <c r="N135" s="74" t="e">
        <f t="shared" si="8"/>
        <v>#N/A</v>
      </c>
      <c r="O135" s="76">
        <v>3.807E-2</v>
      </c>
    </row>
    <row r="136" spans="7:15" x14ac:dyDescent="0.35">
      <c r="G136" s="2">
        <v>115</v>
      </c>
      <c r="H136" s="74" t="e">
        <v>#N/A</v>
      </c>
      <c r="I136" s="74" t="e">
        <v>#N/A</v>
      </c>
      <c r="J136" s="74" t="e" cm="1">
        <f t="array" ref="J136">_xlfn.LET(_xlpm.m, G136,
     _xlpm.rfr, I136,
     _xlpm.sm_up, INDEX(R.IRR_SM_UP, _xlpm.m),
     _xlpm.bm_up, INDEX(R.IRR_BM_UP, _xlpm.m),
     _xlpm.rfr * (1 + _xlpm.sm_up) + _xlpm.bm_up)</f>
        <v>#N/A</v>
      </c>
      <c r="K136" s="74" t="e">
        <f t="shared" si="6"/>
        <v>#N/A</v>
      </c>
      <c r="L136" s="76">
        <v>3.7330000000000002E-2</v>
      </c>
      <c r="M136" s="74" t="e">
        <f t="shared" si="9"/>
        <v>#N/A</v>
      </c>
      <c r="N136" s="74" t="e">
        <f t="shared" si="8"/>
        <v>#N/A</v>
      </c>
      <c r="O136" s="76">
        <v>3.8039999999999997E-2</v>
      </c>
    </row>
    <row r="137" spans="7:15" x14ac:dyDescent="0.35">
      <c r="G137" s="7">
        <v>116</v>
      </c>
      <c r="H137" s="74" t="e">
        <v>#N/A</v>
      </c>
      <c r="I137" s="74" t="e">
        <v>#N/A</v>
      </c>
      <c r="J137" s="74" t="e" cm="1">
        <f t="array" ref="J137">_xlfn.LET(_xlpm.m, G137,
     _xlpm.rfr, I137,
     _xlpm.sm_up, INDEX(R.IRR_SM_UP, _xlpm.m),
     _xlpm.bm_up, INDEX(R.IRR_BM_UP, _xlpm.m),
     _xlpm.rfr * (1 + _xlpm.sm_up) + _xlpm.bm_up)</f>
        <v>#N/A</v>
      </c>
      <c r="K137" s="74" t="e">
        <f t="shared" si="6"/>
        <v>#N/A</v>
      </c>
      <c r="L137" s="76">
        <v>3.7310000000000003E-2</v>
      </c>
      <c r="M137" s="74" t="e">
        <f t="shared" si="9"/>
        <v>#N/A</v>
      </c>
      <c r="N137" s="74" t="e">
        <f t="shared" si="8"/>
        <v>#N/A</v>
      </c>
      <c r="O137" s="76">
        <v>3.8010000000000002E-2</v>
      </c>
    </row>
    <row r="138" spans="7:15" x14ac:dyDescent="0.35">
      <c r="G138" s="7">
        <v>117</v>
      </c>
      <c r="H138" s="74" t="e">
        <v>#N/A</v>
      </c>
      <c r="I138" s="74" t="e">
        <v>#N/A</v>
      </c>
      <c r="J138" s="74" t="e" cm="1">
        <f t="array" ref="J138">_xlfn.LET(_xlpm.m, G138,
     _xlpm.rfr, I138,
     _xlpm.sm_up, INDEX(R.IRR_SM_UP, _xlpm.m),
     _xlpm.bm_up, INDEX(R.IRR_BM_UP, _xlpm.m),
     _xlpm.rfr * (1 + _xlpm.sm_up) + _xlpm.bm_up)</f>
        <v>#N/A</v>
      </c>
      <c r="K138" s="74" t="e">
        <f t="shared" si="6"/>
        <v>#N/A</v>
      </c>
      <c r="L138" s="76">
        <v>3.7289999999999997E-2</v>
      </c>
      <c r="M138" s="74" t="e">
        <f t="shared" si="9"/>
        <v>#N/A</v>
      </c>
      <c r="N138" s="74" t="e">
        <f t="shared" si="8"/>
        <v>#N/A</v>
      </c>
      <c r="O138" s="76">
        <v>3.798E-2</v>
      </c>
    </row>
    <row r="139" spans="7:15" x14ac:dyDescent="0.35">
      <c r="G139" s="7">
        <v>118</v>
      </c>
      <c r="H139" s="74" t="e">
        <v>#N/A</v>
      </c>
      <c r="I139" s="74" t="e">
        <v>#N/A</v>
      </c>
      <c r="J139" s="74" t="e" cm="1">
        <f t="array" ref="J139">_xlfn.LET(_xlpm.m, G139,
     _xlpm.rfr, I139,
     _xlpm.sm_up, INDEX(R.IRR_SM_UP, _xlpm.m),
     _xlpm.bm_up, INDEX(R.IRR_BM_UP, _xlpm.m),
     _xlpm.rfr * (1 + _xlpm.sm_up) + _xlpm.bm_up)</f>
        <v>#N/A</v>
      </c>
      <c r="K139" s="74" t="e">
        <f t="shared" si="6"/>
        <v>#N/A</v>
      </c>
      <c r="L139" s="76">
        <v>3.7260000000000001E-2</v>
      </c>
      <c r="M139" s="74" t="e">
        <f t="shared" si="9"/>
        <v>#N/A</v>
      </c>
      <c r="N139" s="74" t="e">
        <f t="shared" si="8"/>
        <v>#N/A</v>
      </c>
      <c r="O139" s="76">
        <v>3.7949999999999998E-2</v>
      </c>
    </row>
    <row r="140" spans="7:15" x14ac:dyDescent="0.35">
      <c r="G140" s="2">
        <v>119</v>
      </c>
      <c r="H140" s="74" t="e">
        <v>#N/A</v>
      </c>
      <c r="I140" s="74" t="e">
        <v>#N/A</v>
      </c>
      <c r="J140" s="74" t="e" cm="1">
        <f t="array" ref="J140">_xlfn.LET(_xlpm.m, G140,
     _xlpm.rfr, I140,
     _xlpm.sm_up, INDEX(R.IRR_SM_UP, _xlpm.m),
     _xlpm.bm_up, INDEX(R.IRR_BM_UP, _xlpm.m),
     _xlpm.rfr * (1 + _xlpm.sm_up) + _xlpm.bm_up)</f>
        <v>#N/A</v>
      </c>
      <c r="K140" s="74" t="e">
        <f t="shared" si="6"/>
        <v>#N/A</v>
      </c>
      <c r="L140" s="76">
        <v>3.7240000000000002E-2</v>
      </c>
      <c r="M140" s="74" t="e">
        <f t="shared" si="9"/>
        <v>#N/A</v>
      </c>
      <c r="N140" s="74" t="e">
        <f t="shared" si="8"/>
        <v>#N/A</v>
      </c>
      <c r="O140" s="76">
        <v>3.7920000000000002E-2</v>
      </c>
    </row>
    <row r="141" spans="7:15" x14ac:dyDescent="0.35">
      <c r="G141" s="2">
        <v>120</v>
      </c>
      <c r="H141" s="74" t="e">
        <v>#N/A</v>
      </c>
      <c r="I141" s="74" t="e">
        <v>#N/A</v>
      </c>
      <c r="J141" s="74" t="e" cm="1">
        <f t="array" ref="J141">_xlfn.LET(_xlpm.m, G141,
     _xlpm.rfr, I141,
     _xlpm.sm_up, INDEX(R.IRR_SM_UP, _xlpm.m),
     _xlpm.bm_up, INDEX(R.IRR_BM_UP, _xlpm.m),
     _xlpm.rfr * (1 + _xlpm.sm_up) + _xlpm.bm_up)</f>
        <v>#N/A</v>
      </c>
      <c r="K141" s="74" t="e">
        <f t="shared" si="6"/>
        <v>#N/A</v>
      </c>
      <c r="L141" s="76">
        <v>3.7220000000000003E-2</v>
      </c>
      <c r="M141" s="74" t="e">
        <f t="shared" si="9"/>
        <v>#N/A</v>
      </c>
      <c r="N141" s="74" t="e">
        <f t="shared" si="8"/>
        <v>#N/A</v>
      </c>
      <c r="O141" s="76">
        <v>3.789E-2</v>
      </c>
    </row>
    <row r="142" spans="7:15" x14ac:dyDescent="0.35">
      <c r="G142" s="7">
        <v>121</v>
      </c>
      <c r="H142" s="74" t="e">
        <v>#N/A</v>
      </c>
      <c r="I142" s="74" t="e">
        <v>#N/A</v>
      </c>
      <c r="J142" s="74" t="e" cm="1">
        <f t="array" ref="J142">_xlfn.LET(_xlpm.m, G142,
     _xlpm.rfr, I142,
     _xlpm.sm_up, INDEX(R.IRR_SM_UP, _xlpm.m),
     _xlpm.bm_up, INDEX(R.IRR_BM_UP, _xlpm.m),
     _xlpm.rfr * (1 + _xlpm.sm_up) + _xlpm.bm_up)</f>
        <v>#N/A</v>
      </c>
      <c r="K142" s="74" t="e">
        <f t="shared" si="6"/>
        <v>#N/A</v>
      </c>
      <c r="L142" s="76">
        <v>3.7190000000000001E-2</v>
      </c>
      <c r="M142" s="74" t="e">
        <f t="shared" si="9"/>
        <v>#N/A</v>
      </c>
      <c r="N142" s="74" t="e">
        <f t="shared" si="8"/>
        <v>#N/A</v>
      </c>
      <c r="O142" s="76">
        <v>3.7859999999999998E-2</v>
      </c>
    </row>
    <row r="143" spans="7:15" x14ac:dyDescent="0.35">
      <c r="G143" s="7">
        <v>122</v>
      </c>
      <c r="H143" s="74" t="e">
        <v>#N/A</v>
      </c>
      <c r="I143" s="74" t="e">
        <v>#N/A</v>
      </c>
      <c r="J143" s="74" t="e" cm="1">
        <f t="array" ref="J143">_xlfn.LET(_xlpm.m, G143,
     _xlpm.rfr, I143,
     _xlpm.sm_up, INDEX(R.IRR_SM_UP, _xlpm.m),
     _xlpm.bm_up, INDEX(R.IRR_BM_UP, _xlpm.m),
     _xlpm.rfr * (1 + _xlpm.sm_up) + _xlpm.bm_up)</f>
        <v>#N/A</v>
      </c>
      <c r="K143" s="74" t="e">
        <f t="shared" si="6"/>
        <v>#N/A</v>
      </c>
      <c r="L143" s="76">
        <v>3.7170000000000002E-2</v>
      </c>
      <c r="M143" s="74" t="e">
        <f t="shared" si="9"/>
        <v>#N/A</v>
      </c>
      <c r="N143" s="74" t="e">
        <f t="shared" si="8"/>
        <v>#N/A</v>
      </c>
      <c r="O143" s="76">
        <v>3.7839999999999999E-2</v>
      </c>
    </row>
    <row r="144" spans="7:15" x14ac:dyDescent="0.35">
      <c r="G144" s="7">
        <v>123</v>
      </c>
      <c r="H144" s="74" t="e">
        <v>#N/A</v>
      </c>
      <c r="I144" s="74" t="e">
        <v>#N/A</v>
      </c>
      <c r="J144" s="74" t="e" cm="1">
        <f t="array" ref="J144">_xlfn.LET(_xlpm.m, G144,
     _xlpm.rfr, I144,
     _xlpm.sm_up, INDEX(R.IRR_SM_UP, _xlpm.m),
     _xlpm.bm_up, INDEX(R.IRR_BM_UP, _xlpm.m),
     _xlpm.rfr * (1 + _xlpm.sm_up) + _xlpm.bm_up)</f>
        <v>#N/A</v>
      </c>
      <c r="K144" s="74" t="e">
        <f t="shared" si="6"/>
        <v>#N/A</v>
      </c>
      <c r="L144" s="76">
        <v>3.7150000000000002E-2</v>
      </c>
      <c r="M144" s="74" t="e">
        <f t="shared" si="9"/>
        <v>#N/A</v>
      </c>
      <c r="N144" s="74" t="e">
        <f t="shared" si="8"/>
        <v>#N/A</v>
      </c>
      <c r="O144" s="76">
        <v>3.7810000000000003E-2</v>
      </c>
    </row>
    <row r="145" spans="7:15" x14ac:dyDescent="0.35">
      <c r="G145" s="2">
        <v>124</v>
      </c>
      <c r="H145" s="74" t="e">
        <v>#N/A</v>
      </c>
      <c r="I145" s="74" t="e">
        <v>#N/A</v>
      </c>
      <c r="J145" s="74" t="e" cm="1">
        <f t="array" ref="J145">_xlfn.LET(_xlpm.m, G145,
     _xlpm.rfr, I145,
     _xlpm.sm_up, INDEX(R.IRR_SM_UP, _xlpm.m),
     _xlpm.bm_up, INDEX(R.IRR_BM_UP, _xlpm.m),
     _xlpm.rfr * (1 + _xlpm.sm_up) + _xlpm.bm_up)</f>
        <v>#N/A</v>
      </c>
      <c r="K145" s="74" t="e">
        <f t="shared" si="6"/>
        <v>#N/A</v>
      </c>
      <c r="L145" s="76">
        <v>3.7130000000000003E-2</v>
      </c>
      <c r="M145" s="74" t="e">
        <f t="shared" si="9"/>
        <v>#N/A</v>
      </c>
      <c r="N145" s="74" t="e">
        <f t="shared" si="8"/>
        <v>#N/A</v>
      </c>
      <c r="O145" s="76">
        <v>3.7780000000000001E-2</v>
      </c>
    </row>
    <row r="146" spans="7:15" x14ac:dyDescent="0.35">
      <c r="G146" s="2">
        <v>125</v>
      </c>
      <c r="H146" s="74" t="e">
        <v>#N/A</v>
      </c>
      <c r="I146" s="74" t="e">
        <v>#N/A</v>
      </c>
      <c r="J146" s="74" t="e" cm="1">
        <f t="array" ref="J146">_xlfn.LET(_xlpm.m, G146,
     _xlpm.rfr, I146,
     _xlpm.sm_up, INDEX(R.IRR_SM_UP, _xlpm.m),
     _xlpm.bm_up, INDEX(R.IRR_BM_UP, _xlpm.m),
     _xlpm.rfr * (1 + _xlpm.sm_up) + _xlpm.bm_up)</f>
        <v>#N/A</v>
      </c>
      <c r="K146" s="74" t="e">
        <f t="shared" si="6"/>
        <v>#N/A</v>
      </c>
      <c r="L146" s="76">
        <v>3.7109999999999997E-2</v>
      </c>
      <c r="M146" s="74" t="e">
        <f t="shared" si="9"/>
        <v>#N/A</v>
      </c>
      <c r="N146" s="74" t="e">
        <f t="shared" si="8"/>
        <v>#N/A</v>
      </c>
      <c r="O146" s="76">
        <v>3.7749999999999999E-2</v>
      </c>
    </row>
    <row r="147" spans="7:15" x14ac:dyDescent="0.35">
      <c r="G147" s="7">
        <v>126</v>
      </c>
      <c r="H147" s="74" t="e">
        <v>#N/A</v>
      </c>
      <c r="I147" s="74" t="e">
        <v>#N/A</v>
      </c>
      <c r="J147" s="74" t="e" cm="1">
        <f t="array" ref="J147">_xlfn.LET(_xlpm.m, G147,
     _xlpm.rfr, I147,
     _xlpm.sm_up, INDEX(R.IRR_SM_UP, _xlpm.m),
     _xlpm.bm_up, INDEX(R.IRR_BM_UP, _xlpm.m),
     _xlpm.rfr * (1 + _xlpm.sm_up) + _xlpm.bm_up)</f>
        <v>#N/A</v>
      </c>
      <c r="K147" s="74" t="e">
        <f t="shared" si="6"/>
        <v>#N/A</v>
      </c>
      <c r="L147" s="76">
        <v>3.7089999999999998E-2</v>
      </c>
      <c r="M147" s="74" t="e">
        <f t="shared" si="9"/>
        <v>#N/A</v>
      </c>
      <c r="N147" s="74" t="e">
        <f t="shared" si="8"/>
        <v>#N/A</v>
      </c>
      <c r="O147" s="76">
        <v>3.773E-2</v>
      </c>
    </row>
    <row r="148" spans="7:15" x14ac:dyDescent="0.35">
      <c r="G148" s="7">
        <v>127</v>
      </c>
      <c r="H148" s="74" t="e">
        <v>#N/A</v>
      </c>
      <c r="I148" s="74" t="e">
        <v>#N/A</v>
      </c>
      <c r="J148" s="74" t="e" cm="1">
        <f t="array" ref="J148">_xlfn.LET(_xlpm.m, G148,
     _xlpm.rfr, I148,
     _xlpm.sm_up, INDEX(R.IRR_SM_UP, _xlpm.m),
     _xlpm.bm_up, INDEX(R.IRR_BM_UP, _xlpm.m),
     _xlpm.rfr * (1 + _xlpm.sm_up) + _xlpm.bm_up)</f>
        <v>#N/A</v>
      </c>
      <c r="K148" s="74" t="e">
        <f t="shared" si="6"/>
        <v>#N/A</v>
      </c>
      <c r="L148" s="76">
        <v>3.7069999999999999E-2</v>
      </c>
      <c r="M148" s="74" t="e">
        <f t="shared" si="9"/>
        <v>#N/A</v>
      </c>
      <c r="N148" s="74" t="e">
        <f t="shared" si="8"/>
        <v>#N/A</v>
      </c>
      <c r="O148" s="76">
        <v>3.7699999999999997E-2</v>
      </c>
    </row>
    <row r="149" spans="7:15" x14ac:dyDescent="0.35">
      <c r="G149" s="7">
        <v>128</v>
      </c>
      <c r="H149" s="74" t="e">
        <v>#N/A</v>
      </c>
      <c r="I149" s="74" t="e">
        <v>#N/A</v>
      </c>
      <c r="J149" s="74" t="e" cm="1">
        <f t="array" ref="J149">_xlfn.LET(_xlpm.m, G149,
     _xlpm.rfr, I149,
     _xlpm.sm_up, INDEX(R.IRR_SM_UP, _xlpm.m),
     _xlpm.bm_up, INDEX(R.IRR_BM_UP, _xlpm.m),
     _xlpm.rfr * (1 + _xlpm.sm_up) + _xlpm.bm_up)</f>
        <v>#N/A</v>
      </c>
      <c r="K149" s="74" t="e">
        <f t="shared" si="6"/>
        <v>#N/A</v>
      </c>
      <c r="L149" s="76">
        <v>3.705E-2</v>
      </c>
      <c r="M149" s="74" t="e">
        <f t="shared" si="9"/>
        <v>#N/A</v>
      </c>
      <c r="N149" s="74" t="e">
        <f t="shared" si="8"/>
        <v>#N/A</v>
      </c>
      <c r="O149" s="76">
        <v>3.7679999999999998E-2</v>
      </c>
    </row>
    <row r="150" spans="7:15" x14ac:dyDescent="0.35">
      <c r="G150" s="2">
        <v>129</v>
      </c>
      <c r="H150" s="74" t="e">
        <v>#N/A</v>
      </c>
      <c r="I150" s="74" t="e">
        <v>#N/A</v>
      </c>
      <c r="J150" s="74" t="e" cm="1">
        <f t="array" ref="J150">_xlfn.LET(_xlpm.m, G150,
     _xlpm.rfr, I150,
     _xlpm.sm_up, INDEX(R.IRR_SM_UP, _xlpm.m),
     _xlpm.bm_up, INDEX(R.IRR_BM_UP, _xlpm.m),
     _xlpm.rfr * (1 + _xlpm.sm_up) + _xlpm.bm_up)</f>
        <v>#N/A</v>
      </c>
      <c r="K150" s="74" t="e">
        <f t="shared" si="6"/>
        <v>#N/A</v>
      </c>
      <c r="L150" s="76">
        <v>3.703E-2</v>
      </c>
      <c r="M150" s="74" t="e">
        <f t="shared" si="9"/>
        <v>#N/A</v>
      </c>
      <c r="N150" s="74" t="e">
        <f t="shared" ref="N150:N171" si="10">M150+LN(1+V.TOTAL_VA)</f>
        <v>#N/A</v>
      </c>
      <c r="O150" s="76">
        <v>3.7650000000000003E-2</v>
      </c>
    </row>
    <row r="151" spans="7:15" x14ac:dyDescent="0.35">
      <c r="G151" s="2">
        <v>130</v>
      </c>
      <c r="H151" s="74" t="e">
        <v>#N/A</v>
      </c>
      <c r="I151" s="74" t="e">
        <v>#N/A</v>
      </c>
      <c r="J151" s="74" t="e" cm="1">
        <f t="array" ref="J151">_xlfn.LET(_xlpm.m, G151,
     _xlpm.rfr, I151,
     _xlpm.sm_up, INDEX(R.IRR_SM_UP, _xlpm.m),
     _xlpm.bm_up, INDEX(R.IRR_BM_UP, _xlpm.m),
     _xlpm.rfr * (1 + _xlpm.sm_up) + _xlpm.bm_up)</f>
        <v>#N/A</v>
      </c>
      <c r="K151" s="74" t="e">
        <f t="shared" ref="K151:K171" si="11">LN(1+J151)</f>
        <v>#N/A</v>
      </c>
      <c r="L151" s="76">
        <v>3.7010000000000001E-2</v>
      </c>
      <c r="M151" s="74" t="e">
        <f t="shared" ref="M151:M171" si="12">G151*K151-G150*K150</f>
        <v>#N/A</v>
      </c>
      <c r="N151" s="74" t="e">
        <f t="shared" si="10"/>
        <v>#N/A</v>
      </c>
      <c r="O151" s="76">
        <v>3.7629999999999997E-2</v>
      </c>
    </row>
    <row r="152" spans="7:15" x14ac:dyDescent="0.35">
      <c r="G152" s="7">
        <v>131</v>
      </c>
      <c r="H152" s="74" t="e">
        <v>#N/A</v>
      </c>
      <c r="I152" s="74" t="e">
        <v>#N/A</v>
      </c>
      <c r="J152" s="74" t="e" cm="1">
        <f t="array" ref="J152">_xlfn.LET(_xlpm.m, G152,
     _xlpm.rfr, I152,
     _xlpm.sm_up, INDEX(R.IRR_SM_UP, _xlpm.m),
     _xlpm.bm_up, INDEX(R.IRR_BM_UP, _xlpm.m),
     _xlpm.rfr * (1 + _xlpm.sm_up) + _xlpm.bm_up)</f>
        <v>#N/A</v>
      </c>
      <c r="K152" s="74" t="e">
        <f t="shared" si="11"/>
        <v>#N/A</v>
      </c>
      <c r="L152" s="76">
        <v>3.6990000000000002E-2</v>
      </c>
      <c r="M152" s="74" t="e">
        <f t="shared" si="12"/>
        <v>#N/A</v>
      </c>
      <c r="N152" s="74" t="e">
        <f t="shared" si="10"/>
        <v>#N/A</v>
      </c>
      <c r="O152" s="76">
        <v>3.7609999999999998E-2</v>
      </c>
    </row>
    <row r="153" spans="7:15" x14ac:dyDescent="0.35">
      <c r="G153" s="7">
        <v>132</v>
      </c>
      <c r="H153" s="74" t="e">
        <v>#N/A</v>
      </c>
      <c r="I153" s="74" t="e">
        <v>#N/A</v>
      </c>
      <c r="J153" s="74" t="e" cm="1">
        <f t="array" ref="J153">_xlfn.LET(_xlpm.m, G153,
     _xlpm.rfr, I153,
     _xlpm.sm_up, INDEX(R.IRR_SM_UP, _xlpm.m),
     _xlpm.bm_up, INDEX(R.IRR_BM_UP, _xlpm.m),
     _xlpm.rfr * (1 + _xlpm.sm_up) + _xlpm.bm_up)</f>
        <v>#N/A</v>
      </c>
      <c r="K153" s="74" t="e">
        <f t="shared" si="11"/>
        <v>#N/A</v>
      </c>
      <c r="L153" s="76">
        <v>3.6970000000000003E-2</v>
      </c>
      <c r="M153" s="74" t="e">
        <f t="shared" si="12"/>
        <v>#N/A</v>
      </c>
      <c r="N153" s="74" t="e">
        <f t="shared" si="10"/>
        <v>#N/A</v>
      </c>
      <c r="O153" s="76">
        <v>3.7580000000000002E-2</v>
      </c>
    </row>
    <row r="154" spans="7:15" x14ac:dyDescent="0.35">
      <c r="G154" s="7">
        <v>133</v>
      </c>
      <c r="H154" s="74" t="e">
        <v>#N/A</v>
      </c>
      <c r="I154" s="74" t="e">
        <v>#N/A</v>
      </c>
      <c r="J154" s="74" t="e" cm="1">
        <f t="array" ref="J154">_xlfn.LET(_xlpm.m, G154,
     _xlpm.rfr, I154,
     _xlpm.sm_up, INDEX(R.IRR_SM_UP, _xlpm.m),
     _xlpm.bm_up, INDEX(R.IRR_BM_UP, _xlpm.m),
     _xlpm.rfr * (1 + _xlpm.sm_up) + _xlpm.bm_up)</f>
        <v>#N/A</v>
      </c>
      <c r="K154" s="74" t="e">
        <f t="shared" si="11"/>
        <v>#N/A</v>
      </c>
      <c r="L154" s="76">
        <v>3.6949999999999997E-2</v>
      </c>
      <c r="M154" s="74" t="e">
        <f t="shared" si="12"/>
        <v>#N/A</v>
      </c>
      <c r="N154" s="74" t="e">
        <f t="shared" si="10"/>
        <v>#N/A</v>
      </c>
      <c r="O154" s="76">
        <v>3.7560000000000003E-2</v>
      </c>
    </row>
    <row r="155" spans="7:15" x14ac:dyDescent="0.35">
      <c r="G155" s="2">
        <v>134</v>
      </c>
      <c r="H155" s="74" t="e">
        <v>#N/A</v>
      </c>
      <c r="I155" s="74" t="e">
        <v>#N/A</v>
      </c>
      <c r="J155" s="74" t="e" cm="1">
        <f t="array" ref="J155">_xlfn.LET(_xlpm.m, G155,
     _xlpm.rfr, I155,
     _xlpm.sm_up, INDEX(R.IRR_SM_UP, _xlpm.m),
     _xlpm.bm_up, INDEX(R.IRR_BM_UP, _xlpm.m),
     _xlpm.rfr * (1 + _xlpm.sm_up) + _xlpm.bm_up)</f>
        <v>#N/A</v>
      </c>
      <c r="K155" s="74" t="e">
        <f t="shared" si="11"/>
        <v>#N/A</v>
      </c>
      <c r="L155" s="76">
        <v>3.6929999999999998E-2</v>
      </c>
      <c r="M155" s="74" t="e">
        <f t="shared" si="12"/>
        <v>#N/A</v>
      </c>
      <c r="N155" s="74" t="e">
        <f t="shared" si="10"/>
        <v>#N/A</v>
      </c>
      <c r="O155" s="76">
        <v>3.7539999999999997E-2</v>
      </c>
    </row>
    <row r="156" spans="7:15" x14ac:dyDescent="0.35">
      <c r="G156" s="2">
        <v>135</v>
      </c>
      <c r="H156" s="74" t="e">
        <v>#N/A</v>
      </c>
      <c r="I156" s="74" t="e">
        <v>#N/A</v>
      </c>
      <c r="J156" s="74" t="e" cm="1">
        <f t="array" ref="J156">_xlfn.LET(_xlpm.m, G156,
     _xlpm.rfr, I156,
     _xlpm.sm_up, INDEX(R.IRR_SM_UP, _xlpm.m),
     _xlpm.bm_up, INDEX(R.IRR_BM_UP, _xlpm.m),
     _xlpm.rfr * (1 + _xlpm.sm_up) + _xlpm.bm_up)</f>
        <v>#N/A</v>
      </c>
      <c r="K156" s="74" t="e">
        <f t="shared" si="11"/>
        <v>#N/A</v>
      </c>
      <c r="L156" s="76">
        <v>3.6909999999999998E-2</v>
      </c>
      <c r="M156" s="74" t="e">
        <f t="shared" si="12"/>
        <v>#N/A</v>
      </c>
      <c r="N156" s="74" t="e">
        <f t="shared" si="10"/>
        <v>#N/A</v>
      </c>
      <c r="O156" s="76">
        <v>3.7510000000000002E-2</v>
      </c>
    </row>
    <row r="157" spans="7:15" x14ac:dyDescent="0.35">
      <c r="G157" s="7">
        <v>136</v>
      </c>
      <c r="H157" s="74" t="e">
        <v>#N/A</v>
      </c>
      <c r="I157" s="74" t="e">
        <v>#N/A</v>
      </c>
      <c r="J157" s="74" t="e" cm="1">
        <f t="array" ref="J157">_xlfn.LET(_xlpm.m, G157,
     _xlpm.rfr, I157,
     _xlpm.sm_up, INDEX(R.IRR_SM_UP, _xlpm.m),
     _xlpm.bm_up, INDEX(R.IRR_BM_UP, _xlpm.m),
     _xlpm.rfr * (1 + _xlpm.sm_up) + _xlpm.bm_up)</f>
        <v>#N/A</v>
      </c>
      <c r="K157" s="74" t="e">
        <f t="shared" si="11"/>
        <v>#N/A</v>
      </c>
      <c r="L157" s="76">
        <v>3.6900000000000002E-2</v>
      </c>
      <c r="M157" s="74" t="e">
        <f t="shared" si="12"/>
        <v>#N/A</v>
      </c>
      <c r="N157" s="74" t="e">
        <f t="shared" si="10"/>
        <v>#N/A</v>
      </c>
      <c r="O157" s="76">
        <v>3.7490000000000002E-2</v>
      </c>
    </row>
    <row r="158" spans="7:15" x14ac:dyDescent="0.35">
      <c r="G158" s="7">
        <v>137</v>
      </c>
      <c r="H158" s="74" t="e">
        <v>#N/A</v>
      </c>
      <c r="I158" s="74" t="e">
        <v>#N/A</v>
      </c>
      <c r="J158" s="74" t="e" cm="1">
        <f t="array" ref="J158">_xlfn.LET(_xlpm.m, G158,
     _xlpm.rfr, I158,
     _xlpm.sm_up, INDEX(R.IRR_SM_UP, _xlpm.m),
     _xlpm.bm_up, INDEX(R.IRR_BM_UP, _xlpm.m),
     _xlpm.rfr * (1 + _xlpm.sm_up) + _xlpm.bm_up)</f>
        <v>#N/A</v>
      </c>
      <c r="K158" s="74" t="e">
        <f t="shared" si="11"/>
        <v>#N/A</v>
      </c>
      <c r="L158" s="76">
        <v>3.6880000000000003E-2</v>
      </c>
      <c r="M158" s="74" t="e">
        <f t="shared" si="12"/>
        <v>#N/A</v>
      </c>
      <c r="N158" s="74" t="e">
        <f t="shared" si="10"/>
        <v>#N/A</v>
      </c>
      <c r="O158" s="76">
        <v>3.7470000000000003E-2</v>
      </c>
    </row>
    <row r="159" spans="7:15" x14ac:dyDescent="0.35">
      <c r="G159" s="7">
        <v>138</v>
      </c>
      <c r="H159" s="74" t="e">
        <v>#N/A</v>
      </c>
      <c r="I159" s="74" t="e">
        <v>#N/A</v>
      </c>
      <c r="J159" s="74" t="e" cm="1">
        <f t="array" ref="J159">_xlfn.LET(_xlpm.m, G159,
     _xlpm.rfr, I159,
     _xlpm.sm_up, INDEX(R.IRR_SM_UP, _xlpm.m),
     _xlpm.bm_up, INDEX(R.IRR_BM_UP, _xlpm.m),
     _xlpm.rfr * (1 + _xlpm.sm_up) + _xlpm.bm_up)</f>
        <v>#N/A</v>
      </c>
      <c r="K159" s="74" t="e">
        <f t="shared" si="11"/>
        <v>#N/A</v>
      </c>
      <c r="L159" s="76">
        <v>3.6859999999999997E-2</v>
      </c>
      <c r="M159" s="74" t="e">
        <f t="shared" si="12"/>
        <v>#N/A</v>
      </c>
      <c r="N159" s="74" t="e">
        <f t="shared" si="10"/>
        <v>#N/A</v>
      </c>
      <c r="O159" s="76">
        <v>3.7449999999999997E-2</v>
      </c>
    </row>
    <row r="160" spans="7:15" x14ac:dyDescent="0.35">
      <c r="G160" s="2">
        <v>139</v>
      </c>
      <c r="H160" s="74" t="e">
        <v>#N/A</v>
      </c>
      <c r="I160" s="74" t="e">
        <v>#N/A</v>
      </c>
      <c r="J160" s="74" t="e" cm="1">
        <f t="array" ref="J160">_xlfn.LET(_xlpm.m, G160,
     _xlpm.rfr, I160,
     _xlpm.sm_up, INDEX(R.IRR_SM_UP, _xlpm.m),
     _xlpm.bm_up, INDEX(R.IRR_BM_UP, _xlpm.m),
     _xlpm.rfr * (1 + _xlpm.sm_up) + _xlpm.bm_up)</f>
        <v>#N/A</v>
      </c>
      <c r="K160" s="74" t="e">
        <f t="shared" si="11"/>
        <v>#N/A</v>
      </c>
      <c r="L160" s="76">
        <v>3.6839999999999998E-2</v>
      </c>
      <c r="M160" s="74" t="e">
        <f t="shared" si="12"/>
        <v>#N/A</v>
      </c>
      <c r="N160" s="74" t="e">
        <f t="shared" si="10"/>
        <v>#N/A</v>
      </c>
      <c r="O160" s="76">
        <v>3.7429999999999998E-2</v>
      </c>
    </row>
    <row r="161" spans="7:15" x14ac:dyDescent="0.35">
      <c r="G161" s="2">
        <v>140</v>
      </c>
      <c r="H161" s="74" t="e">
        <v>#N/A</v>
      </c>
      <c r="I161" s="74" t="e">
        <v>#N/A</v>
      </c>
      <c r="J161" s="74" t="e" cm="1">
        <f t="array" ref="J161">_xlfn.LET(_xlpm.m, G161,
     _xlpm.rfr, I161,
     _xlpm.sm_up, INDEX(R.IRR_SM_UP, _xlpm.m),
     _xlpm.bm_up, INDEX(R.IRR_BM_UP, _xlpm.m),
     _xlpm.rfr * (1 + _xlpm.sm_up) + _xlpm.bm_up)</f>
        <v>#N/A</v>
      </c>
      <c r="K161" s="74" t="e">
        <f t="shared" si="11"/>
        <v>#N/A</v>
      </c>
      <c r="L161" s="76">
        <v>3.6830000000000002E-2</v>
      </c>
      <c r="M161" s="74" t="e">
        <f t="shared" si="12"/>
        <v>#N/A</v>
      </c>
      <c r="N161" s="74" t="e">
        <f t="shared" si="10"/>
        <v>#N/A</v>
      </c>
      <c r="O161" s="76">
        <v>3.7409999999999999E-2</v>
      </c>
    </row>
    <row r="162" spans="7:15" x14ac:dyDescent="0.35">
      <c r="G162" s="7">
        <v>141</v>
      </c>
      <c r="H162" s="74" t="e">
        <v>#N/A</v>
      </c>
      <c r="I162" s="74" t="e">
        <v>#N/A</v>
      </c>
      <c r="J162" s="74" t="e" cm="1">
        <f t="array" ref="J162">_xlfn.LET(_xlpm.m, G162,
     _xlpm.rfr, I162,
     _xlpm.sm_up, INDEX(R.IRR_SM_UP, _xlpm.m),
     _xlpm.bm_up, INDEX(R.IRR_BM_UP, _xlpm.m),
     _xlpm.rfr * (1 + _xlpm.sm_up) + _xlpm.bm_up)</f>
        <v>#N/A</v>
      </c>
      <c r="K162" s="74" t="e">
        <f t="shared" si="11"/>
        <v>#N/A</v>
      </c>
      <c r="L162" s="76">
        <v>3.6810000000000002E-2</v>
      </c>
      <c r="M162" s="74" t="e">
        <f t="shared" si="12"/>
        <v>#N/A</v>
      </c>
      <c r="N162" s="74" t="e">
        <f t="shared" si="10"/>
        <v>#N/A</v>
      </c>
      <c r="O162" s="76">
        <v>3.739E-2</v>
      </c>
    </row>
    <row r="163" spans="7:15" x14ac:dyDescent="0.35">
      <c r="G163" s="7">
        <v>142</v>
      </c>
      <c r="H163" s="74" t="e">
        <v>#N/A</v>
      </c>
      <c r="I163" s="74" t="e">
        <v>#N/A</v>
      </c>
      <c r="J163" s="74" t="e" cm="1">
        <f t="array" ref="J163">_xlfn.LET(_xlpm.m, G163,
     _xlpm.rfr, I163,
     _xlpm.sm_up, INDEX(R.IRR_SM_UP, _xlpm.m),
     _xlpm.bm_up, INDEX(R.IRR_BM_UP, _xlpm.m),
     _xlpm.rfr * (1 + _xlpm.sm_up) + _xlpm.bm_up)</f>
        <v>#N/A</v>
      </c>
      <c r="K163" s="74" t="e">
        <f t="shared" si="11"/>
        <v>#N/A</v>
      </c>
      <c r="L163" s="76">
        <v>3.6790000000000003E-2</v>
      </c>
      <c r="M163" s="74" t="e">
        <f t="shared" si="12"/>
        <v>#N/A</v>
      </c>
      <c r="N163" s="74" t="e">
        <f t="shared" si="10"/>
        <v>#N/A</v>
      </c>
      <c r="O163" s="76">
        <v>3.7359999999999997E-2</v>
      </c>
    </row>
    <row r="164" spans="7:15" x14ac:dyDescent="0.35">
      <c r="G164" s="7">
        <v>143</v>
      </c>
      <c r="H164" s="74" t="e">
        <v>#N/A</v>
      </c>
      <c r="I164" s="74" t="e">
        <v>#N/A</v>
      </c>
      <c r="J164" s="74" t="e" cm="1">
        <f t="array" ref="J164">_xlfn.LET(_xlpm.m, G164,
     _xlpm.rfr, I164,
     _xlpm.sm_up, INDEX(R.IRR_SM_UP, _xlpm.m),
     _xlpm.bm_up, INDEX(R.IRR_BM_UP, _xlpm.m),
     _xlpm.rfr * (1 + _xlpm.sm_up) + _xlpm.bm_up)</f>
        <v>#N/A</v>
      </c>
      <c r="K164" s="74" t="e">
        <f t="shared" si="11"/>
        <v>#N/A</v>
      </c>
      <c r="L164" s="76">
        <v>3.678E-2</v>
      </c>
      <c r="M164" s="74" t="e">
        <f t="shared" si="12"/>
        <v>#N/A</v>
      </c>
      <c r="N164" s="74" t="e">
        <f t="shared" si="10"/>
        <v>#N/A</v>
      </c>
      <c r="O164" s="76">
        <v>3.7339999999999998E-2</v>
      </c>
    </row>
    <row r="165" spans="7:15" x14ac:dyDescent="0.35">
      <c r="G165" s="2">
        <v>144</v>
      </c>
      <c r="H165" s="74" t="e">
        <v>#N/A</v>
      </c>
      <c r="I165" s="74" t="e">
        <v>#N/A</v>
      </c>
      <c r="J165" s="74" t="e" cm="1">
        <f t="array" ref="J165">_xlfn.LET(_xlpm.m, G165,
     _xlpm.rfr, I165,
     _xlpm.sm_up, INDEX(R.IRR_SM_UP, _xlpm.m),
     _xlpm.bm_up, INDEX(R.IRR_BM_UP, _xlpm.m),
     _xlpm.rfr * (1 + _xlpm.sm_up) + _xlpm.bm_up)</f>
        <v>#N/A</v>
      </c>
      <c r="K165" s="74" t="e">
        <f t="shared" si="11"/>
        <v>#N/A</v>
      </c>
      <c r="L165" s="76">
        <v>3.6760000000000001E-2</v>
      </c>
      <c r="M165" s="74" t="e">
        <f t="shared" si="12"/>
        <v>#N/A</v>
      </c>
      <c r="N165" s="74" t="e">
        <f t="shared" si="10"/>
        <v>#N/A</v>
      </c>
      <c r="O165" s="76">
        <v>3.7319999999999999E-2</v>
      </c>
    </row>
    <row r="166" spans="7:15" x14ac:dyDescent="0.35">
      <c r="G166" s="2">
        <v>145</v>
      </c>
      <c r="H166" s="74" t="e">
        <v>#N/A</v>
      </c>
      <c r="I166" s="74" t="e">
        <v>#N/A</v>
      </c>
      <c r="J166" s="74" t="e" cm="1">
        <f t="array" ref="J166">_xlfn.LET(_xlpm.m, G166,
     _xlpm.rfr, I166,
     _xlpm.sm_up, INDEX(R.IRR_SM_UP, _xlpm.m),
     _xlpm.bm_up, INDEX(R.IRR_BM_UP, _xlpm.m),
     _xlpm.rfr * (1 + _xlpm.sm_up) + _xlpm.bm_up)</f>
        <v>#N/A</v>
      </c>
      <c r="K166" s="74" t="e">
        <f t="shared" si="11"/>
        <v>#N/A</v>
      </c>
      <c r="L166" s="76">
        <v>3.6749999999999998E-2</v>
      </c>
      <c r="M166" s="74" t="e">
        <f t="shared" si="12"/>
        <v>#N/A</v>
      </c>
      <c r="N166" s="74" t="e">
        <f t="shared" si="10"/>
        <v>#N/A</v>
      </c>
      <c r="O166" s="76">
        <v>3.7310000000000003E-2</v>
      </c>
    </row>
    <row r="167" spans="7:15" x14ac:dyDescent="0.35">
      <c r="G167" s="7">
        <v>146</v>
      </c>
      <c r="H167" s="74" t="e">
        <v>#N/A</v>
      </c>
      <c r="I167" s="74" t="e">
        <v>#N/A</v>
      </c>
      <c r="J167" s="74" t="e" cm="1">
        <f t="array" ref="J167">_xlfn.LET(_xlpm.m, G167,
     _xlpm.rfr, I167,
     _xlpm.sm_up, INDEX(R.IRR_SM_UP, _xlpm.m),
     _xlpm.bm_up, INDEX(R.IRR_BM_UP, _xlpm.m),
     _xlpm.rfr * (1 + _xlpm.sm_up) + _xlpm.bm_up)</f>
        <v>#N/A</v>
      </c>
      <c r="K167" s="74" t="e">
        <f t="shared" si="11"/>
        <v>#N/A</v>
      </c>
      <c r="L167" s="76">
        <v>3.6729999999999999E-2</v>
      </c>
      <c r="M167" s="74" t="e">
        <f t="shared" si="12"/>
        <v>#N/A</v>
      </c>
      <c r="N167" s="74" t="e">
        <f t="shared" si="10"/>
        <v>#N/A</v>
      </c>
      <c r="O167" s="76">
        <v>3.7289999999999997E-2</v>
      </c>
    </row>
    <row r="168" spans="7:15" x14ac:dyDescent="0.35">
      <c r="G168" s="7">
        <v>147</v>
      </c>
      <c r="H168" s="74" t="e">
        <v>#N/A</v>
      </c>
      <c r="I168" s="74" t="e">
        <v>#N/A</v>
      </c>
      <c r="J168" s="74" t="e" cm="1">
        <f t="array" ref="J168">_xlfn.LET(_xlpm.m, G168,
     _xlpm.rfr, I168,
     _xlpm.sm_up, INDEX(R.IRR_SM_UP, _xlpm.m),
     _xlpm.bm_up, INDEX(R.IRR_BM_UP, _xlpm.m),
     _xlpm.rfr * (1 + _xlpm.sm_up) + _xlpm.bm_up)</f>
        <v>#N/A</v>
      </c>
      <c r="K168" s="74" t="e">
        <f t="shared" si="11"/>
        <v>#N/A</v>
      </c>
      <c r="L168" s="76">
        <v>3.6720000000000003E-2</v>
      </c>
      <c r="M168" s="74" t="e">
        <f t="shared" si="12"/>
        <v>#N/A</v>
      </c>
      <c r="N168" s="74" t="e">
        <f t="shared" si="10"/>
        <v>#N/A</v>
      </c>
      <c r="O168" s="76">
        <v>3.7269999999999998E-2</v>
      </c>
    </row>
    <row r="169" spans="7:15" x14ac:dyDescent="0.35">
      <c r="G169" s="7">
        <v>148</v>
      </c>
      <c r="H169" s="74" t="e">
        <v>#N/A</v>
      </c>
      <c r="I169" s="74" t="e">
        <v>#N/A</v>
      </c>
      <c r="J169" s="74" t="e" cm="1">
        <f t="array" ref="J169">_xlfn.LET(_xlpm.m, G169,
     _xlpm.rfr, I169,
     _xlpm.sm_up, INDEX(R.IRR_SM_UP, _xlpm.m),
     _xlpm.bm_up, INDEX(R.IRR_BM_UP, _xlpm.m),
     _xlpm.rfr * (1 + _xlpm.sm_up) + _xlpm.bm_up)</f>
        <v>#N/A</v>
      </c>
      <c r="K169" s="74" t="e">
        <f t="shared" si="11"/>
        <v>#N/A</v>
      </c>
      <c r="L169" s="76">
        <v>3.6700000000000003E-2</v>
      </c>
      <c r="M169" s="74" t="e">
        <f t="shared" si="12"/>
        <v>#N/A</v>
      </c>
      <c r="N169" s="74" t="e">
        <f t="shared" si="10"/>
        <v>#N/A</v>
      </c>
      <c r="O169" s="76">
        <v>3.7249999999999998E-2</v>
      </c>
    </row>
    <row r="170" spans="7:15" x14ac:dyDescent="0.35">
      <c r="G170" s="2">
        <v>149</v>
      </c>
      <c r="H170" s="74" t="e">
        <v>#N/A</v>
      </c>
      <c r="I170" s="74" t="e">
        <v>#N/A</v>
      </c>
      <c r="J170" s="74" t="e" cm="1">
        <f t="array" ref="J170">_xlfn.LET(_xlpm.m, G170,
     _xlpm.rfr, I170,
     _xlpm.sm_up, INDEX(R.IRR_SM_UP, _xlpm.m),
     _xlpm.bm_up, INDEX(R.IRR_BM_UP, _xlpm.m),
     _xlpm.rfr * (1 + _xlpm.sm_up) + _xlpm.bm_up)</f>
        <v>#N/A</v>
      </c>
      <c r="K170" s="74" t="e">
        <f t="shared" si="11"/>
        <v>#N/A</v>
      </c>
      <c r="L170" s="76">
        <v>3.669E-2</v>
      </c>
      <c r="M170" s="74" t="e">
        <f t="shared" si="12"/>
        <v>#N/A</v>
      </c>
      <c r="N170" s="74" t="e">
        <f t="shared" si="10"/>
        <v>#N/A</v>
      </c>
      <c r="O170" s="76">
        <v>3.7229999999999999E-2</v>
      </c>
    </row>
    <row r="171" spans="7:15" x14ac:dyDescent="0.35">
      <c r="G171" s="2">
        <v>150</v>
      </c>
      <c r="H171" s="74" t="e">
        <v>#N/A</v>
      </c>
      <c r="I171" s="74" t="e">
        <v>#N/A</v>
      </c>
      <c r="J171" s="74" t="e" cm="1">
        <f t="array" ref="J171">_xlfn.LET(_xlpm.m, G171,
     _xlpm.rfr, I171,
     _xlpm.sm_up, INDEX(R.IRR_SM_UP, _xlpm.m),
     _xlpm.bm_up, INDEX(R.IRR_BM_UP, _xlpm.m),
     _xlpm.rfr * (1 + _xlpm.sm_up) + _xlpm.bm_up)</f>
        <v>#N/A</v>
      </c>
      <c r="K171" s="74" t="e">
        <f t="shared" si="11"/>
        <v>#N/A</v>
      </c>
      <c r="L171" s="77">
        <v>3.6670000000000001E-2</v>
      </c>
      <c r="M171" s="74" t="e">
        <f t="shared" si="12"/>
        <v>#N/A</v>
      </c>
      <c r="N171" s="74" t="e">
        <f t="shared" si="10"/>
        <v>#N/A</v>
      </c>
      <c r="O171" s="76">
        <v>3.721E-2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topLeftCell="C20" workbookViewId="0">
      <selection activeCell="J22" sqref="J22"/>
    </sheetView>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2"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7"/>
      <c r="H8" s="63" t="s">
        <v>3</v>
      </c>
      <c r="I8" s="7"/>
      <c r="J8" s="7"/>
      <c r="K8" s="7"/>
      <c r="L8" s="7"/>
      <c r="M8" s="7"/>
      <c r="N8" s="7"/>
    </row>
    <row r="9" spans="1:18" x14ac:dyDescent="0.35">
      <c r="G9" s="7"/>
      <c r="H9" s="7"/>
      <c r="I9" s="7"/>
      <c r="J9" s="7"/>
      <c r="K9" s="7"/>
      <c r="L9" s="7"/>
      <c r="M9" s="7"/>
      <c r="N9" s="7"/>
    </row>
    <row r="10" spans="1:18" x14ac:dyDescent="0.35">
      <c r="G10" s="12" t="s">
        <v>4</v>
      </c>
      <c r="H10" s="68">
        <f>V.FSP</f>
        <v>20</v>
      </c>
      <c r="I10" s="7"/>
      <c r="J10" s="7"/>
      <c r="K10" s="7"/>
      <c r="L10" s="7"/>
    </row>
    <row r="11" spans="1:18" x14ac:dyDescent="0.35">
      <c r="G11" s="12" t="s">
        <v>5</v>
      </c>
      <c r="H11" s="80">
        <f>V.UFR-0.0015</f>
        <v>3.15E-2</v>
      </c>
      <c r="I11" s="7"/>
      <c r="J11" s="7"/>
      <c r="K11" s="7"/>
      <c r="L11" s="7"/>
    </row>
    <row r="12" spans="1:18" x14ac:dyDescent="0.35">
      <c r="G12" s="12" t="s">
        <v>42</v>
      </c>
      <c r="H12" s="79">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7" t="s">
        <v>120</v>
      </c>
      <c r="G17" s="57"/>
      <c r="H17" s="62"/>
      <c r="I17" s="62"/>
      <c r="J17" s="57"/>
      <c r="K17" s="62"/>
      <c r="L17" s="62"/>
      <c r="M17" s="62"/>
      <c r="N17" s="62"/>
      <c r="O17" s="62"/>
      <c r="P17" s="62"/>
      <c r="Q17" s="62"/>
      <c r="R17" s="62"/>
    </row>
    <row r="18" spans="6:18" x14ac:dyDescent="0.35">
      <c r="H18" s="7"/>
      <c r="I18" s="7"/>
      <c r="J18" s="10"/>
      <c r="K18" s="7"/>
      <c r="L18" s="7"/>
    </row>
    <row r="19" spans="6:18" ht="17.5" x14ac:dyDescent="0.45">
      <c r="H19" s="10"/>
      <c r="J19" s="12" t="s">
        <v>124</v>
      </c>
      <c r="K19" s="73" cm="1">
        <f t="array" ref="K19">GetLLFR(R.IRR_SHOCK_DOWN_CC,R.DLT,R.LLFR_WEIGHTS)</f>
        <v>9.9936035973015366E-3</v>
      </c>
      <c r="M19" s="16" t="s">
        <v>125</v>
      </c>
      <c r="N19" s="73" cm="1">
        <f t="array" ref="N19">_xlfn.LET(_xlpm.FIRST_LLFR_WEIGHT, INDEX(R.LLFR_WEIGHTS, V.FSP),
     V.LLFR_IRR_DOWN + _xlpm.FIRST_LLFR_WEIGHT * LN(1+V.TOTAL_VA))</f>
        <v>1.111370050974669E-2</v>
      </c>
    </row>
    <row r="20" spans="6:18" x14ac:dyDescent="0.35">
      <c r="H20" s="7"/>
      <c r="I20" s="7"/>
      <c r="J20" s="10"/>
      <c r="K20" s="7"/>
      <c r="L20" s="7"/>
    </row>
    <row r="21" spans="6:18" ht="41.15" customHeight="1" x14ac:dyDescent="0.35">
      <c r="G21" s="36" t="s">
        <v>13</v>
      </c>
      <c r="H21" s="36" t="s">
        <v>128</v>
      </c>
      <c r="I21" s="36" t="s">
        <v>129</v>
      </c>
      <c r="J21" s="36" t="s">
        <v>113</v>
      </c>
      <c r="K21" s="36" t="s">
        <v>114</v>
      </c>
      <c r="L21" s="84" t="s">
        <v>115</v>
      </c>
      <c r="M21" s="36" t="s">
        <v>116</v>
      </c>
      <c r="N21" s="36" t="s">
        <v>111</v>
      </c>
      <c r="O21" s="85" t="s">
        <v>117</v>
      </c>
    </row>
    <row r="22" spans="6:18" x14ac:dyDescent="0.35">
      <c r="G22" s="7">
        <v>1</v>
      </c>
      <c r="H22" s="74" cm="1">
        <f t="array" ref="H22:H171">R.BASECURVE</f>
        <v>2.1760000000000002E-2</v>
      </c>
      <c r="I22" s="74" cm="1">
        <f t="array" ref="I22:I171">_xlfn.LET(_xlpm.LLP, MAX(_xlfn._xlws.FILTER(R.MATURITY,R.DLT=1)),
     BootstrapCurve(V.INSTRUMENT,_xlfn.ANCHORARRAY(H22),R.DLT,"A",V.CRA,V.COUPON_FREQ,_xlpm.LLP,"A", "Z"))</f>
        <v>2.0760000000000112E-2</v>
      </c>
      <c r="J22" s="74" cm="1">
        <f t="array" ref="J22">_xlfn.LET(_xlpm.m, G22,
     _xlpm.rfr, I22,
     _xlpm.sm_down, INDEX(R.IRR_SM_DOWN, _xlpm.m),
     _xlpm.bm_down, INDEX(R.IRR_BM_DOWN, _xlpm.m),
     _xlpm.rfr * (1 - _xlpm.sm_down) - _xlpm.bm_down)</f>
        <v>-2.8807999999999508E-3</v>
      </c>
      <c r="K22" s="74">
        <f>LN(1+J22)</f>
        <v>-2.8849574908394325E-3</v>
      </c>
      <c r="L22" s="75" cm="1">
        <f t="array" ref="L22:L171">_xlfn.BYROW(_xlfn.HSTACK(ROUND(Extrapolation(R.IRR_SHOCK_DOWN_CC, "Z", V.FSP, V.UFR_DOWN, V.LLFR_IRR_DOWN, V.ALPHA, "A"), 5), R.RM_FLOOR), _xlfn.LAMBDA(_xlpm.r, MAX(_xlpm.r )))</f>
        <v>-2.8800000000000002E-3</v>
      </c>
      <c r="M22" s="74">
        <f>K22</f>
        <v>-2.8849574908394325E-3</v>
      </c>
      <c r="N22" s="74">
        <f t="shared" ref="N22:N53" si="0">M22+LN(1+V.TOTAL_VA)</f>
        <v>5.0927557717618446E-4</v>
      </c>
      <c r="O22" s="75" cm="1">
        <f t="array" ref="O22:O171">_xlfn.BYROW(_xlfn.HSTACK(ROUND(Extrapolation(N22:N171, "F", V.FSP,V.UFR_DOWN,V.LLFR_STAR_IRR_DOWN,V.ALPHA,"A"), 5),R.RM_FLOOR), _xlfn.LAMBDA(_xlpm.r, MAX(_xlpm.r)))</f>
        <v>5.1000000000000004E-4</v>
      </c>
    </row>
    <row r="23" spans="6:18" x14ac:dyDescent="0.35">
      <c r="G23" s="7">
        <v>2</v>
      </c>
      <c r="H23" s="74">
        <v>2.2620999999999999E-2</v>
      </c>
      <c r="I23" s="74">
        <v>2.162099999999989E-2</v>
      </c>
      <c r="J23" s="74" cm="1">
        <f t="array" ref="J23">_xlfn.LET(_xlpm.m, G23,
     _xlpm.rfr, I23,
     _xlpm.sm_down, INDEX(R.IRR_SM_DOWN, _xlpm.m),
     _xlpm.bm_down, INDEX(R.IRR_BM_DOWN, _xlpm.m),
     _xlpm.rfr * (1 - _xlpm.sm_down) - _xlpm.bm_down)</f>
        <v>6.9428999999994467E-4</v>
      </c>
      <c r="K23" s="74">
        <f t="shared" ref="K23:K86" si="1">LN(1+J23)</f>
        <v>6.9404909219807239E-4</v>
      </c>
      <c r="L23" s="76">
        <v>6.8999999999999997E-4</v>
      </c>
      <c r="M23" s="74">
        <f t="shared" ref="M23:M54" si="2">G23*K23-G22*K22</f>
        <v>4.2730556752355771E-3</v>
      </c>
      <c r="N23" s="74">
        <f t="shared" si="0"/>
        <v>7.6672887432511945E-3</v>
      </c>
      <c r="O23" s="76">
        <v>4.1000000000000003E-3</v>
      </c>
    </row>
    <row r="24" spans="6:18" x14ac:dyDescent="0.35">
      <c r="G24" s="7">
        <v>3</v>
      </c>
      <c r="H24" s="74">
        <v>2.3795E-2</v>
      </c>
      <c r="I24" s="74">
        <v>2.2794999999999899E-2</v>
      </c>
      <c r="J24" s="74" cm="1">
        <f t="array" ref="J24">_xlfn.LET(_xlpm.m, G24,
     _xlpm.rfr, I24,
     _xlpm.sm_down, INDEX(R.IRR_SM_DOWN, _xlpm.m),
     _xlpm.bm_down, INDEX(R.IRR_BM_DOWN, _xlpm.m),
     _xlpm.rfr * (1 - _xlpm.sm_down) - _xlpm.bm_down)</f>
        <v>4.4651999999999453E-3</v>
      </c>
      <c r="K24" s="74">
        <f t="shared" si="1"/>
        <v>4.4552605711880864E-3</v>
      </c>
      <c r="L24" s="76">
        <v>4.47E-3</v>
      </c>
      <c r="M24" s="74">
        <f t="shared" si="2"/>
        <v>1.1977683529168115E-2</v>
      </c>
      <c r="N24" s="74">
        <f t="shared" si="0"/>
        <v>1.5371916597183732E-2</v>
      </c>
      <c r="O24" s="76">
        <v>7.8799999999999999E-3</v>
      </c>
    </row>
    <row r="25" spans="6:18" x14ac:dyDescent="0.35">
      <c r="G25" s="2">
        <v>4</v>
      </c>
      <c r="H25" s="74">
        <v>2.4799999999999999E-2</v>
      </c>
      <c r="I25" s="74">
        <v>2.3800000000000043E-2</v>
      </c>
      <c r="J25" s="74" cm="1">
        <f t="array" ref="J25">_xlfn.LET(_xlpm.m, G25,
     _xlpm.rfr, I25,
     _xlpm.sm_down, INDEX(R.IRR_SM_DOWN, _xlpm.m),
     _xlpm.bm_down, INDEX(R.IRR_BM_DOWN, _xlpm.m),
     _xlpm.rfr * (1 - _xlpm.sm_down) - _xlpm.bm_down)</f>
        <v>6.880000000000025E-3</v>
      </c>
      <c r="K25" s="74">
        <f t="shared" si="1"/>
        <v>6.8564407964863934E-3</v>
      </c>
      <c r="L25" s="76">
        <v>6.8799999999999998E-3</v>
      </c>
      <c r="M25" s="74">
        <f t="shared" si="2"/>
        <v>1.4059981472381314E-2</v>
      </c>
      <c r="N25" s="74">
        <f t="shared" si="0"/>
        <v>1.7454214540396931E-2</v>
      </c>
      <c r="O25" s="76">
        <v>1.03E-2</v>
      </c>
    </row>
    <row r="26" spans="6:18" x14ac:dyDescent="0.35">
      <c r="G26" s="2">
        <v>5</v>
      </c>
      <c r="H26" s="74">
        <v>2.5690000000000001E-2</v>
      </c>
      <c r="I26" s="74">
        <v>2.4690000000000101E-2</v>
      </c>
      <c r="J26" s="74" cm="1">
        <f t="array" ref="J26">_xlfn.LET(_xlpm.m, G26,
     _xlpm.rfr, I26,
     _xlpm.sm_down, INDEX(R.IRR_SM_DOWN, _xlpm.m),
     _xlpm.bm_down, INDEX(R.IRR_BM_DOWN, _xlpm.m),
     _xlpm.rfr * (1 - _xlpm.sm_down) - _xlpm.bm_down)</f>
        <v>7.7140000000000594E-3</v>
      </c>
      <c r="K26" s="74">
        <f t="shared" si="1"/>
        <v>7.6843992314299158E-3</v>
      </c>
      <c r="L26" s="76">
        <v>7.7099999999999998E-3</v>
      </c>
      <c r="M26" s="74">
        <f t="shared" si="2"/>
        <v>1.0996232971204004E-2</v>
      </c>
      <c r="N26" s="74">
        <f t="shared" si="0"/>
        <v>1.4390466039219622E-2</v>
      </c>
      <c r="O26" s="76">
        <v>1.1140000000000001E-2</v>
      </c>
    </row>
    <row r="27" spans="6:18" x14ac:dyDescent="0.35">
      <c r="G27" s="7">
        <v>6</v>
      </c>
      <c r="H27" s="74">
        <v>2.6509999999999999E-2</v>
      </c>
      <c r="I27" s="74">
        <v>2.5509999999999922E-2</v>
      </c>
      <c r="J27" s="74" cm="1">
        <f t="array" ref="J27">_xlfn.LET(_xlpm.m, G27,
     _xlpm.rfr, I27,
     _xlpm.sm_down, INDEX(R.IRR_SM_DOWN, _xlpm.m),
     _xlpm.bm_down, INDEX(R.IRR_BM_DOWN, _xlpm.m),
     _xlpm.rfr * (1 - _xlpm.sm_down) - _xlpm.bm_down)</f>
        <v>9.1161999999999493E-3</v>
      </c>
      <c r="K27" s="74">
        <f t="shared" si="1"/>
        <v>9.0748982689076718E-3</v>
      </c>
      <c r="L27" s="76">
        <v>9.1199999999999996E-3</v>
      </c>
      <c r="M27" s="74">
        <f t="shared" si="2"/>
        <v>1.6027393456296453E-2</v>
      </c>
      <c r="N27" s="74">
        <f t="shared" si="0"/>
        <v>1.942162652431207E-2</v>
      </c>
      <c r="O27" s="76">
        <v>1.255E-2</v>
      </c>
    </row>
    <row r="28" spans="6:18" x14ac:dyDescent="0.35">
      <c r="G28" s="7">
        <v>7</v>
      </c>
      <c r="H28" s="74">
        <v>2.7320000000000001E-2</v>
      </c>
      <c r="I28" s="74">
        <v>2.6319999999999899E-2</v>
      </c>
      <c r="J28" s="74" cm="1">
        <f t="array" ref="J28">_xlfn.LET(_xlpm.m, G28,
     _xlpm.rfr, I28,
     _xlpm.sm_down, INDEX(R.IRR_SM_DOWN, _xlpm.m),
     _xlpm.bm_down, INDEX(R.IRR_BM_DOWN, _xlpm.m),
     _xlpm.rfr * (1 - _xlpm.sm_down) - _xlpm.bm_down)</f>
        <v>1.0281599999999936E-2</v>
      </c>
      <c r="K28" s="74">
        <f t="shared" si="1"/>
        <v>1.0229103873546617E-2</v>
      </c>
      <c r="L28" s="76">
        <v>1.0279999999999999E-2</v>
      </c>
      <c r="M28" s="74">
        <f t="shared" si="2"/>
        <v>1.715433750138029E-2</v>
      </c>
      <c r="N28" s="74">
        <f t="shared" si="0"/>
        <v>2.0548570569395908E-2</v>
      </c>
      <c r="O28" s="76">
        <v>1.372E-2</v>
      </c>
    </row>
    <row r="29" spans="6:18" x14ac:dyDescent="0.35">
      <c r="G29" s="7">
        <v>8</v>
      </c>
      <c r="H29" s="74">
        <v>2.8000000000000001E-2</v>
      </c>
      <c r="I29" s="74">
        <v>2.6999999999999913E-2</v>
      </c>
      <c r="J29" s="74" cm="1">
        <f t="array" ref="J29">_xlfn.LET(_xlpm.m, G29,
     _xlpm.rfr, I29,
     _xlpm.sm_down, INDEX(R.IRR_SM_DOWN, _xlpm.m),
     _xlpm.bm_down, INDEX(R.IRR_BM_DOWN, _xlpm.m),
     _xlpm.rfr * (1 - _xlpm.sm_down) - _xlpm.bm_down)</f>
        <v>1.0539999999999945E-2</v>
      </c>
      <c r="K29" s="74">
        <f t="shared" si="1"/>
        <v>1.0484841442274524E-2</v>
      </c>
      <c r="L29" s="76">
        <v>1.0540000000000001E-2</v>
      </c>
      <c r="M29" s="74">
        <f t="shared" si="2"/>
        <v>1.2275004423369873E-2</v>
      </c>
      <c r="N29" s="74">
        <f t="shared" si="0"/>
        <v>1.566923749138549E-2</v>
      </c>
      <c r="O29" s="76">
        <v>1.3979999999999999E-2</v>
      </c>
    </row>
    <row r="30" spans="6:18" x14ac:dyDescent="0.35">
      <c r="G30" s="2">
        <v>9</v>
      </c>
      <c r="H30" s="74">
        <v>2.8631E-2</v>
      </c>
      <c r="I30" s="74">
        <v>2.7630999999999961E-2</v>
      </c>
      <c r="J30" s="74" cm="1">
        <f t="array" ref="J30">_xlfn.LET(_xlpm.m, G30,
     _xlpm.rfr, I30,
     _xlpm.sm_down, INDEX(R.IRR_SM_DOWN, _xlpm.m),
     _xlpm.bm_down, INDEX(R.IRR_BM_DOWN, _xlpm.m),
     _xlpm.rfr * (1 - _xlpm.sm_down) - _xlpm.bm_down)</f>
        <v>1.0754909999999975E-2</v>
      </c>
      <c r="K30" s="74">
        <f t="shared" si="1"/>
        <v>1.0697487305821252E-2</v>
      </c>
      <c r="L30" s="76">
        <v>1.0749999999999999E-2</v>
      </c>
      <c r="M30" s="74">
        <f t="shared" si="2"/>
        <v>1.2398654214195073E-2</v>
      </c>
      <c r="N30" s="74">
        <f t="shared" si="0"/>
        <v>1.5792887282210691E-2</v>
      </c>
      <c r="O30" s="76">
        <v>1.4189999999999999E-2</v>
      </c>
    </row>
    <row r="31" spans="6:18" x14ac:dyDescent="0.35">
      <c r="G31" s="2">
        <v>10</v>
      </c>
      <c r="H31" s="74">
        <v>2.9270000000000001E-2</v>
      </c>
      <c r="I31" s="74">
        <v>2.8270000000000017E-2</v>
      </c>
      <c r="J31" s="74" cm="1">
        <f t="array" ref="J31">_xlfn.LET(_xlpm.m, G31,
     _xlpm.rfr, I31,
     _xlpm.sm_down, INDEX(R.IRR_SM_DOWN, _xlpm.m),
     _xlpm.bm_down, INDEX(R.IRR_BM_DOWN, _xlpm.m),
     _xlpm.rfr * (1 - _xlpm.sm_down) - _xlpm.bm_down)</f>
        <v>1.0862000000000007E-2</v>
      </c>
      <c r="K31" s="74">
        <f t="shared" si="1"/>
        <v>1.0803432205243511E-2</v>
      </c>
      <c r="L31" s="76">
        <v>1.086E-2</v>
      </c>
      <c r="M31" s="74">
        <f t="shared" si="2"/>
        <v>1.1756936300043846E-2</v>
      </c>
      <c r="N31" s="74">
        <f t="shared" si="0"/>
        <v>1.5151169368059464E-2</v>
      </c>
      <c r="O31" s="76">
        <v>1.43E-2</v>
      </c>
    </row>
    <row r="32" spans="6:18" x14ac:dyDescent="0.35">
      <c r="G32" s="7">
        <v>11</v>
      </c>
      <c r="H32" s="74">
        <v>2.9790000000000001E-2</v>
      </c>
      <c r="I32" s="74">
        <v>2.8790000000000093E-2</v>
      </c>
      <c r="J32" s="74" cm="1">
        <f t="array" ref="J32">_xlfn.LET(_xlpm.m, G32,
     _xlpm.rfr, I32,
     _xlpm.sm_down, INDEX(R.IRR_SM_DOWN, _xlpm.m),
     _xlpm.bm_down, INDEX(R.IRR_BM_DOWN, _xlpm.m),
     _xlpm.rfr * (1 - _xlpm.sm_down) - _xlpm.bm_down)</f>
        <v>1.0986100000000056E-2</v>
      </c>
      <c r="K32" s="74">
        <f t="shared" si="1"/>
        <v>1.092619118021885E-2</v>
      </c>
      <c r="L32" s="76">
        <v>1.099E-2</v>
      </c>
      <c r="M32" s="74">
        <f t="shared" si="2"/>
        <v>1.2153780929972241E-2</v>
      </c>
      <c r="N32" s="74">
        <f t="shared" si="0"/>
        <v>1.5548013997987858E-2</v>
      </c>
      <c r="O32" s="76">
        <v>1.4420000000000001E-2</v>
      </c>
    </row>
    <row r="33" spans="7:15" x14ac:dyDescent="0.35">
      <c r="G33" s="7">
        <v>12</v>
      </c>
      <c r="H33" s="74">
        <v>3.0269999999999998E-2</v>
      </c>
      <c r="I33" s="74">
        <v>2.9269999999999907E-2</v>
      </c>
      <c r="J33" s="74" cm="1">
        <f t="array" ref="J33">_xlfn.LET(_xlpm.m, G33,
     _xlpm.rfr, I33,
     _xlpm.sm_down, INDEX(R.IRR_SM_DOWN, _xlpm.m),
     _xlpm.bm_down, INDEX(R.IRR_BM_DOWN, _xlpm.m),
     _xlpm.rfr * (1 - _xlpm.sm_down) - _xlpm.bm_down)</f>
        <v>1.0976599999999949E-2</v>
      </c>
      <c r="K33" s="74">
        <f t="shared" si="1"/>
        <v>1.0916794369881978E-2</v>
      </c>
      <c r="L33" s="76">
        <v>1.098E-2</v>
      </c>
      <c r="M33" s="74">
        <f t="shared" si="2"/>
        <v>1.0813429456176374E-2</v>
      </c>
      <c r="N33" s="74">
        <f t="shared" si="0"/>
        <v>1.4207662524191991E-2</v>
      </c>
      <c r="O33" s="76">
        <v>1.4409999999999999E-2</v>
      </c>
    </row>
    <row r="34" spans="7:15" x14ac:dyDescent="0.35">
      <c r="G34" s="7">
        <v>13</v>
      </c>
      <c r="H34" s="74">
        <v>3.0779000000000001E-2</v>
      </c>
      <c r="I34" s="74">
        <v>2.9779E-2</v>
      </c>
      <c r="J34" s="74" cm="1">
        <f t="array" ref="J34">_xlfn.LET(_xlpm.m, G34,
     _xlpm.rfr, I34,
     _xlpm.sm_down, INDEX(R.IRR_SM_DOWN, _xlpm.m),
     _xlpm.bm_down, INDEX(R.IRR_BM_DOWN, _xlpm.m),
     _xlpm.rfr * (1 - _xlpm.sm_down) - _xlpm.bm_down)</f>
        <v>1.1074030000000002E-2</v>
      </c>
      <c r="K34" s="74">
        <f t="shared" si="1"/>
        <v>1.1013161887717537E-2</v>
      </c>
      <c r="L34" s="76">
        <v>1.107E-2</v>
      </c>
      <c r="M34" s="74">
        <f t="shared" si="2"/>
        <v>1.2169572101744242E-2</v>
      </c>
      <c r="N34" s="74">
        <f t="shared" si="0"/>
        <v>1.5563805169759859E-2</v>
      </c>
      <c r="O34" s="76">
        <v>1.451E-2</v>
      </c>
    </row>
    <row r="35" spans="7:15" x14ac:dyDescent="0.35">
      <c r="G35" s="2">
        <v>14</v>
      </c>
      <c r="H35" s="74">
        <v>3.1123999999999999E-2</v>
      </c>
      <c r="I35" s="74">
        <v>3.0127698835053618E-2</v>
      </c>
      <c r="J35" s="74" cm="1">
        <f t="array" ref="J35">_xlfn.LET(_xlpm.m, G35,
     _xlpm.rfr, I35,
     _xlpm.sm_down, INDEX(R.IRR_SM_DOWN, _xlpm.m),
     _xlpm.bm_down, INDEX(R.IRR_BM_DOWN, _xlpm.m),
     _xlpm.rfr * (1 - _xlpm.sm_down) - _xlpm.bm_down)</f>
        <v>1.1071511347630028E-2</v>
      </c>
      <c r="K35" s="74">
        <f t="shared" si="1"/>
        <v>1.1010670818386968E-2</v>
      </c>
      <c r="L35" s="76">
        <v>1.107E-2</v>
      </c>
      <c r="M35" s="74">
        <f t="shared" si="2"/>
        <v>1.0978286917089575E-2</v>
      </c>
      <c r="N35" s="74">
        <f t="shared" si="0"/>
        <v>1.4372519985105192E-2</v>
      </c>
      <c r="O35" s="76">
        <v>1.451E-2</v>
      </c>
    </row>
    <row r="36" spans="7:15" x14ac:dyDescent="0.35">
      <c r="G36" s="2">
        <v>15</v>
      </c>
      <c r="H36" s="74">
        <v>3.143E-2</v>
      </c>
      <c r="I36" s="74">
        <v>3.0429999999999957E-2</v>
      </c>
      <c r="J36" s="74" cm="1">
        <f t="array" ref="J36">_xlfn.LET(_xlpm.m, G36,
     _xlpm.rfr, I36,
     _xlpm.sm_down, INDEX(R.IRR_SM_DOWN, _xlpm.m),
     _xlpm.bm_down, INDEX(R.IRR_BM_DOWN, _xlpm.m),
     _xlpm.rfr * (1 - _xlpm.sm_down) - _xlpm.bm_down)</f>
        <v>1.1036499999999977E-2</v>
      </c>
      <c r="K36" s="74">
        <f t="shared" si="1"/>
        <v>1.0976042255088471E-2</v>
      </c>
      <c r="L36" s="76">
        <v>1.1039999999999999E-2</v>
      </c>
      <c r="M36" s="74">
        <f t="shared" si="2"/>
        <v>1.0491242368909526E-2</v>
      </c>
      <c r="N36" s="74">
        <f t="shared" si="0"/>
        <v>1.3885475436925143E-2</v>
      </c>
      <c r="O36" s="76">
        <v>1.447E-2</v>
      </c>
    </row>
    <row r="37" spans="7:15" x14ac:dyDescent="0.35">
      <c r="G37" s="7">
        <v>16</v>
      </c>
      <c r="H37" s="74">
        <v>3.1741999999999999E-2</v>
      </c>
      <c r="I37" s="74">
        <v>3.0654926342562394E-2</v>
      </c>
      <c r="J37" s="74" cm="1">
        <f t="array" ref="J37">_xlfn.LET(_xlpm.m, G37,
     _xlpm.rfr, I37,
     _xlpm.sm_down, INDEX(R.IRR_SM_DOWN, _xlpm.m),
     _xlpm.bm_down, INDEX(R.IRR_BM_DOWN, _xlpm.m),
     _xlpm.rfr * (1 - _xlpm.sm_down) - _xlpm.bm_down)</f>
        <v>1.0647110961558071E-2</v>
      </c>
      <c r="K37" s="74">
        <f t="shared" si="1"/>
        <v>1.0590829612372574E-2</v>
      </c>
      <c r="L37" s="76">
        <v>1.065E-2</v>
      </c>
      <c r="M37" s="74">
        <f t="shared" si="2"/>
        <v>4.8126399716341139E-3</v>
      </c>
      <c r="N37" s="74">
        <f t="shared" si="0"/>
        <v>8.2068730396497314E-3</v>
      </c>
      <c r="O37" s="76">
        <v>1.4080000000000001E-2</v>
      </c>
    </row>
    <row r="38" spans="7:15" x14ac:dyDescent="0.35">
      <c r="G38" s="7">
        <v>17</v>
      </c>
      <c r="H38" s="74">
        <v>3.1960000000000002E-2</v>
      </c>
      <c r="I38" s="74">
        <v>3.0853431535391884E-2</v>
      </c>
      <c r="J38" s="74" cm="1">
        <f t="array" ref="J38">_xlfn.LET(_xlpm.m, G38,
     _xlpm.rfr, I38,
     _xlpm.sm_down, INDEX(R.IRR_SM_DOWN, _xlpm.m),
     _xlpm.bm_down, INDEX(R.IRR_BM_DOWN, _xlpm.m),
     _xlpm.rfr * (1 - _xlpm.sm_down) - _xlpm.bm_down)</f>
        <v>1.0543784398403781E-2</v>
      </c>
      <c r="K38" s="74">
        <f t="shared" si="1"/>
        <v>1.0488586362136806E-2</v>
      </c>
      <c r="L38" s="76">
        <v>1.0540000000000001E-2</v>
      </c>
      <c r="M38" s="74">
        <f t="shared" si="2"/>
        <v>8.8526943583645268E-3</v>
      </c>
      <c r="N38" s="74">
        <f t="shared" si="0"/>
        <v>1.2246927426380144E-2</v>
      </c>
      <c r="O38" s="76">
        <v>1.3979999999999999E-2</v>
      </c>
    </row>
    <row r="39" spans="7:15" x14ac:dyDescent="0.35">
      <c r="G39" s="7">
        <v>18</v>
      </c>
      <c r="H39" s="74">
        <v>3.2131E-2</v>
      </c>
      <c r="I39" s="74">
        <v>3.1029912691710404E-2</v>
      </c>
      <c r="J39" s="74" cm="1">
        <f t="array" ref="J39">_xlfn.LET(_xlpm.m, G39,
     _xlpm.rfr, I39,
     _xlpm.sm_down, INDEX(R.IRR_SM_DOWN, _xlpm.m),
     _xlpm.bm_down, INDEX(R.IRR_BM_DOWN, _xlpm.m),
     _xlpm.rfr * (1 - _xlpm.sm_down) - _xlpm.bm_down)</f>
        <v>1.0425255472772307E-2</v>
      </c>
      <c r="K39" s="74">
        <f t="shared" si="1"/>
        <v>1.0371287261132454E-2</v>
      </c>
      <c r="L39" s="76">
        <v>1.043E-2</v>
      </c>
      <c r="M39" s="74">
        <f t="shared" si="2"/>
        <v>8.3772025440584652E-3</v>
      </c>
      <c r="N39" s="74">
        <f t="shared" si="0"/>
        <v>1.1771435612074083E-2</v>
      </c>
      <c r="O39" s="76">
        <v>1.3860000000000001E-2</v>
      </c>
    </row>
    <row r="40" spans="7:15" x14ac:dyDescent="0.35">
      <c r="G40" s="2">
        <v>19</v>
      </c>
      <c r="H40" s="74">
        <v>3.2272000000000002E-2</v>
      </c>
      <c r="I40" s="74">
        <v>3.1187842494311724E-2</v>
      </c>
      <c r="J40" s="74" cm="1">
        <f t="array" ref="J40">_xlfn.LET(_xlpm.m, G40,
     _xlpm.rfr, I40,
     _xlpm.sm_down, INDEX(R.IRR_SM_DOWN, _xlpm.m),
     _xlpm.bm_down, INDEX(R.IRR_BM_DOWN, _xlpm.m),
     _xlpm.rfr * (1 - _xlpm.sm_down) - _xlpm.bm_down)</f>
        <v>1.0705799672098979E-2</v>
      </c>
      <c r="K40" s="74">
        <f t="shared" si="1"/>
        <v>1.0648898354598322E-2</v>
      </c>
      <c r="L40" s="76">
        <v>1.0710000000000001E-2</v>
      </c>
      <c r="M40" s="74">
        <f t="shared" si="2"/>
        <v>1.5645898036983935E-2</v>
      </c>
      <c r="N40" s="74">
        <f t="shared" si="0"/>
        <v>1.9040131104999553E-2</v>
      </c>
      <c r="O40" s="76">
        <v>1.414E-2</v>
      </c>
    </row>
    <row r="41" spans="7:15" x14ac:dyDescent="0.35">
      <c r="G41" s="2">
        <v>20</v>
      </c>
      <c r="H41" s="74">
        <v>3.2329999999999998E-2</v>
      </c>
      <c r="I41" s="74">
        <v>3.133000000000008E-2</v>
      </c>
      <c r="J41" s="74" cm="1">
        <f t="array" ref="J41">_xlfn.LET(_xlpm.m, G41,
     _xlpm.rfr, I41,
     _xlpm.sm_down, INDEX(R.IRR_SM_DOWN, _xlpm.m),
     _xlpm.bm_down, INDEX(R.IRR_BM_DOWN, _xlpm.m),
     _xlpm.rfr * (1 - _xlpm.sm_down) - _xlpm.bm_down)</f>
        <v>1.0665000000000039E-2</v>
      </c>
      <c r="K41" s="74">
        <f t="shared" si="1"/>
        <v>1.0608530034138799E-2</v>
      </c>
      <c r="L41" s="76">
        <v>1.0670000000000001E-2</v>
      </c>
      <c r="M41" s="74">
        <f t="shared" si="2"/>
        <v>9.8415319454078776E-3</v>
      </c>
      <c r="N41" s="74">
        <f t="shared" si="0"/>
        <v>1.3235765013423495E-2</v>
      </c>
      <c r="O41" s="76">
        <v>1.41E-2</v>
      </c>
    </row>
    <row r="42" spans="7:15" x14ac:dyDescent="0.35">
      <c r="G42" s="7">
        <v>21</v>
      </c>
      <c r="H42" s="74">
        <v>3.2460000000000003E-2</v>
      </c>
      <c r="I42" s="74">
        <v>3.1370473649038111E-2</v>
      </c>
      <c r="J42" s="74" cm="1">
        <f t="array" ref="J42">_xlfn.LET(_xlpm.m, G42,
     _xlpm.rfr, I42,
     _xlpm.sm_down, INDEX(R.IRR_SM_DOWN, _xlpm.m),
     _xlpm.bm_down, INDEX(R.IRR_BM_DOWN, _xlpm.m),
     _xlpm.rfr * (1 - _xlpm.sm_down) - _xlpm.bm_down)</f>
        <v>1.1098941561009436E-2</v>
      </c>
      <c r="K42" s="74">
        <f t="shared" si="1"/>
        <v>1.1037800295372048E-2</v>
      </c>
      <c r="L42" s="76">
        <v>1.069E-2</v>
      </c>
      <c r="M42" s="74">
        <f t="shared" si="2"/>
        <v>1.9623205520037018E-2</v>
      </c>
      <c r="N42" s="74">
        <f t="shared" si="0"/>
        <v>2.3017438588052636E-2</v>
      </c>
      <c r="O42" s="76">
        <v>1.401E-2</v>
      </c>
    </row>
    <row r="43" spans="7:15" x14ac:dyDescent="0.35">
      <c r="G43" s="7">
        <v>22</v>
      </c>
      <c r="H43" s="74">
        <v>3.2510999999999998E-2</v>
      </c>
      <c r="I43" s="74">
        <v>3.1407269253757697E-2</v>
      </c>
      <c r="J43" s="74" cm="1">
        <f t="array" ref="J43">_xlfn.LET(_xlpm.m, G43,
     _xlpm.rfr, I43,
     _xlpm.sm_down, INDEX(R.IRR_SM_DOWN, _xlpm.m),
     _xlpm.bm_down, INDEX(R.IRR_BM_DOWN, _xlpm.m),
     _xlpm.rfr * (1 - _xlpm.sm_down) - _xlpm.bm_down)</f>
        <v>1.0803634626878849E-2</v>
      </c>
      <c r="K43" s="74">
        <f t="shared" si="1"/>
        <v>1.0745692317759131E-2</v>
      </c>
      <c r="L43" s="76">
        <v>1.081E-2</v>
      </c>
      <c r="M43" s="74">
        <f t="shared" si="2"/>
        <v>4.6114247878878689E-3</v>
      </c>
      <c r="N43" s="74">
        <f t="shared" si="0"/>
        <v>8.0056578559034863E-3</v>
      </c>
      <c r="O43" s="76">
        <v>1.4019999999999999E-2</v>
      </c>
    </row>
    <row r="44" spans="7:15" x14ac:dyDescent="0.35">
      <c r="G44" s="7">
        <v>23</v>
      </c>
      <c r="H44" s="74">
        <v>3.2542000000000001E-2</v>
      </c>
      <c r="I44" s="74">
        <v>3.1440866387146382E-2</v>
      </c>
      <c r="J44" s="74" cm="1">
        <f t="array" ref="J44">_xlfn.LET(_xlpm.m, G44,
     _xlpm.rfr, I44,
     _xlpm.sm_down, INDEX(R.IRR_SM_DOWN, _xlpm.m),
     _xlpm.bm_down, INDEX(R.IRR_BM_DOWN, _xlpm.m),
     _xlpm.rfr * (1 - _xlpm.sm_down) - _xlpm.bm_down)</f>
        <v>1.0606024529701729E-2</v>
      </c>
      <c r="K44" s="74">
        <f t="shared" si="1"/>
        <v>1.0550175197405427E-2</v>
      </c>
      <c r="L44" s="76">
        <v>1.099E-2</v>
      </c>
      <c r="M44" s="74">
        <f t="shared" si="2"/>
        <v>6.2487985496239573E-3</v>
      </c>
      <c r="N44" s="74">
        <f t="shared" si="0"/>
        <v>9.6430316176395747E-3</v>
      </c>
      <c r="O44" s="76">
        <v>1.4109999999999999E-2</v>
      </c>
    </row>
    <row r="45" spans="7:15" x14ac:dyDescent="0.35">
      <c r="G45" s="2">
        <v>24</v>
      </c>
      <c r="H45" s="74">
        <v>3.2550999999999997E-2</v>
      </c>
      <c r="I45" s="74">
        <v>3.1471664720814418E-2</v>
      </c>
      <c r="J45" s="74" cm="1">
        <f t="array" ref="J45">_xlfn.LET(_xlpm.m, G45,
     _xlpm.rfr, I45,
     _xlpm.sm_down, INDEX(R.IRR_SM_DOWN, _xlpm.m),
     _xlpm.bm_down, INDEX(R.IRR_BM_DOWN, _xlpm.m),
     _xlpm.rfr * (1 - _xlpm.sm_down) - _xlpm.bm_down)</f>
        <v>1.0621115713199066E-2</v>
      </c>
      <c r="K45" s="74">
        <f t="shared" si="1"/>
        <v>1.0565107891704952E-2</v>
      </c>
      <c r="L45" s="76">
        <v>1.124E-2</v>
      </c>
      <c r="M45" s="74">
        <f t="shared" si="2"/>
        <v>1.0908559860594025E-2</v>
      </c>
      <c r="N45" s="74">
        <f t="shared" si="0"/>
        <v>1.4302792928609642E-2</v>
      </c>
      <c r="O45" s="76">
        <v>1.426E-2</v>
      </c>
    </row>
    <row r="46" spans="7:15" x14ac:dyDescent="0.35">
      <c r="G46" s="2">
        <v>25</v>
      </c>
      <c r="H46" s="74">
        <v>3.2500000000000001E-2</v>
      </c>
      <c r="I46" s="74">
        <v>3.1500000000000083E-2</v>
      </c>
      <c r="J46" s="74" cm="1">
        <f t="array" ref="J46">_xlfn.LET(_xlpm.m, G46,
     _xlpm.rfr, I46,
     _xlpm.sm_down, INDEX(R.IRR_SM_DOWN, _xlpm.m),
     _xlpm.bm_down, INDEX(R.IRR_BM_DOWN, _xlpm.m),
     _xlpm.rfr * (1 - _xlpm.sm_down) - _xlpm.bm_down)</f>
        <v>1.042000000000004E-2</v>
      </c>
      <c r="K46" s="74">
        <f t="shared" si="1"/>
        <v>1.0366085999177257E-2</v>
      </c>
      <c r="L46" s="76">
        <v>1.1520000000000001E-2</v>
      </c>
      <c r="M46" s="74">
        <f t="shared" si="2"/>
        <v>5.5895605785125646E-3</v>
      </c>
      <c r="N46" s="74">
        <f t="shared" si="0"/>
        <v>8.983793646528182E-3</v>
      </c>
      <c r="O46" s="76">
        <v>1.4449999999999999E-2</v>
      </c>
    </row>
    <row r="47" spans="7:15" x14ac:dyDescent="0.35">
      <c r="G47" s="7">
        <v>26</v>
      </c>
      <c r="H47" s="74">
        <v>3.2539999999999999E-2</v>
      </c>
      <c r="I47" s="74">
        <v>3.1484076513391468E-2</v>
      </c>
      <c r="J47" s="74" cm="1">
        <f t="array" ref="J47">_xlfn.LET(_xlpm.m, G47,
     _xlpm.rfr, I47,
     _xlpm.sm_down, INDEX(R.IRR_SM_DOWN, _xlpm.m),
     _xlpm.bm_down, INDEX(R.IRR_BM_DOWN, _xlpm.m),
     _xlpm.rfr * (1 - _xlpm.sm_down) - _xlpm.bm_down)</f>
        <v>1.0512356726427904E-2</v>
      </c>
      <c r="K47" s="74">
        <f t="shared" si="1"/>
        <v>1.0457486115746829E-2</v>
      </c>
      <c r="L47" s="76">
        <v>1.184E-2</v>
      </c>
      <c r="M47" s="74">
        <f t="shared" si="2"/>
        <v>1.2742489029986148E-2</v>
      </c>
      <c r="N47" s="74">
        <f t="shared" si="0"/>
        <v>1.6136722098001766E-2</v>
      </c>
      <c r="O47" s="76">
        <v>1.4670000000000001E-2</v>
      </c>
    </row>
    <row r="48" spans="7:15" x14ac:dyDescent="0.35">
      <c r="G48" s="7">
        <v>27</v>
      </c>
      <c r="H48" s="74">
        <v>3.2528000000000001E-2</v>
      </c>
      <c r="I48" s="74">
        <v>3.1469332763485403E-2</v>
      </c>
      <c r="J48" s="74" cm="1">
        <f t="array" ref="J48">_xlfn.LET(_xlpm.m, G48,
     _xlpm.rfr, I48,
     _xlpm.sm_down, INDEX(R.IRR_SM_DOWN, _xlpm.m),
     _xlpm.bm_down, INDEX(R.IRR_BM_DOWN, _xlpm.m),
     _xlpm.rfr * (1 - _xlpm.sm_down) - _xlpm.bm_down)</f>
        <v>1.0290586398838137E-2</v>
      </c>
      <c r="K48" s="74">
        <f t="shared" si="1"/>
        <v>1.0237998778562853E-2</v>
      </c>
      <c r="L48" s="76">
        <v>1.217E-2</v>
      </c>
      <c r="M48" s="74">
        <f t="shared" si="2"/>
        <v>4.5313280117794674E-3</v>
      </c>
      <c r="N48" s="74">
        <f t="shared" si="0"/>
        <v>7.9255610797950848E-3</v>
      </c>
      <c r="O48" s="76">
        <v>1.4930000000000001E-2</v>
      </c>
    </row>
    <row r="49" spans="7:15" x14ac:dyDescent="0.35">
      <c r="G49" s="7">
        <v>28</v>
      </c>
      <c r="H49" s="74">
        <v>3.2509999999999997E-2</v>
      </c>
      <c r="I49" s="74">
        <v>3.1455642327273825E-2</v>
      </c>
      <c r="J49" s="74" cm="1">
        <f t="array" ref="J49">_xlfn.LET(_xlpm.m, G49,
     _xlpm.rfr, I49,
     _xlpm.sm_down, INDEX(R.IRR_SM_DOWN, _xlpm.m),
     _xlpm.bm_down, INDEX(R.IRR_BM_DOWN, _xlpm.m),
     _xlpm.rfr * (1 - _xlpm.sm_down) - _xlpm.bm_down)</f>
        <v>1.0384151893818697E-2</v>
      </c>
      <c r="K49" s="74">
        <f t="shared" si="1"/>
        <v>1.0330606948769076E-2</v>
      </c>
      <c r="L49" s="76">
        <v>1.252E-2</v>
      </c>
      <c r="M49" s="74">
        <f t="shared" si="2"/>
        <v>1.283102754433707E-2</v>
      </c>
      <c r="N49" s="74">
        <f t="shared" si="0"/>
        <v>1.6225260612352688E-2</v>
      </c>
      <c r="O49" s="76">
        <v>1.52E-2</v>
      </c>
    </row>
    <row r="50" spans="7:15" x14ac:dyDescent="0.35">
      <c r="G50" s="2">
        <v>29</v>
      </c>
      <c r="H50" s="74">
        <v>3.2489999999999998E-2</v>
      </c>
      <c r="I50" s="74">
        <v>3.1442896222421135E-2</v>
      </c>
      <c r="J50" s="74" cm="1">
        <f t="array" ref="J50">_xlfn.LET(_xlpm.m, G50,
     _xlpm.rfr, I50,
     _xlpm.sm_down, INDEX(R.IRR_SM_DOWN, _xlpm.m),
     _xlpm.bm_down, INDEX(R.IRR_BM_DOWN, _xlpm.m),
     _xlpm.rfr * (1 - _xlpm.sm_down) - _xlpm.bm_down)</f>
        <v>1.0578161224537933E-2</v>
      </c>
      <c r="K50" s="74">
        <f t="shared" si="1"/>
        <v>1.0522603929668471E-2</v>
      </c>
      <c r="L50" s="76">
        <v>1.2880000000000001E-2</v>
      </c>
      <c r="M50" s="74">
        <f t="shared" si="2"/>
        <v>1.589851939485154E-2</v>
      </c>
      <c r="N50" s="74">
        <f t="shared" si="0"/>
        <v>1.9292752462867158E-2</v>
      </c>
      <c r="O50" s="76">
        <v>1.5480000000000001E-2</v>
      </c>
    </row>
    <row r="51" spans="7:15" x14ac:dyDescent="0.35">
      <c r="G51" s="2">
        <v>30</v>
      </c>
      <c r="H51" s="74">
        <v>3.2431000000000001E-2</v>
      </c>
      <c r="I51" s="74">
        <v>3.1430999999999987E-2</v>
      </c>
      <c r="J51" s="74" cm="1">
        <f t="array" ref="J51">_xlfn.LET(_xlpm.m, G51,
     _xlpm.rfr, I51,
     _xlpm.sm_down, INDEX(R.IRR_SM_DOWN, _xlpm.m),
     _xlpm.bm_down, INDEX(R.IRR_BM_DOWN, _xlpm.m),
     _xlpm.rfr * (1 - _xlpm.sm_down) - _xlpm.bm_down)</f>
        <v>1.0672569999999992E-2</v>
      </c>
      <c r="K51" s="74">
        <f t="shared" si="1"/>
        <v>1.0616020123980639E-2</v>
      </c>
      <c r="L51" s="76">
        <v>1.325E-2</v>
      </c>
      <c r="M51" s="74">
        <f t="shared" si="2"/>
        <v>1.3325089759033515E-2</v>
      </c>
      <c r="N51" s="74">
        <f t="shared" si="0"/>
        <v>1.6719322827049132E-2</v>
      </c>
      <c r="O51" s="76">
        <v>1.5769999999999999E-2</v>
      </c>
    </row>
    <row r="52" spans="7:15" x14ac:dyDescent="0.35">
      <c r="G52" s="7">
        <v>31</v>
      </c>
      <c r="H52" s="74" t="e">
        <v>#N/A</v>
      </c>
      <c r="I52" s="74">
        <v>3.1383121532013059E-2</v>
      </c>
      <c r="J52" s="74" cm="1">
        <f t="array" ref="J52">_xlfn.LET(_xlpm.m, G52,
     _xlpm.rfr, I52,
     _xlpm.sm_down, INDEX(R.IRR_SM_DOWN, _xlpm.m),
     _xlpm.bm_down, INDEX(R.IRR_BM_DOWN, _xlpm.m),
     _xlpm.rfr * (1 - _xlpm.sm_down) - _xlpm.bm_down)</f>
        <v>1.0750067120046137E-2</v>
      </c>
      <c r="K52" s="74">
        <f t="shared" si="1"/>
        <v>1.0692695944920786E-2</v>
      </c>
      <c r="L52" s="76">
        <v>1.3610000000000001E-2</v>
      </c>
      <c r="M52" s="74">
        <f t="shared" si="2"/>
        <v>1.2992970573125207E-2</v>
      </c>
      <c r="N52" s="74">
        <f t="shared" si="0"/>
        <v>1.6387203641140824E-2</v>
      </c>
      <c r="O52" s="76">
        <v>1.6070000000000001E-2</v>
      </c>
    </row>
    <row r="53" spans="7:15" x14ac:dyDescent="0.35">
      <c r="G53" s="7">
        <v>32</v>
      </c>
      <c r="H53" s="74" t="e">
        <v>#N/A</v>
      </c>
      <c r="I53" s="74">
        <v>3.1338237486751908E-2</v>
      </c>
      <c r="J53" s="74" cm="1">
        <f t="array" ref="J53">_xlfn.LET(_xlpm.m, G53,
     _xlpm.rfr, I53,
     _xlpm.sm_down, INDEX(R.IRR_SM_DOWN, _xlpm.m),
     _xlpm.bm_down, INDEX(R.IRR_BM_DOWN, _xlpm.m),
     _xlpm.rfr * (1 - _xlpm.sm_down) - _xlpm.bm_down)</f>
        <v>1.0828971618773397E-2</v>
      </c>
      <c r="K53" s="74">
        <f t="shared" si="1"/>
        <v>1.0770758189587278E-2</v>
      </c>
      <c r="L53" s="76">
        <v>1.3979999999999999E-2</v>
      </c>
      <c r="M53" s="74">
        <f t="shared" si="2"/>
        <v>1.3190687774248533E-2</v>
      </c>
      <c r="N53" s="74">
        <f t="shared" si="0"/>
        <v>1.658492084226415E-2</v>
      </c>
      <c r="O53" s="76">
        <v>1.6369999999999999E-2</v>
      </c>
    </row>
    <row r="54" spans="7:15" x14ac:dyDescent="0.35">
      <c r="G54" s="7">
        <v>33</v>
      </c>
      <c r="H54" s="74" t="e">
        <v>#N/A</v>
      </c>
      <c r="I54" s="74">
        <v>3.1296075465953921E-2</v>
      </c>
      <c r="J54" s="74" cm="1">
        <f t="array" ref="J54">_xlfn.LET(_xlpm.m, G54,
     _xlpm.rfr, I54,
     _xlpm.sm_down, INDEX(R.IRR_SM_DOWN, _xlpm.m),
     _xlpm.bm_down, INDEX(R.IRR_BM_DOWN, _xlpm.m),
     _xlpm.rfr * (1 - _xlpm.sm_down) - _xlpm.bm_down)</f>
        <v>1.0696194714338803E-2</v>
      </c>
      <c r="K54" s="74">
        <f t="shared" si="1"/>
        <v>1.0639395091232596E-2</v>
      </c>
      <c r="L54" s="76">
        <v>1.434E-2</v>
      </c>
      <c r="M54" s="74">
        <f t="shared" si="2"/>
        <v>6.4357759438827267E-3</v>
      </c>
      <c r="N54" s="74">
        <f t="shared" ref="N54:N85" si="3">M54+LN(1+V.TOTAL_VA)</f>
        <v>9.8300090118983441E-3</v>
      </c>
      <c r="O54" s="76">
        <v>1.6670000000000001E-2</v>
      </c>
    </row>
    <row r="55" spans="7:15" x14ac:dyDescent="0.35">
      <c r="G55" s="2">
        <v>34</v>
      </c>
      <c r="H55" s="74" t="e">
        <v>#N/A</v>
      </c>
      <c r="I55" s="74">
        <v>3.1256395138546278E-2</v>
      </c>
      <c r="J55" s="74" cm="1">
        <f t="array" ref="J55">_xlfn.LET(_xlpm.m, G55,
     _xlpm.rfr, I55,
     _xlpm.sm_down, INDEX(R.IRR_SM_DOWN, _xlpm.m),
     _xlpm.bm_down, INDEX(R.IRR_BM_DOWN, _xlpm.m),
     _xlpm.rfr * (1 - _xlpm.sm_down) - _xlpm.bm_down)</f>
        <v>1.0777941763731286E-2</v>
      </c>
      <c r="K55" s="74">
        <f t="shared" si="1"/>
        <v>1.0720273741087154E-2</v>
      </c>
      <c r="L55" s="76">
        <v>1.47E-2</v>
      </c>
      <c r="M55" s="74">
        <f t="shared" ref="M55:M86" si="4">G55*K55-G54*K54</f>
        <v>1.3389269186287633E-2</v>
      </c>
      <c r="N55" s="74">
        <f t="shared" si="3"/>
        <v>1.6783502254303251E-2</v>
      </c>
      <c r="O55" s="76">
        <v>1.6969999999999999E-2</v>
      </c>
    </row>
    <row r="56" spans="7:15" x14ac:dyDescent="0.35">
      <c r="G56" s="2">
        <v>35</v>
      </c>
      <c r="H56" s="74" t="e">
        <v>#N/A</v>
      </c>
      <c r="I56" s="74">
        <v>3.1218983656795762E-2</v>
      </c>
      <c r="J56" s="74" cm="1">
        <f t="array" ref="J56">_xlfn.LET(_xlpm.m, G56,
     _xlpm.rfr, I56,
     _xlpm.sm_down, INDEX(R.IRR_SM_DOWN, _xlpm.m),
     _xlpm.bm_down, INDEX(R.IRR_BM_DOWN, _xlpm.m),
     _xlpm.rfr * (1 - _xlpm.sm_down) - _xlpm.bm_down)</f>
        <v>1.0860732482126051E-2</v>
      </c>
      <c r="K56" s="74">
        <f t="shared" si="1"/>
        <v>1.0802178306424048E-2</v>
      </c>
      <c r="L56" s="76">
        <v>1.5049999999999999E-2</v>
      </c>
      <c r="M56" s="74">
        <f t="shared" si="4"/>
        <v>1.3586933527878431E-2</v>
      </c>
      <c r="N56" s="74">
        <f t="shared" si="3"/>
        <v>1.6981166595894048E-2</v>
      </c>
      <c r="O56" s="76">
        <v>1.7260000000000001E-2</v>
      </c>
    </row>
    <row r="57" spans="7:15" x14ac:dyDescent="0.35">
      <c r="G57" s="7">
        <v>36</v>
      </c>
      <c r="H57" s="74" t="e">
        <v>#N/A</v>
      </c>
      <c r="I57" s="74">
        <v>3.1183651836891535E-2</v>
      </c>
      <c r="J57" s="74" cm="1">
        <f t="array" ref="J57">_xlfn.LET(_xlpm.m, G57,
     _xlpm.rfr, I57,
     _xlpm.sm_down, INDEX(R.IRR_SM_DOWN, _xlpm.m),
     _xlpm.bm_down, INDEX(R.IRR_BM_DOWN, _xlpm.m),
     _xlpm.rfr * (1 - _xlpm.sm_down) - _xlpm.bm_down)</f>
        <v>1.0944479844970104E-2</v>
      </c>
      <c r="K57" s="74">
        <f t="shared" si="1"/>
        <v>1.0885022452221253E-2</v>
      </c>
      <c r="L57" s="76">
        <v>1.54E-2</v>
      </c>
      <c r="M57" s="74">
        <f t="shared" si="4"/>
        <v>1.3784567555123417E-2</v>
      </c>
      <c r="N57" s="74">
        <f t="shared" si="3"/>
        <v>1.7178800623139034E-2</v>
      </c>
      <c r="O57" s="76">
        <v>1.755E-2</v>
      </c>
    </row>
    <row r="58" spans="7:15" x14ac:dyDescent="0.35">
      <c r="G58" s="7">
        <v>37</v>
      </c>
      <c r="H58" s="74" t="e">
        <v>#N/A</v>
      </c>
      <c r="I58" s="74">
        <v>3.1150230959252623E-2</v>
      </c>
      <c r="J58" s="74" cm="1">
        <f t="array" ref="J58">_xlfn.LET(_xlpm.m, G58,
     _xlpm.rfr, I58,
     _xlpm.sm_down, INDEX(R.IRR_SM_DOWN, _xlpm.m),
     _xlpm.bm_down, INDEX(R.IRR_BM_DOWN, _xlpm.m),
     _xlpm.rfr * (1 - _xlpm.sm_down) - _xlpm.bm_down)</f>
        <v>1.0717603931663679E-2</v>
      </c>
      <c r="K58" s="74">
        <f t="shared" si="1"/>
        <v>1.0660577510527552E-2</v>
      </c>
      <c r="L58" s="76">
        <v>1.5740000000000001E-2</v>
      </c>
      <c r="M58" s="74">
        <f t="shared" si="4"/>
        <v>2.5805596095542782E-3</v>
      </c>
      <c r="N58" s="74">
        <f t="shared" si="3"/>
        <v>5.9747926775698956E-3</v>
      </c>
      <c r="O58" s="76">
        <v>1.7840000000000002E-2</v>
      </c>
    </row>
    <row r="59" spans="7:15" x14ac:dyDescent="0.35">
      <c r="G59" s="7">
        <v>38</v>
      </c>
      <c r="H59" s="74" t="e">
        <v>#N/A</v>
      </c>
      <c r="I59" s="74">
        <v>3.1118570074337937E-2</v>
      </c>
      <c r="J59" s="74" cm="1">
        <f t="array" ref="J59">_xlfn.LET(_xlpm.m, G59,
     _xlpm.rfr, I59,
     _xlpm.sm_down, INDEX(R.IRR_SM_DOWN, _xlpm.m),
     _xlpm.bm_down, INDEX(R.IRR_BM_DOWN, _xlpm.m),
     _xlpm.rfr * (1 - _xlpm.sm_down) - _xlpm.bm_down)</f>
        <v>1.0803356533452071E-2</v>
      </c>
      <c r="K59" s="74">
        <f t="shared" si="1"/>
        <v>1.0745417196602379E-2</v>
      </c>
      <c r="L59" s="76">
        <v>1.6070000000000001E-2</v>
      </c>
      <c r="M59" s="74">
        <f t="shared" si="4"/>
        <v>1.3884485581371009E-2</v>
      </c>
      <c r="N59" s="74">
        <f t="shared" si="3"/>
        <v>1.7278718649386626E-2</v>
      </c>
      <c r="O59" s="76">
        <v>1.8120000000000001E-2</v>
      </c>
    </row>
    <row r="60" spans="7:15" x14ac:dyDescent="0.35">
      <c r="G60" s="2">
        <v>39</v>
      </c>
      <c r="H60" s="74" t="e">
        <v>#N/A</v>
      </c>
      <c r="I60" s="74">
        <v>3.1088533723176104E-2</v>
      </c>
      <c r="J60" s="74" cm="1">
        <f t="array" ref="J60">_xlfn.LET(_xlpm.m, G60,
     _xlpm.rfr, I60,
     _xlpm.sm_down, INDEX(R.IRR_SM_DOWN, _xlpm.m),
     _xlpm.bm_down, INDEX(R.IRR_BM_DOWN, _xlpm.m),
     _xlpm.rfr * (1 - _xlpm.sm_down) - _xlpm.bm_down)</f>
        <v>1.0578954838197483E-2</v>
      </c>
      <c r="K60" s="74">
        <f t="shared" si="1"/>
        <v>1.0523389235920172E-2</v>
      </c>
      <c r="L60" s="76">
        <v>1.6389999999999998E-2</v>
      </c>
      <c r="M60" s="74">
        <f t="shared" si="4"/>
        <v>2.0863267299963129E-3</v>
      </c>
      <c r="N60" s="74">
        <f t="shared" si="3"/>
        <v>5.4805597980119303E-3</v>
      </c>
      <c r="O60" s="76">
        <v>1.839E-2</v>
      </c>
    </row>
    <row r="61" spans="7:15" x14ac:dyDescent="0.35">
      <c r="G61" s="2">
        <v>40</v>
      </c>
      <c r="H61" s="74">
        <v>3.2059999999999998E-2</v>
      </c>
      <c r="I61" s="74">
        <v>3.1060000000000088E-2</v>
      </c>
      <c r="J61" s="74" cm="1">
        <f t="array" ref="J61">_xlfn.LET(_xlpm.m, G61,
     _xlpm.rfr, I61,
     _xlpm.sm_down, INDEX(R.IRR_SM_DOWN, _xlpm.m),
     _xlpm.bm_down, INDEX(R.IRR_BM_DOWN, _xlpm.m),
     _xlpm.rfr * (1 - _xlpm.sm_down) - _xlpm.bm_down)</f>
        <v>1.035580000000004E-2</v>
      </c>
      <c r="K61" s="74">
        <f t="shared" si="1"/>
        <v>1.0302546045837002E-2</v>
      </c>
      <c r="L61" s="76">
        <v>1.67E-2</v>
      </c>
      <c r="M61" s="74">
        <f t="shared" si="4"/>
        <v>1.6896616325933755E-3</v>
      </c>
      <c r="N61" s="74">
        <f t="shared" si="3"/>
        <v>5.083894700608993E-3</v>
      </c>
      <c r="O61" s="76">
        <v>1.866E-2</v>
      </c>
    </row>
    <row r="62" spans="7:15" x14ac:dyDescent="0.35">
      <c r="G62" s="7">
        <v>41</v>
      </c>
      <c r="H62" s="74" t="e">
        <v>#N/A</v>
      </c>
      <c r="I62" s="74">
        <v>3.0968507363280384E-2</v>
      </c>
      <c r="J62" s="74" cm="1">
        <f t="array" ref="J62">_xlfn.LET(_xlpm.m, G62,
     _xlpm.rfr, I62,
     _xlpm.sm_down, INDEX(R.IRR_SM_DOWN, _xlpm.m),
     _xlpm.bm_down, INDEX(R.IRR_BM_DOWN, _xlpm.m),
     _xlpm.rfr * (1 - _xlpm.sm_down) - _xlpm.bm_down)</f>
        <v>1.0416458166210566E-2</v>
      </c>
      <c r="K62" s="74">
        <f t="shared" si="1"/>
        <v>1.0362580684558373E-2</v>
      </c>
      <c r="L62" s="76">
        <v>1.7000000000000001E-2</v>
      </c>
      <c r="M62" s="74">
        <f t="shared" si="4"/>
        <v>1.2763966233413193E-2</v>
      </c>
      <c r="N62" s="74">
        <f t="shared" si="3"/>
        <v>1.6158199301428811E-2</v>
      </c>
      <c r="O62" s="76">
        <v>1.8919999999999999E-2</v>
      </c>
    </row>
    <row r="63" spans="7:15" x14ac:dyDescent="0.35">
      <c r="G63" s="7">
        <v>42</v>
      </c>
      <c r="H63" s="74" t="e">
        <v>#N/A</v>
      </c>
      <c r="I63" s="74">
        <v>3.0881379066826087E-2</v>
      </c>
      <c r="J63" s="74" cm="1">
        <f t="array" ref="J63">_xlfn.LET(_xlpm.m, G63,
     _xlpm.rfr, I63,
     _xlpm.sm_down, INDEX(R.IRR_SM_DOWN, _xlpm.m),
     _xlpm.bm_down, INDEX(R.IRR_BM_DOWN, _xlpm.m),
     _xlpm.rfr * (1 - _xlpm.sm_down) - _xlpm.bm_down)</f>
        <v>1.0170179208066957E-2</v>
      </c>
      <c r="K63" s="74">
        <f t="shared" si="1"/>
        <v>1.0118810925016614E-2</v>
      </c>
      <c r="L63" s="76">
        <v>1.7299999999999999E-2</v>
      </c>
      <c r="M63" s="74">
        <f t="shared" si="4"/>
        <v>1.2425078380451371E-4</v>
      </c>
      <c r="N63" s="74">
        <f t="shared" si="3"/>
        <v>3.5184838518201307E-3</v>
      </c>
      <c r="O63" s="76">
        <v>1.917E-2</v>
      </c>
    </row>
    <row r="64" spans="7:15" x14ac:dyDescent="0.35">
      <c r="G64" s="7">
        <v>43</v>
      </c>
      <c r="H64" s="74" t="e">
        <v>#N/A</v>
      </c>
      <c r="I64" s="74">
        <v>3.0798310106840532E-2</v>
      </c>
      <c r="J64" s="74" cm="1">
        <f t="array" ref="J64">_xlfn.LET(_xlpm.m, G64,
     _xlpm.rfr, I64,
     _xlpm.sm_down, INDEX(R.IRR_SM_DOWN, _xlpm.m),
     _xlpm.bm_down, INDEX(R.IRR_BM_DOWN, _xlpm.m),
     _xlpm.rfr * (1 - _xlpm.sm_down) - _xlpm.bm_down)</f>
        <v>9.9273071438046173E-3</v>
      </c>
      <c r="K64" s="74">
        <f t="shared" si="1"/>
        <v>9.8783551380325317E-3</v>
      </c>
      <c r="L64" s="76">
        <v>1.7590000000000001E-2</v>
      </c>
      <c r="M64" s="74">
        <f t="shared" si="4"/>
        <v>-2.2078791529894781E-4</v>
      </c>
      <c r="N64" s="74">
        <f t="shared" si="3"/>
        <v>3.1734451527166692E-3</v>
      </c>
      <c r="O64" s="76">
        <v>1.942E-2</v>
      </c>
    </row>
    <row r="65" spans="7:15" x14ac:dyDescent="0.35">
      <c r="G65" s="2">
        <v>44</v>
      </c>
      <c r="H65" s="74" t="e">
        <v>#N/A</v>
      </c>
      <c r="I65" s="74">
        <v>3.0719023252943733E-2</v>
      </c>
      <c r="J65" s="74" cm="1">
        <f t="array" ref="J65">_xlfn.LET(_xlpm.m, G65,
     _xlpm.rfr, I65,
     _xlpm.sm_down, INDEX(R.IRR_SM_DOWN, _xlpm.m),
     _xlpm.bm_down, INDEX(R.IRR_BM_DOWN, _xlpm.m),
     _xlpm.rfr * (1 - _xlpm.sm_down) - _xlpm.bm_down)</f>
        <v>9.3804190686480569E-3</v>
      </c>
      <c r="K65" s="74">
        <f t="shared" si="1"/>
        <v>9.3366961512136963E-3</v>
      </c>
      <c r="L65" s="76">
        <v>1.7860000000000001E-2</v>
      </c>
      <c r="M65" s="74">
        <f t="shared" si="4"/>
        <v>-1.3954640281996222E-2</v>
      </c>
      <c r="N65" s="74">
        <f t="shared" si="3"/>
        <v>-1.0560407213980605E-2</v>
      </c>
      <c r="O65" s="76">
        <v>1.9650000000000001E-2</v>
      </c>
    </row>
    <row r="66" spans="7:15" x14ac:dyDescent="0.35">
      <c r="G66" s="2">
        <v>45</v>
      </c>
      <c r="H66" s="74" t="e">
        <v>#N/A</v>
      </c>
      <c r="I66" s="74">
        <v>3.0643265957257304E-2</v>
      </c>
      <c r="J66" s="74" cm="1">
        <f t="array" ref="J66">_xlfn.LET(_xlpm.m, G66,
     _xlpm.rfr, I66,
     _xlpm.sm_down, INDEX(R.IRR_SM_DOWN, _xlpm.m),
     _xlpm.bm_down, INDEX(R.IRR_BM_DOWN, _xlpm.m),
     _xlpm.rfr * (1 - _xlpm.sm_down) - _xlpm.bm_down)</f>
        <v>9.1444410637577748E-3</v>
      </c>
      <c r="K66" s="74">
        <f t="shared" si="1"/>
        <v>9.1028838156552109E-3</v>
      </c>
      <c r="L66" s="76">
        <v>1.813E-2</v>
      </c>
      <c r="M66" s="74">
        <f t="shared" si="4"/>
        <v>-1.1848589489181216E-3</v>
      </c>
      <c r="N66" s="74">
        <f t="shared" si="3"/>
        <v>2.2093741190974954E-3</v>
      </c>
      <c r="O66" s="76">
        <v>1.9890000000000001E-2</v>
      </c>
    </row>
    <row r="67" spans="7:15" x14ac:dyDescent="0.35">
      <c r="G67" s="7">
        <v>46</v>
      </c>
      <c r="H67" s="74" t="e">
        <v>#N/A</v>
      </c>
      <c r="I67" s="74">
        <v>3.057080766728637E-2</v>
      </c>
      <c r="J67" s="74" cm="1">
        <f t="array" ref="J67">_xlfn.LET(_xlpm.m, G67,
     _xlpm.rfr, I67,
     _xlpm.sm_down, INDEX(R.IRR_SM_DOWN, _xlpm.m),
     _xlpm.bm_down, INDEX(R.IRR_BM_DOWN, _xlpm.m),
     _xlpm.rfr * (1 - _xlpm.sm_down) - _xlpm.bm_down)</f>
        <v>9.3169069135688211E-3</v>
      </c>
      <c r="K67" s="74">
        <f t="shared" si="1"/>
        <v>9.2737722504558518E-3</v>
      </c>
      <c r="L67" s="76">
        <v>1.839E-2</v>
      </c>
      <c r="M67" s="74">
        <f t="shared" si="4"/>
        <v>1.6963751816484685E-2</v>
      </c>
      <c r="N67" s="74">
        <f t="shared" si="3"/>
        <v>2.0357984884500302E-2</v>
      </c>
      <c r="O67" s="76">
        <v>2.0109999999999999E-2</v>
      </c>
    </row>
    <row r="68" spans="7:15" x14ac:dyDescent="0.35">
      <c r="G68" s="7">
        <v>47</v>
      </c>
      <c r="H68" s="74" t="e">
        <v>#N/A</v>
      </c>
      <c r="I68" s="74">
        <v>3.0501437482368443E-2</v>
      </c>
      <c r="J68" s="74" cm="1">
        <f t="array" ref="J68">_xlfn.LET(_xlpm.m, G68,
     _xlpm.rfr, I68,
     _xlpm.sm_down, INDEX(R.IRR_SM_DOWN, _xlpm.m),
     _xlpm.bm_down, INDEX(R.IRR_BM_DOWN, _xlpm.m),
     _xlpm.rfr * (1 - _xlpm.sm_down) - _xlpm.bm_down)</f>
        <v>9.085531868476323E-3</v>
      </c>
      <c r="K68" s="74">
        <f t="shared" si="1"/>
        <v>9.0445067267325447E-3</v>
      </c>
      <c r="L68" s="76">
        <v>1.865E-2</v>
      </c>
      <c r="M68" s="74">
        <f t="shared" si="4"/>
        <v>-1.501707364539584E-3</v>
      </c>
      <c r="N68" s="74">
        <f t="shared" si="3"/>
        <v>1.892525703476033E-3</v>
      </c>
      <c r="O68" s="76">
        <v>2.0330000000000001E-2</v>
      </c>
    </row>
    <row r="69" spans="7:15" x14ac:dyDescent="0.35">
      <c r="G69" s="7">
        <v>48</v>
      </c>
      <c r="H69" s="74" t="e">
        <v>#N/A</v>
      </c>
      <c r="I69" s="74">
        <v>3.043496210351071E-2</v>
      </c>
      <c r="J69" s="74" cm="1">
        <f t="array" ref="J69">_xlfn.LET(_xlpm.m, G69,
     _xlpm.rfr, I69,
     _xlpm.sm_down, INDEX(R.IRR_SM_DOWN, _xlpm.m),
     _xlpm.bm_down, INDEX(R.IRR_BM_DOWN, _xlpm.m),
     _xlpm.rfr * (1 - _xlpm.sm_down) - _xlpm.bm_down)</f>
        <v>8.8565863572638553E-3</v>
      </c>
      <c r="K69" s="74">
        <f t="shared" si="1"/>
        <v>8.8175968365755558E-3</v>
      </c>
      <c r="L69" s="76">
        <v>1.8890000000000001E-2</v>
      </c>
      <c r="M69" s="74">
        <f t="shared" si="4"/>
        <v>-1.8471680008029234E-3</v>
      </c>
      <c r="N69" s="74">
        <f t="shared" si="3"/>
        <v>1.5470650672126936E-3</v>
      </c>
      <c r="O69" s="76">
        <v>2.0539999999999999E-2</v>
      </c>
    </row>
    <row r="70" spans="7:15" x14ac:dyDescent="0.35">
      <c r="G70" s="2">
        <v>49</v>
      </c>
      <c r="H70" s="74" t="e">
        <v>#N/A</v>
      </c>
      <c r="I70" s="74">
        <v>3.0371204034636667E-2</v>
      </c>
      <c r="J70" s="74" cm="1">
        <f t="array" ref="J70">_xlfn.LET(_xlpm.m, G70,
     _xlpm.rfr, I70,
     _xlpm.sm_down, INDEX(R.IRR_SM_DOWN, _xlpm.m),
     _xlpm.bm_down, INDEX(R.IRR_BM_DOWN, _xlpm.m),
     _xlpm.rfr * (1 - _xlpm.sm_down) - _xlpm.bm_down)</f>
        <v>9.0336334524691985E-3</v>
      </c>
      <c r="K70" s="74">
        <f t="shared" si="1"/>
        <v>8.9930742673313135E-3</v>
      </c>
      <c r="L70" s="76">
        <v>1.9130000000000001E-2</v>
      </c>
      <c r="M70" s="74">
        <f t="shared" si="4"/>
        <v>1.7415990943607684E-2</v>
      </c>
      <c r="N70" s="74">
        <f t="shared" si="3"/>
        <v>2.0810224011623302E-2</v>
      </c>
      <c r="O70" s="76">
        <v>2.0740000000000001E-2</v>
      </c>
    </row>
    <row r="71" spans="7:15" x14ac:dyDescent="0.35">
      <c r="G71" s="2">
        <v>50</v>
      </c>
      <c r="H71" s="74">
        <v>3.1309999999999998E-2</v>
      </c>
      <c r="I71" s="74">
        <v>3.0310000000000059E-2</v>
      </c>
      <c r="J71" s="74" cm="1">
        <f t="array" ref="J71">_xlfn.LET(_xlpm.m, G71,
     _xlpm.rfr, I71,
     _xlpm.sm_down, INDEX(R.IRR_SM_DOWN, _xlpm.m),
     _xlpm.bm_down, INDEX(R.IRR_BM_DOWN, _xlpm.m),
     _xlpm.rfr * (1 - _xlpm.sm_down) - _xlpm.bm_down)</f>
        <v>8.8085000000000212E-3</v>
      </c>
      <c r="K71" s="74">
        <f t="shared" si="1"/>
        <v>8.7699314855734685E-3</v>
      </c>
      <c r="L71" s="76">
        <v>1.9359999999999999E-2</v>
      </c>
      <c r="M71" s="74">
        <f t="shared" si="4"/>
        <v>-2.1640648205609181E-3</v>
      </c>
      <c r="N71" s="74">
        <f t="shared" si="3"/>
        <v>1.2301682474546989E-3</v>
      </c>
      <c r="O71" s="76">
        <v>2.094E-2</v>
      </c>
    </row>
    <row r="72" spans="7:15" x14ac:dyDescent="0.35">
      <c r="G72" s="7">
        <v>51</v>
      </c>
      <c r="H72" s="74" t="e">
        <v>#N/A</v>
      </c>
      <c r="I72" s="74" t="e">
        <v>#N/A</v>
      </c>
      <c r="J72" s="74" t="e" cm="1">
        <f t="array" ref="J72">_xlfn.LET(_xlpm.m, G72,
     _xlpm.rfr, I72,
     _xlpm.sm_down, INDEX(R.IRR_SM_DOWN, _xlpm.m),
     _xlpm.bm_down, INDEX(R.IRR_BM_DOWN, _xlpm.m),
     _xlpm.rfr * (1 - _xlpm.sm_down) - _xlpm.bm_down)</f>
        <v>#N/A</v>
      </c>
      <c r="K72" s="74" t="e">
        <f t="shared" si="1"/>
        <v>#N/A</v>
      </c>
      <c r="L72" s="76">
        <v>1.958E-2</v>
      </c>
      <c r="M72" s="74" t="e">
        <f t="shared" si="4"/>
        <v>#N/A</v>
      </c>
      <c r="N72" s="74" t="e">
        <f t="shared" si="3"/>
        <v>#N/A</v>
      </c>
      <c r="O72" s="76">
        <v>2.1129999999999999E-2</v>
      </c>
    </row>
    <row r="73" spans="7:15" x14ac:dyDescent="0.35">
      <c r="G73" s="7">
        <v>52</v>
      </c>
      <c r="H73" s="74" t="e">
        <v>#N/A</v>
      </c>
      <c r="I73" s="74" t="e">
        <v>#N/A</v>
      </c>
      <c r="J73" s="74" t="e" cm="1">
        <f t="array" ref="J73">_xlfn.LET(_xlpm.m, G73,
     _xlpm.rfr, I73,
     _xlpm.sm_down, INDEX(R.IRR_SM_DOWN, _xlpm.m),
     _xlpm.bm_down, INDEX(R.IRR_BM_DOWN, _xlpm.m),
     _xlpm.rfr * (1 - _xlpm.sm_down) - _xlpm.bm_down)</f>
        <v>#N/A</v>
      </c>
      <c r="K73" s="74" t="e">
        <f t="shared" si="1"/>
        <v>#N/A</v>
      </c>
      <c r="L73" s="76">
        <v>1.9789999999999999E-2</v>
      </c>
      <c r="M73" s="74" t="e">
        <f t="shared" si="4"/>
        <v>#N/A</v>
      </c>
      <c r="N73" s="74" t="e">
        <f t="shared" si="3"/>
        <v>#N/A</v>
      </c>
      <c r="O73" s="76">
        <v>2.1319999999999999E-2</v>
      </c>
    </row>
    <row r="74" spans="7:15" x14ac:dyDescent="0.35">
      <c r="G74" s="7">
        <v>53</v>
      </c>
      <c r="H74" s="74" t="e">
        <v>#N/A</v>
      </c>
      <c r="I74" s="74" t="e">
        <v>#N/A</v>
      </c>
      <c r="J74" s="74" t="e" cm="1">
        <f t="array" ref="J74">_xlfn.LET(_xlpm.m, G74,
     _xlpm.rfr, I74,
     _xlpm.sm_down, INDEX(R.IRR_SM_DOWN, _xlpm.m),
     _xlpm.bm_down, INDEX(R.IRR_BM_DOWN, _xlpm.m),
     _xlpm.rfr * (1 - _xlpm.sm_down) - _xlpm.bm_down)</f>
        <v>#N/A</v>
      </c>
      <c r="K74" s="74" t="e">
        <f t="shared" si="1"/>
        <v>#N/A</v>
      </c>
      <c r="L74" s="76">
        <v>0.02</v>
      </c>
      <c r="M74" s="74" t="e">
        <f t="shared" si="4"/>
        <v>#N/A</v>
      </c>
      <c r="N74" s="74" t="e">
        <f t="shared" si="3"/>
        <v>#N/A</v>
      </c>
      <c r="O74" s="76">
        <v>2.1499999999999998E-2</v>
      </c>
    </row>
    <row r="75" spans="7:15" x14ac:dyDescent="0.35">
      <c r="G75" s="2">
        <v>54</v>
      </c>
      <c r="H75" s="74" t="e">
        <v>#N/A</v>
      </c>
      <c r="I75" s="74" t="e">
        <v>#N/A</v>
      </c>
      <c r="J75" s="74" t="e" cm="1">
        <f t="array" ref="J75">_xlfn.LET(_xlpm.m, G75,
     _xlpm.rfr, I75,
     _xlpm.sm_down, INDEX(R.IRR_SM_DOWN, _xlpm.m),
     _xlpm.bm_down, INDEX(R.IRR_BM_DOWN, _xlpm.m),
     _xlpm.rfr * (1 - _xlpm.sm_down) - _xlpm.bm_down)</f>
        <v>#N/A</v>
      </c>
      <c r="K75" s="74" t="e">
        <f t="shared" si="1"/>
        <v>#N/A</v>
      </c>
      <c r="L75" s="76">
        <v>2.0199999999999999E-2</v>
      </c>
      <c r="M75" s="74" t="e">
        <f t="shared" si="4"/>
        <v>#N/A</v>
      </c>
      <c r="N75" s="74" t="e">
        <f t="shared" si="3"/>
        <v>#N/A</v>
      </c>
      <c r="O75" s="76">
        <v>2.1669999999999998E-2</v>
      </c>
    </row>
    <row r="76" spans="7:15" x14ac:dyDescent="0.35">
      <c r="G76" s="2">
        <v>55</v>
      </c>
      <c r="H76" s="74" t="e">
        <v>#N/A</v>
      </c>
      <c r="I76" s="74" t="e">
        <v>#N/A</v>
      </c>
      <c r="J76" s="74" t="e" cm="1">
        <f t="array" ref="J76">_xlfn.LET(_xlpm.m, G76,
     _xlpm.rfr, I76,
     _xlpm.sm_down, INDEX(R.IRR_SM_DOWN, _xlpm.m),
     _xlpm.bm_down, INDEX(R.IRR_BM_DOWN, _xlpm.m),
     _xlpm.rfr * (1 - _xlpm.sm_down) - _xlpm.bm_down)</f>
        <v>#N/A</v>
      </c>
      <c r="K76" s="74" t="e">
        <f t="shared" si="1"/>
        <v>#N/A</v>
      </c>
      <c r="L76" s="76">
        <v>2.0400000000000001E-2</v>
      </c>
      <c r="M76" s="74" t="e">
        <f t="shared" si="4"/>
        <v>#N/A</v>
      </c>
      <c r="N76" s="74" t="e">
        <f t="shared" si="3"/>
        <v>#N/A</v>
      </c>
      <c r="O76" s="76">
        <v>2.1839999999999998E-2</v>
      </c>
    </row>
    <row r="77" spans="7:15" x14ac:dyDescent="0.35">
      <c r="G77" s="7">
        <v>56</v>
      </c>
      <c r="H77" s="74" t="e">
        <v>#N/A</v>
      </c>
      <c r="I77" s="74" t="e">
        <v>#N/A</v>
      </c>
      <c r="J77" s="74" t="e" cm="1">
        <f t="array" ref="J77">_xlfn.LET(_xlpm.m, G77,
     _xlpm.rfr, I77,
     _xlpm.sm_down, INDEX(R.IRR_SM_DOWN, _xlpm.m),
     _xlpm.bm_down, INDEX(R.IRR_BM_DOWN, _xlpm.m),
     _xlpm.rfr * (1 - _xlpm.sm_down) - _xlpm.bm_down)</f>
        <v>#N/A</v>
      </c>
      <c r="K77" s="74" t="e">
        <f t="shared" si="1"/>
        <v>#N/A</v>
      </c>
      <c r="L77" s="76">
        <v>2.0590000000000001E-2</v>
      </c>
      <c r="M77" s="74" t="e">
        <f t="shared" si="4"/>
        <v>#N/A</v>
      </c>
      <c r="N77" s="74" t="e">
        <f t="shared" si="3"/>
        <v>#N/A</v>
      </c>
      <c r="O77" s="76">
        <v>2.2009999999999998E-2</v>
      </c>
    </row>
    <row r="78" spans="7:15" x14ac:dyDescent="0.35">
      <c r="G78" s="7">
        <v>57</v>
      </c>
      <c r="H78" s="74" t="e">
        <v>#N/A</v>
      </c>
      <c r="I78" s="74" t="e">
        <v>#N/A</v>
      </c>
      <c r="J78" s="74" t="e" cm="1">
        <f t="array" ref="J78">_xlfn.LET(_xlpm.m, G78,
     _xlpm.rfr, I78,
     _xlpm.sm_down, INDEX(R.IRR_SM_DOWN, _xlpm.m),
     _xlpm.bm_down, INDEX(R.IRR_BM_DOWN, _xlpm.m),
     _xlpm.rfr * (1 - _xlpm.sm_down) - _xlpm.bm_down)</f>
        <v>#N/A</v>
      </c>
      <c r="K78" s="74" t="e">
        <f t="shared" si="1"/>
        <v>#N/A</v>
      </c>
      <c r="L78" s="76">
        <v>2.077E-2</v>
      </c>
      <c r="M78" s="74" t="e">
        <f t="shared" si="4"/>
        <v>#N/A</v>
      </c>
      <c r="N78" s="74" t="e">
        <f t="shared" si="3"/>
        <v>#N/A</v>
      </c>
      <c r="O78" s="76">
        <v>2.2169999999999999E-2</v>
      </c>
    </row>
    <row r="79" spans="7:15" x14ac:dyDescent="0.35">
      <c r="G79" s="7">
        <v>58</v>
      </c>
      <c r="H79" s="74" t="e">
        <v>#N/A</v>
      </c>
      <c r="I79" s="74" t="e">
        <v>#N/A</v>
      </c>
      <c r="J79" s="74" t="e" cm="1">
        <f t="array" ref="J79">_xlfn.LET(_xlpm.m, G79,
     _xlpm.rfr, I79,
     _xlpm.sm_down, INDEX(R.IRR_SM_DOWN, _xlpm.m),
     _xlpm.bm_down, INDEX(R.IRR_BM_DOWN, _xlpm.m),
     _xlpm.rfr * (1 - _xlpm.sm_down) - _xlpm.bm_down)</f>
        <v>#N/A</v>
      </c>
      <c r="K79" s="74" t="e">
        <f t="shared" si="1"/>
        <v>#N/A</v>
      </c>
      <c r="L79" s="76">
        <v>2.095E-2</v>
      </c>
      <c r="M79" s="74" t="e">
        <f t="shared" si="4"/>
        <v>#N/A</v>
      </c>
      <c r="N79" s="74" t="e">
        <f t="shared" si="3"/>
        <v>#N/A</v>
      </c>
      <c r="O79" s="76">
        <v>2.232E-2</v>
      </c>
    </row>
    <row r="80" spans="7:15" x14ac:dyDescent="0.35">
      <c r="G80" s="2">
        <v>59</v>
      </c>
      <c r="H80" s="74" t="e">
        <v>#N/A</v>
      </c>
      <c r="I80" s="74" t="e">
        <v>#N/A</v>
      </c>
      <c r="J80" s="74" t="e" cm="1">
        <f t="array" ref="J80">_xlfn.LET(_xlpm.m, G80,
     _xlpm.rfr, I80,
     _xlpm.sm_down, INDEX(R.IRR_SM_DOWN, _xlpm.m),
     _xlpm.bm_down, INDEX(R.IRR_BM_DOWN, _xlpm.m),
     _xlpm.rfr * (1 - _xlpm.sm_down) - _xlpm.bm_down)</f>
        <v>#N/A</v>
      </c>
      <c r="K80" s="74" t="e">
        <f t="shared" si="1"/>
        <v>#N/A</v>
      </c>
      <c r="L80" s="76">
        <v>2.112E-2</v>
      </c>
      <c r="M80" s="74" t="e">
        <f t="shared" si="4"/>
        <v>#N/A</v>
      </c>
      <c r="N80" s="74" t="e">
        <f t="shared" si="3"/>
        <v>#N/A</v>
      </c>
      <c r="O80" s="76">
        <v>2.247E-2</v>
      </c>
    </row>
    <row r="81" spans="7:15" x14ac:dyDescent="0.35">
      <c r="G81" s="2">
        <v>60</v>
      </c>
      <c r="H81" s="74" t="e">
        <v>#N/A</v>
      </c>
      <c r="I81" s="74" t="e">
        <v>#N/A</v>
      </c>
      <c r="J81" s="74" t="e" cm="1">
        <f t="array" ref="J81">_xlfn.LET(_xlpm.m, G81,
     _xlpm.rfr, I81,
     _xlpm.sm_down, INDEX(R.IRR_SM_DOWN, _xlpm.m),
     _xlpm.bm_down, INDEX(R.IRR_BM_DOWN, _xlpm.m),
     _xlpm.rfr * (1 - _xlpm.sm_down) - _xlpm.bm_down)</f>
        <v>#N/A</v>
      </c>
      <c r="K81" s="74" t="e">
        <f t="shared" si="1"/>
        <v>#N/A</v>
      </c>
      <c r="L81" s="76">
        <v>2.129E-2</v>
      </c>
      <c r="M81" s="74" t="e">
        <f t="shared" si="4"/>
        <v>#N/A</v>
      </c>
      <c r="N81" s="74" t="e">
        <f t="shared" si="3"/>
        <v>#N/A</v>
      </c>
      <c r="O81" s="76">
        <v>2.2620000000000001E-2</v>
      </c>
    </row>
    <row r="82" spans="7:15" x14ac:dyDescent="0.35">
      <c r="G82" s="7">
        <v>61</v>
      </c>
      <c r="H82" s="74" t="e">
        <v>#N/A</v>
      </c>
      <c r="I82" s="74" t="e">
        <v>#N/A</v>
      </c>
      <c r="J82" s="74" t="e" cm="1">
        <f t="array" ref="J82">_xlfn.LET(_xlpm.m, G82,
     _xlpm.rfr, I82,
     _xlpm.sm_down, INDEX(R.IRR_SM_DOWN, _xlpm.m),
     _xlpm.bm_down, INDEX(R.IRR_BM_DOWN, _xlpm.m),
     _xlpm.rfr * (1 - _xlpm.sm_down) - _xlpm.bm_down)</f>
        <v>#N/A</v>
      </c>
      <c r="K82" s="74" t="e">
        <f t="shared" si="1"/>
        <v>#N/A</v>
      </c>
      <c r="L82" s="76">
        <v>2.145E-2</v>
      </c>
      <c r="M82" s="74" t="e">
        <f t="shared" si="4"/>
        <v>#N/A</v>
      </c>
      <c r="N82" s="74" t="e">
        <f t="shared" si="3"/>
        <v>#N/A</v>
      </c>
      <c r="O82" s="76">
        <v>2.2759999999999999E-2</v>
      </c>
    </row>
    <row r="83" spans="7:15" x14ac:dyDescent="0.35">
      <c r="G83" s="7">
        <v>62</v>
      </c>
      <c r="H83" s="74" t="e">
        <v>#N/A</v>
      </c>
      <c r="I83" s="74" t="e">
        <v>#N/A</v>
      </c>
      <c r="J83" s="74" t="e" cm="1">
        <f t="array" ref="J83">_xlfn.LET(_xlpm.m, G83,
     _xlpm.rfr, I83,
     _xlpm.sm_down, INDEX(R.IRR_SM_DOWN, _xlpm.m),
     _xlpm.bm_down, INDEX(R.IRR_BM_DOWN, _xlpm.m),
     _xlpm.rfr * (1 - _xlpm.sm_down) - _xlpm.bm_down)</f>
        <v>#N/A</v>
      </c>
      <c r="K83" s="74" t="e">
        <f t="shared" si="1"/>
        <v>#N/A</v>
      </c>
      <c r="L83" s="76">
        <v>2.1610000000000001E-2</v>
      </c>
      <c r="M83" s="74" t="e">
        <f t="shared" si="4"/>
        <v>#N/A</v>
      </c>
      <c r="N83" s="74" t="e">
        <f t="shared" si="3"/>
        <v>#N/A</v>
      </c>
      <c r="O83" s="76">
        <v>2.29E-2</v>
      </c>
    </row>
    <row r="84" spans="7:15" x14ac:dyDescent="0.35">
      <c r="G84" s="7">
        <v>63</v>
      </c>
      <c r="H84" s="74" t="e">
        <v>#N/A</v>
      </c>
      <c r="I84" s="74" t="e">
        <v>#N/A</v>
      </c>
      <c r="J84" s="74" t="e" cm="1">
        <f t="array" ref="J84">_xlfn.LET(_xlpm.m, G84,
     _xlpm.rfr, I84,
     _xlpm.sm_down, INDEX(R.IRR_SM_DOWN, _xlpm.m),
     _xlpm.bm_down, INDEX(R.IRR_BM_DOWN, _xlpm.m),
     _xlpm.rfr * (1 - _xlpm.sm_down) - _xlpm.bm_down)</f>
        <v>#N/A</v>
      </c>
      <c r="K84" s="74" t="e">
        <f t="shared" si="1"/>
        <v>#N/A</v>
      </c>
      <c r="L84" s="76">
        <v>2.1760000000000002E-2</v>
      </c>
      <c r="M84" s="74" t="e">
        <f t="shared" si="4"/>
        <v>#N/A</v>
      </c>
      <c r="N84" s="74" t="e">
        <f t="shared" si="3"/>
        <v>#N/A</v>
      </c>
      <c r="O84" s="76">
        <v>2.3029999999999998E-2</v>
      </c>
    </row>
    <row r="85" spans="7:15" x14ac:dyDescent="0.35">
      <c r="G85" s="2">
        <v>64</v>
      </c>
      <c r="H85" s="74" t="e">
        <v>#N/A</v>
      </c>
      <c r="I85" s="74" t="e">
        <v>#N/A</v>
      </c>
      <c r="J85" s="74" t="e" cm="1">
        <f t="array" ref="J85">_xlfn.LET(_xlpm.m, G85,
     _xlpm.rfr, I85,
     _xlpm.sm_down, INDEX(R.IRR_SM_DOWN, _xlpm.m),
     _xlpm.bm_down, INDEX(R.IRR_BM_DOWN, _xlpm.m),
     _xlpm.rfr * (1 - _xlpm.sm_down) - _xlpm.bm_down)</f>
        <v>#N/A</v>
      </c>
      <c r="K85" s="74" t="e">
        <f t="shared" si="1"/>
        <v>#N/A</v>
      </c>
      <c r="L85" s="76">
        <v>2.1909999999999999E-2</v>
      </c>
      <c r="M85" s="74" t="e">
        <f t="shared" si="4"/>
        <v>#N/A</v>
      </c>
      <c r="N85" s="74" t="e">
        <f t="shared" si="3"/>
        <v>#N/A</v>
      </c>
      <c r="O85" s="76">
        <v>2.316E-2</v>
      </c>
    </row>
    <row r="86" spans="7:15" x14ac:dyDescent="0.35">
      <c r="G86" s="2">
        <v>65</v>
      </c>
      <c r="H86" s="74" t="e">
        <v>#N/A</v>
      </c>
      <c r="I86" s="74" t="e">
        <v>#N/A</v>
      </c>
      <c r="J86" s="74" t="e" cm="1">
        <f t="array" ref="J86">_xlfn.LET(_xlpm.m, G86,
     _xlpm.rfr, I86,
     _xlpm.sm_down, INDEX(R.IRR_SM_DOWN, _xlpm.m),
     _xlpm.bm_down, INDEX(R.IRR_BM_DOWN, _xlpm.m),
     _xlpm.rfr * (1 - _xlpm.sm_down) - _xlpm.bm_down)</f>
        <v>#N/A</v>
      </c>
      <c r="K86" s="74" t="e">
        <f t="shared" si="1"/>
        <v>#N/A</v>
      </c>
      <c r="L86" s="76">
        <v>2.206E-2</v>
      </c>
      <c r="M86" s="74" t="e">
        <f t="shared" si="4"/>
        <v>#N/A</v>
      </c>
      <c r="N86" s="74" t="e">
        <f t="shared" ref="N86:N117" si="5">M86+LN(1+V.TOTAL_VA)</f>
        <v>#N/A</v>
      </c>
      <c r="O86" s="76">
        <v>2.3279999999999999E-2</v>
      </c>
    </row>
    <row r="87" spans="7:15" x14ac:dyDescent="0.35">
      <c r="G87" s="7">
        <v>66</v>
      </c>
      <c r="H87" s="74" t="e">
        <v>#N/A</v>
      </c>
      <c r="I87" s="74" t="e">
        <v>#N/A</v>
      </c>
      <c r="J87" s="74" t="e" cm="1">
        <f t="array" ref="J87">_xlfn.LET(_xlpm.m, G87,
     _xlpm.rfr, I87,
     _xlpm.sm_down, INDEX(R.IRR_SM_DOWN, _xlpm.m),
     _xlpm.bm_down, INDEX(R.IRR_BM_DOWN, _xlpm.m),
     _xlpm.rfr * (1 - _xlpm.sm_down) - _xlpm.bm_down)</f>
        <v>#N/A</v>
      </c>
      <c r="K87" s="74" t="e">
        <f t="shared" ref="K87:K150" si="6">LN(1+J87)</f>
        <v>#N/A</v>
      </c>
      <c r="L87" s="76">
        <v>2.2200000000000001E-2</v>
      </c>
      <c r="M87" s="74" t="e">
        <f t="shared" ref="M87:M118" si="7">G87*K87-G86*K86</f>
        <v>#N/A</v>
      </c>
      <c r="N87" s="74" t="e">
        <f t="shared" si="5"/>
        <v>#N/A</v>
      </c>
      <c r="O87" s="76">
        <v>2.341E-2</v>
      </c>
    </row>
    <row r="88" spans="7:15" x14ac:dyDescent="0.35">
      <c r="G88" s="7">
        <v>67</v>
      </c>
      <c r="H88" s="74" t="e">
        <v>#N/A</v>
      </c>
      <c r="I88" s="74" t="e">
        <v>#N/A</v>
      </c>
      <c r="J88" s="74" t="e" cm="1">
        <f t="array" ref="J88">_xlfn.LET(_xlpm.m, G88,
     _xlpm.rfr, I88,
     _xlpm.sm_down, INDEX(R.IRR_SM_DOWN, _xlpm.m),
     _xlpm.bm_down, INDEX(R.IRR_BM_DOWN, _xlpm.m),
     _xlpm.rfr * (1 - _xlpm.sm_down) - _xlpm.bm_down)</f>
        <v>#N/A</v>
      </c>
      <c r="K88" s="74" t="e">
        <f t="shared" si="6"/>
        <v>#N/A</v>
      </c>
      <c r="L88" s="76">
        <v>2.2329999999999999E-2</v>
      </c>
      <c r="M88" s="74" t="e">
        <f t="shared" si="7"/>
        <v>#N/A</v>
      </c>
      <c r="N88" s="74" t="e">
        <f t="shared" si="5"/>
        <v>#N/A</v>
      </c>
      <c r="O88" s="76">
        <v>2.3519999999999999E-2</v>
      </c>
    </row>
    <row r="89" spans="7:15" x14ac:dyDescent="0.35">
      <c r="G89" s="7">
        <v>68</v>
      </c>
      <c r="H89" s="74" t="e">
        <v>#N/A</v>
      </c>
      <c r="I89" s="74" t="e">
        <v>#N/A</v>
      </c>
      <c r="J89" s="74" t="e" cm="1">
        <f t="array" ref="J89">_xlfn.LET(_xlpm.m, G89,
     _xlpm.rfr, I89,
     _xlpm.sm_down, INDEX(R.IRR_SM_DOWN, _xlpm.m),
     _xlpm.bm_down, INDEX(R.IRR_BM_DOWN, _xlpm.m),
     _xlpm.rfr * (1 - _xlpm.sm_down) - _xlpm.bm_down)</f>
        <v>#N/A</v>
      </c>
      <c r="K89" s="74" t="e">
        <f t="shared" si="6"/>
        <v>#N/A</v>
      </c>
      <c r="L89" s="76">
        <v>2.247E-2</v>
      </c>
      <c r="M89" s="74" t="e">
        <f t="shared" si="7"/>
        <v>#N/A</v>
      </c>
      <c r="N89" s="74" t="e">
        <f t="shared" si="5"/>
        <v>#N/A</v>
      </c>
      <c r="O89" s="76">
        <v>2.3640000000000001E-2</v>
      </c>
    </row>
    <row r="90" spans="7:15" x14ac:dyDescent="0.35">
      <c r="G90" s="2">
        <v>69</v>
      </c>
      <c r="H90" s="74" t="e">
        <v>#N/A</v>
      </c>
      <c r="I90" s="74" t="e">
        <v>#N/A</v>
      </c>
      <c r="J90" s="74" t="e" cm="1">
        <f t="array" ref="J90">_xlfn.LET(_xlpm.m, G90,
     _xlpm.rfr, I90,
     _xlpm.sm_down, INDEX(R.IRR_SM_DOWN, _xlpm.m),
     _xlpm.bm_down, INDEX(R.IRR_BM_DOWN, _xlpm.m),
     _xlpm.rfr * (1 - _xlpm.sm_down) - _xlpm.bm_down)</f>
        <v>#N/A</v>
      </c>
      <c r="K90" s="74" t="e">
        <f t="shared" si="6"/>
        <v>#N/A</v>
      </c>
      <c r="L90" s="76">
        <v>2.2589999999999999E-2</v>
      </c>
      <c r="M90" s="74" t="e">
        <f t="shared" si="7"/>
        <v>#N/A</v>
      </c>
      <c r="N90" s="74" t="e">
        <f t="shared" si="5"/>
        <v>#N/A</v>
      </c>
      <c r="O90" s="76">
        <v>2.375E-2</v>
      </c>
    </row>
    <row r="91" spans="7:15" x14ac:dyDescent="0.35">
      <c r="G91" s="2">
        <v>70</v>
      </c>
      <c r="H91" s="74" t="e">
        <v>#N/A</v>
      </c>
      <c r="I91" s="74" t="e">
        <v>#N/A</v>
      </c>
      <c r="J91" s="74" t="e" cm="1">
        <f t="array" ref="J91">_xlfn.LET(_xlpm.m, G91,
     _xlpm.rfr, I91,
     _xlpm.sm_down, INDEX(R.IRR_SM_DOWN, _xlpm.m),
     _xlpm.bm_down, INDEX(R.IRR_BM_DOWN, _xlpm.m),
     _xlpm.rfr * (1 - _xlpm.sm_down) - _xlpm.bm_down)</f>
        <v>#N/A</v>
      </c>
      <c r="K91" s="74" t="e">
        <f t="shared" si="6"/>
        <v>#N/A</v>
      </c>
      <c r="L91" s="76">
        <v>2.2720000000000001E-2</v>
      </c>
      <c r="M91" s="74" t="e">
        <f t="shared" si="7"/>
        <v>#N/A</v>
      </c>
      <c r="N91" s="74" t="e">
        <f t="shared" si="5"/>
        <v>#N/A</v>
      </c>
      <c r="O91" s="76">
        <v>2.3859999999999999E-2</v>
      </c>
    </row>
    <row r="92" spans="7:15" x14ac:dyDescent="0.35">
      <c r="G92" s="7">
        <v>71</v>
      </c>
      <c r="H92" s="74" t="e">
        <v>#N/A</v>
      </c>
      <c r="I92" s="74" t="e">
        <v>#N/A</v>
      </c>
      <c r="J92" s="74" t="e" cm="1">
        <f t="array" ref="J92">_xlfn.LET(_xlpm.m, G92,
     _xlpm.rfr, I92,
     _xlpm.sm_down, INDEX(R.IRR_SM_DOWN, _xlpm.m),
     _xlpm.bm_down, INDEX(R.IRR_BM_DOWN, _xlpm.m),
     _xlpm.rfr * (1 - _xlpm.sm_down) - _xlpm.bm_down)</f>
        <v>#N/A</v>
      </c>
      <c r="K92" s="74" t="e">
        <f t="shared" si="6"/>
        <v>#N/A</v>
      </c>
      <c r="L92" s="76">
        <v>2.2839999999999999E-2</v>
      </c>
      <c r="M92" s="74" t="e">
        <f t="shared" si="7"/>
        <v>#N/A</v>
      </c>
      <c r="N92" s="74" t="e">
        <f t="shared" si="5"/>
        <v>#N/A</v>
      </c>
      <c r="O92" s="76">
        <v>2.3970000000000002E-2</v>
      </c>
    </row>
    <row r="93" spans="7:15" x14ac:dyDescent="0.35">
      <c r="G93" s="7">
        <v>72</v>
      </c>
      <c r="H93" s="74" t="e">
        <v>#N/A</v>
      </c>
      <c r="I93" s="74" t="e">
        <v>#N/A</v>
      </c>
      <c r="J93" s="74" t="e" cm="1">
        <f t="array" ref="J93">_xlfn.LET(_xlpm.m, G93,
     _xlpm.rfr, I93,
     _xlpm.sm_down, INDEX(R.IRR_SM_DOWN, _xlpm.m),
     _xlpm.bm_down, INDEX(R.IRR_BM_DOWN, _xlpm.m),
     _xlpm.rfr * (1 - _xlpm.sm_down) - _xlpm.bm_down)</f>
        <v>#N/A</v>
      </c>
      <c r="K93" s="74" t="e">
        <f t="shared" si="6"/>
        <v>#N/A</v>
      </c>
      <c r="L93" s="76">
        <v>2.2960000000000001E-2</v>
      </c>
      <c r="M93" s="74" t="e">
        <f t="shared" si="7"/>
        <v>#N/A</v>
      </c>
      <c r="N93" s="74" t="e">
        <f t="shared" si="5"/>
        <v>#N/A</v>
      </c>
      <c r="O93" s="76">
        <v>2.4070000000000001E-2</v>
      </c>
    </row>
    <row r="94" spans="7:15" x14ac:dyDescent="0.35">
      <c r="G94" s="7">
        <v>73</v>
      </c>
      <c r="H94" s="74" t="e">
        <v>#N/A</v>
      </c>
      <c r="I94" s="74" t="e">
        <v>#N/A</v>
      </c>
      <c r="J94" s="74" t="e" cm="1">
        <f t="array" ref="J94">_xlfn.LET(_xlpm.m, G94,
     _xlpm.rfr, I94,
     _xlpm.sm_down, INDEX(R.IRR_SM_DOWN, _xlpm.m),
     _xlpm.bm_down, INDEX(R.IRR_BM_DOWN, _xlpm.m),
     _xlpm.rfr * (1 - _xlpm.sm_down) - _xlpm.bm_down)</f>
        <v>#N/A</v>
      </c>
      <c r="K94" s="74" t="e">
        <f t="shared" si="6"/>
        <v>#N/A</v>
      </c>
      <c r="L94" s="76">
        <v>2.308E-2</v>
      </c>
      <c r="M94" s="74" t="e">
        <f t="shared" si="7"/>
        <v>#N/A</v>
      </c>
      <c r="N94" s="74" t="e">
        <f t="shared" si="5"/>
        <v>#N/A</v>
      </c>
      <c r="O94" s="76">
        <v>2.4170000000000001E-2</v>
      </c>
    </row>
    <row r="95" spans="7:15" x14ac:dyDescent="0.35">
      <c r="G95" s="2">
        <v>74</v>
      </c>
      <c r="H95" s="74" t="e">
        <v>#N/A</v>
      </c>
      <c r="I95" s="74" t="e">
        <v>#N/A</v>
      </c>
      <c r="J95" s="74" t="e" cm="1">
        <f t="array" ref="J95">_xlfn.LET(_xlpm.m, G95,
     _xlpm.rfr, I95,
     _xlpm.sm_down, INDEX(R.IRR_SM_DOWN, _xlpm.m),
     _xlpm.bm_down, INDEX(R.IRR_BM_DOWN, _xlpm.m),
     _xlpm.rfr * (1 - _xlpm.sm_down) - _xlpm.bm_down)</f>
        <v>#N/A</v>
      </c>
      <c r="K95" s="74" t="e">
        <f t="shared" si="6"/>
        <v>#N/A</v>
      </c>
      <c r="L95" s="76">
        <v>2.3189999999999999E-2</v>
      </c>
      <c r="M95" s="74" t="e">
        <f t="shared" si="7"/>
        <v>#N/A</v>
      </c>
      <c r="N95" s="74" t="e">
        <f t="shared" si="5"/>
        <v>#N/A</v>
      </c>
      <c r="O95" s="76">
        <v>2.427E-2</v>
      </c>
    </row>
    <row r="96" spans="7:15" x14ac:dyDescent="0.35">
      <c r="G96" s="2">
        <v>75</v>
      </c>
      <c r="H96" s="74" t="e">
        <v>#N/A</v>
      </c>
      <c r="I96" s="74" t="e">
        <v>#N/A</v>
      </c>
      <c r="J96" s="74" t="e" cm="1">
        <f t="array" ref="J96">_xlfn.LET(_xlpm.m, G96,
     _xlpm.rfr, I96,
     _xlpm.sm_down, INDEX(R.IRR_SM_DOWN, _xlpm.m),
     _xlpm.bm_down, INDEX(R.IRR_BM_DOWN, _xlpm.m),
     _xlpm.rfr * (1 - _xlpm.sm_down) - _xlpm.bm_down)</f>
        <v>#N/A</v>
      </c>
      <c r="K96" s="74" t="e">
        <f t="shared" si="6"/>
        <v>#N/A</v>
      </c>
      <c r="L96" s="76">
        <v>2.3300000000000001E-2</v>
      </c>
      <c r="M96" s="74" t="e">
        <f t="shared" si="7"/>
        <v>#N/A</v>
      </c>
      <c r="N96" s="74" t="e">
        <f t="shared" si="5"/>
        <v>#N/A</v>
      </c>
      <c r="O96" s="76">
        <v>2.436E-2</v>
      </c>
    </row>
    <row r="97" spans="7:15" x14ac:dyDescent="0.35">
      <c r="G97" s="7">
        <v>76</v>
      </c>
      <c r="H97" s="74" t="e">
        <v>#N/A</v>
      </c>
      <c r="I97" s="74" t="e">
        <v>#N/A</v>
      </c>
      <c r="J97" s="74" t="e" cm="1">
        <f t="array" ref="J97">_xlfn.LET(_xlpm.m, G97,
     _xlpm.rfr, I97,
     _xlpm.sm_down, INDEX(R.IRR_SM_DOWN, _xlpm.m),
     _xlpm.bm_down, INDEX(R.IRR_BM_DOWN, _xlpm.m),
     _xlpm.rfr * (1 - _xlpm.sm_down) - _xlpm.bm_down)</f>
        <v>#N/A</v>
      </c>
      <c r="K97" s="74" t="e">
        <f t="shared" si="6"/>
        <v>#N/A</v>
      </c>
      <c r="L97" s="76">
        <v>2.3400000000000001E-2</v>
      </c>
      <c r="M97" s="74" t="e">
        <f t="shared" si="7"/>
        <v>#N/A</v>
      </c>
      <c r="N97" s="74" t="e">
        <f t="shared" si="5"/>
        <v>#N/A</v>
      </c>
      <c r="O97" s="76">
        <v>2.4459999999999999E-2</v>
      </c>
    </row>
    <row r="98" spans="7:15" x14ac:dyDescent="0.35">
      <c r="G98" s="7">
        <v>77</v>
      </c>
      <c r="H98" s="74" t="e">
        <v>#N/A</v>
      </c>
      <c r="I98" s="74" t="e">
        <v>#N/A</v>
      </c>
      <c r="J98" s="74" t="e" cm="1">
        <f t="array" ref="J98">_xlfn.LET(_xlpm.m, G98,
     _xlpm.rfr, I98,
     _xlpm.sm_down, INDEX(R.IRR_SM_DOWN, _xlpm.m),
     _xlpm.bm_down, INDEX(R.IRR_BM_DOWN, _xlpm.m),
     _xlpm.rfr * (1 - _xlpm.sm_down) - _xlpm.bm_down)</f>
        <v>#N/A</v>
      </c>
      <c r="K98" s="74" t="e">
        <f t="shared" si="6"/>
        <v>#N/A</v>
      </c>
      <c r="L98" s="76">
        <v>2.351E-2</v>
      </c>
      <c r="M98" s="74" t="e">
        <f t="shared" si="7"/>
        <v>#N/A</v>
      </c>
      <c r="N98" s="74" t="e">
        <f t="shared" si="5"/>
        <v>#N/A</v>
      </c>
      <c r="O98" s="76">
        <v>2.4549999999999999E-2</v>
      </c>
    </row>
    <row r="99" spans="7:15" x14ac:dyDescent="0.35">
      <c r="G99" s="7">
        <v>78</v>
      </c>
      <c r="H99" s="74" t="e">
        <v>#N/A</v>
      </c>
      <c r="I99" s="74" t="e">
        <v>#N/A</v>
      </c>
      <c r="J99" s="74" t="e" cm="1">
        <f t="array" ref="J99">_xlfn.LET(_xlpm.m, G99,
     _xlpm.rfr, I99,
     _xlpm.sm_down, INDEX(R.IRR_SM_DOWN, _xlpm.m),
     _xlpm.bm_down, INDEX(R.IRR_BM_DOWN, _xlpm.m),
     _xlpm.rfr * (1 - _xlpm.sm_down) - _xlpm.bm_down)</f>
        <v>#N/A</v>
      </c>
      <c r="K99" s="74" t="e">
        <f t="shared" si="6"/>
        <v>#N/A</v>
      </c>
      <c r="L99" s="76">
        <v>2.3609999999999999E-2</v>
      </c>
      <c r="M99" s="74" t="e">
        <f t="shared" si="7"/>
        <v>#N/A</v>
      </c>
      <c r="N99" s="74" t="e">
        <f t="shared" si="5"/>
        <v>#N/A</v>
      </c>
      <c r="O99" s="76">
        <v>2.4639999999999999E-2</v>
      </c>
    </row>
    <row r="100" spans="7:15" x14ac:dyDescent="0.35">
      <c r="G100" s="2">
        <v>79</v>
      </c>
      <c r="H100" s="74" t="e">
        <v>#N/A</v>
      </c>
      <c r="I100" s="74" t="e">
        <v>#N/A</v>
      </c>
      <c r="J100" s="74" t="e" cm="1">
        <f t="array" ref="J100">_xlfn.LET(_xlpm.m, G100,
     _xlpm.rfr, I100,
     _xlpm.sm_down, INDEX(R.IRR_SM_DOWN, _xlpm.m),
     _xlpm.bm_down, INDEX(R.IRR_BM_DOWN, _xlpm.m),
     _xlpm.rfr * (1 - _xlpm.sm_down) - _xlpm.bm_down)</f>
        <v>#N/A</v>
      </c>
      <c r="K100" s="74" t="e">
        <f t="shared" si="6"/>
        <v>#N/A</v>
      </c>
      <c r="L100" s="76">
        <v>2.3709999999999998E-2</v>
      </c>
      <c r="M100" s="74" t="e">
        <f t="shared" si="7"/>
        <v>#N/A</v>
      </c>
      <c r="N100" s="74" t="e">
        <f t="shared" si="5"/>
        <v>#N/A</v>
      </c>
      <c r="O100" s="76">
        <v>2.4719999999999999E-2</v>
      </c>
    </row>
    <row r="101" spans="7:15" x14ac:dyDescent="0.35">
      <c r="G101" s="2">
        <v>80</v>
      </c>
      <c r="H101" s="74" t="e">
        <v>#N/A</v>
      </c>
      <c r="I101" s="74" t="e">
        <v>#N/A</v>
      </c>
      <c r="J101" s="74" t="e" cm="1">
        <f t="array" ref="J101">_xlfn.LET(_xlpm.m, G101,
     _xlpm.rfr, I101,
     _xlpm.sm_down, INDEX(R.IRR_SM_DOWN, _xlpm.m),
     _xlpm.bm_down, INDEX(R.IRR_BM_DOWN, _xlpm.m),
     _xlpm.rfr * (1 - _xlpm.sm_down) - _xlpm.bm_down)</f>
        <v>#N/A</v>
      </c>
      <c r="K101" s="74" t="e">
        <f t="shared" si="6"/>
        <v>#N/A</v>
      </c>
      <c r="L101" s="76">
        <v>2.3810000000000001E-2</v>
      </c>
      <c r="M101" s="74" t="e">
        <f t="shared" si="7"/>
        <v>#N/A</v>
      </c>
      <c r="N101" s="74" t="e">
        <f t="shared" si="5"/>
        <v>#N/A</v>
      </c>
      <c r="O101" s="76">
        <v>2.4809999999999999E-2</v>
      </c>
    </row>
    <row r="102" spans="7:15" x14ac:dyDescent="0.35">
      <c r="G102" s="7">
        <v>81</v>
      </c>
      <c r="H102" s="74" t="e">
        <v>#N/A</v>
      </c>
      <c r="I102" s="74" t="e">
        <v>#N/A</v>
      </c>
      <c r="J102" s="74" t="e" cm="1">
        <f t="array" ref="J102">_xlfn.LET(_xlpm.m, G102,
     _xlpm.rfr, I102,
     _xlpm.sm_down, INDEX(R.IRR_SM_DOWN, _xlpm.m),
     _xlpm.bm_down, INDEX(R.IRR_BM_DOWN, _xlpm.m),
     _xlpm.rfr * (1 - _xlpm.sm_down) - _xlpm.bm_down)</f>
        <v>#N/A</v>
      </c>
      <c r="K102" s="74" t="e">
        <f t="shared" si="6"/>
        <v>#N/A</v>
      </c>
      <c r="L102" s="76">
        <v>2.3900000000000001E-2</v>
      </c>
      <c r="M102" s="74" t="e">
        <f t="shared" si="7"/>
        <v>#N/A</v>
      </c>
      <c r="N102" s="74" t="e">
        <f t="shared" si="5"/>
        <v>#N/A</v>
      </c>
      <c r="O102" s="76">
        <v>2.4889999999999999E-2</v>
      </c>
    </row>
    <row r="103" spans="7:15" x14ac:dyDescent="0.35">
      <c r="G103" s="7">
        <v>82</v>
      </c>
      <c r="H103" s="74" t="e">
        <v>#N/A</v>
      </c>
      <c r="I103" s="74" t="e">
        <v>#N/A</v>
      </c>
      <c r="J103" s="74" t="e" cm="1">
        <f t="array" ref="J103">_xlfn.LET(_xlpm.m, G103,
     _xlpm.rfr, I103,
     _xlpm.sm_down, INDEX(R.IRR_SM_DOWN, _xlpm.m),
     _xlpm.bm_down, INDEX(R.IRR_BM_DOWN, _xlpm.m),
     _xlpm.rfr * (1 - _xlpm.sm_down) - _xlpm.bm_down)</f>
        <v>#N/A</v>
      </c>
      <c r="K103" s="74" t="e">
        <f t="shared" si="6"/>
        <v>#N/A</v>
      </c>
      <c r="L103" s="76">
        <v>2.3990000000000001E-2</v>
      </c>
      <c r="M103" s="74" t="e">
        <f t="shared" si="7"/>
        <v>#N/A</v>
      </c>
      <c r="N103" s="74" t="e">
        <f t="shared" si="5"/>
        <v>#N/A</v>
      </c>
      <c r="O103" s="76">
        <v>2.4969999999999999E-2</v>
      </c>
    </row>
    <row r="104" spans="7:15" x14ac:dyDescent="0.35">
      <c r="G104" s="7">
        <v>83</v>
      </c>
      <c r="H104" s="74" t="e">
        <v>#N/A</v>
      </c>
      <c r="I104" s="74" t="e">
        <v>#N/A</v>
      </c>
      <c r="J104" s="74" t="e" cm="1">
        <f t="array" ref="J104">_xlfn.LET(_xlpm.m, G104,
     _xlpm.rfr, I104,
     _xlpm.sm_down, INDEX(R.IRR_SM_DOWN, _xlpm.m),
     _xlpm.bm_down, INDEX(R.IRR_BM_DOWN, _xlpm.m),
     _xlpm.rfr * (1 - _xlpm.sm_down) - _xlpm.bm_down)</f>
        <v>#N/A</v>
      </c>
      <c r="K104" s="74" t="e">
        <f t="shared" si="6"/>
        <v>#N/A</v>
      </c>
      <c r="L104" s="76">
        <v>2.4080000000000001E-2</v>
      </c>
      <c r="M104" s="74" t="e">
        <f t="shared" si="7"/>
        <v>#N/A</v>
      </c>
      <c r="N104" s="74" t="e">
        <f t="shared" si="5"/>
        <v>#N/A</v>
      </c>
      <c r="O104" s="76">
        <v>2.5049999999999999E-2</v>
      </c>
    </row>
    <row r="105" spans="7:15" x14ac:dyDescent="0.35">
      <c r="G105" s="2">
        <v>84</v>
      </c>
      <c r="H105" s="74" t="e">
        <v>#N/A</v>
      </c>
      <c r="I105" s="74" t="e">
        <v>#N/A</v>
      </c>
      <c r="J105" s="74" t="e" cm="1">
        <f t="array" ref="J105">_xlfn.LET(_xlpm.m, G105,
     _xlpm.rfr, I105,
     _xlpm.sm_down, INDEX(R.IRR_SM_DOWN, _xlpm.m),
     _xlpm.bm_down, INDEX(R.IRR_BM_DOWN, _xlpm.m),
     _xlpm.rfr * (1 - _xlpm.sm_down) - _xlpm.bm_down)</f>
        <v>#N/A</v>
      </c>
      <c r="K105" s="74" t="e">
        <f t="shared" si="6"/>
        <v>#N/A</v>
      </c>
      <c r="L105" s="76">
        <v>2.4170000000000001E-2</v>
      </c>
      <c r="M105" s="74" t="e">
        <f t="shared" si="7"/>
        <v>#N/A</v>
      </c>
      <c r="N105" s="74" t="e">
        <f t="shared" si="5"/>
        <v>#N/A</v>
      </c>
      <c r="O105" s="76">
        <v>2.512E-2</v>
      </c>
    </row>
    <row r="106" spans="7:15" x14ac:dyDescent="0.35">
      <c r="G106" s="2">
        <v>85</v>
      </c>
      <c r="H106" s="74" t="e">
        <v>#N/A</v>
      </c>
      <c r="I106" s="74" t="e">
        <v>#N/A</v>
      </c>
      <c r="J106" s="74" t="e" cm="1">
        <f t="array" ref="J106">_xlfn.LET(_xlpm.m, G106,
     _xlpm.rfr, I106,
     _xlpm.sm_down, INDEX(R.IRR_SM_DOWN, _xlpm.m),
     _xlpm.bm_down, INDEX(R.IRR_BM_DOWN, _xlpm.m),
     _xlpm.rfr * (1 - _xlpm.sm_down) - _xlpm.bm_down)</f>
        <v>#N/A</v>
      </c>
      <c r="K106" s="74" t="e">
        <f t="shared" si="6"/>
        <v>#N/A</v>
      </c>
      <c r="L106" s="76">
        <v>2.426E-2</v>
      </c>
      <c r="M106" s="74" t="e">
        <f t="shared" si="7"/>
        <v>#N/A</v>
      </c>
      <c r="N106" s="74" t="e">
        <f t="shared" si="5"/>
        <v>#N/A</v>
      </c>
      <c r="O106" s="76">
        <v>2.52E-2</v>
      </c>
    </row>
    <row r="107" spans="7:15" x14ac:dyDescent="0.35">
      <c r="G107" s="7">
        <v>86</v>
      </c>
      <c r="H107" s="74" t="e">
        <v>#N/A</v>
      </c>
      <c r="I107" s="74" t="e">
        <v>#N/A</v>
      </c>
      <c r="J107" s="74" t="e" cm="1">
        <f t="array" ref="J107">_xlfn.LET(_xlpm.m, G107,
     _xlpm.rfr, I107,
     _xlpm.sm_down, INDEX(R.IRR_SM_DOWN, _xlpm.m),
     _xlpm.bm_down, INDEX(R.IRR_BM_DOWN, _xlpm.m),
     _xlpm.rfr * (1 - _xlpm.sm_down) - _xlpm.bm_down)</f>
        <v>#N/A</v>
      </c>
      <c r="K107" s="74" t="e">
        <f t="shared" si="6"/>
        <v>#N/A</v>
      </c>
      <c r="L107" s="76">
        <v>2.4340000000000001E-2</v>
      </c>
      <c r="M107" s="74" t="e">
        <f t="shared" si="7"/>
        <v>#N/A</v>
      </c>
      <c r="N107" s="74" t="e">
        <f t="shared" si="5"/>
        <v>#N/A</v>
      </c>
      <c r="O107" s="76">
        <v>2.5270000000000001E-2</v>
      </c>
    </row>
    <row r="108" spans="7:15" x14ac:dyDescent="0.35">
      <c r="G108" s="7">
        <v>87</v>
      </c>
      <c r="H108" s="74" t="e">
        <v>#N/A</v>
      </c>
      <c r="I108" s="74" t="e">
        <v>#N/A</v>
      </c>
      <c r="J108" s="74" t="e" cm="1">
        <f t="array" ref="J108">_xlfn.LET(_xlpm.m, G108,
     _xlpm.rfr, I108,
     _xlpm.sm_down, INDEX(R.IRR_SM_DOWN, _xlpm.m),
     _xlpm.bm_down, INDEX(R.IRR_BM_DOWN, _xlpm.m),
     _xlpm.rfr * (1 - _xlpm.sm_down) - _xlpm.bm_down)</f>
        <v>#N/A</v>
      </c>
      <c r="K108" s="74" t="e">
        <f t="shared" si="6"/>
        <v>#N/A</v>
      </c>
      <c r="L108" s="76">
        <v>2.4420000000000001E-2</v>
      </c>
      <c r="M108" s="74" t="e">
        <f t="shared" si="7"/>
        <v>#N/A</v>
      </c>
      <c r="N108" s="74" t="e">
        <f t="shared" si="5"/>
        <v>#N/A</v>
      </c>
      <c r="O108" s="76">
        <v>2.5340000000000001E-2</v>
      </c>
    </row>
    <row r="109" spans="7:15" x14ac:dyDescent="0.35">
      <c r="G109" s="7">
        <v>88</v>
      </c>
      <c r="H109" s="74" t="e">
        <v>#N/A</v>
      </c>
      <c r="I109" s="74" t="e">
        <v>#N/A</v>
      </c>
      <c r="J109" s="74" t="e" cm="1">
        <f t="array" ref="J109">_xlfn.LET(_xlpm.m, G109,
     _xlpm.rfr, I109,
     _xlpm.sm_down, INDEX(R.IRR_SM_DOWN, _xlpm.m),
     _xlpm.bm_down, INDEX(R.IRR_BM_DOWN, _xlpm.m),
     _xlpm.rfr * (1 - _xlpm.sm_down) - _xlpm.bm_down)</f>
        <v>#N/A</v>
      </c>
      <c r="K109" s="74" t="e">
        <f t="shared" si="6"/>
        <v>#N/A</v>
      </c>
      <c r="L109" s="76">
        <v>2.4500000000000001E-2</v>
      </c>
      <c r="M109" s="74" t="e">
        <f t="shared" si="7"/>
        <v>#N/A</v>
      </c>
      <c r="N109" s="74" t="e">
        <f t="shared" si="5"/>
        <v>#N/A</v>
      </c>
      <c r="O109" s="76">
        <v>2.5409999999999999E-2</v>
      </c>
    </row>
    <row r="110" spans="7:15" x14ac:dyDescent="0.35">
      <c r="G110" s="2">
        <v>89</v>
      </c>
      <c r="H110" s="74" t="e">
        <v>#N/A</v>
      </c>
      <c r="I110" s="74" t="e">
        <v>#N/A</v>
      </c>
      <c r="J110" s="74" t="e" cm="1">
        <f t="array" ref="J110">_xlfn.LET(_xlpm.m, G110,
     _xlpm.rfr, I110,
     _xlpm.sm_down, INDEX(R.IRR_SM_DOWN, _xlpm.m),
     _xlpm.bm_down, INDEX(R.IRR_BM_DOWN, _xlpm.m),
     _xlpm.rfr * (1 - _xlpm.sm_down) - _xlpm.bm_down)</f>
        <v>#N/A</v>
      </c>
      <c r="K110" s="74" t="e">
        <f t="shared" si="6"/>
        <v>#N/A</v>
      </c>
      <c r="L110" s="76">
        <v>2.4580000000000001E-2</v>
      </c>
      <c r="M110" s="74" t="e">
        <f t="shared" si="7"/>
        <v>#N/A</v>
      </c>
      <c r="N110" s="74" t="e">
        <f t="shared" si="5"/>
        <v>#N/A</v>
      </c>
      <c r="O110" s="76">
        <v>2.5479999999999999E-2</v>
      </c>
    </row>
    <row r="111" spans="7:15" x14ac:dyDescent="0.35">
      <c r="G111" s="2">
        <v>90</v>
      </c>
      <c r="H111" s="74" t="e">
        <v>#N/A</v>
      </c>
      <c r="I111" s="74" t="e">
        <v>#N/A</v>
      </c>
      <c r="J111" s="74" t="e" cm="1">
        <f t="array" ref="J111">_xlfn.LET(_xlpm.m, G111,
     _xlpm.rfr, I111,
     _xlpm.sm_down, INDEX(R.IRR_SM_DOWN, _xlpm.m),
     _xlpm.bm_down, INDEX(R.IRR_BM_DOWN, _xlpm.m),
     _xlpm.rfr * (1 - _xlpm.sm_down) - _xlpm.bm_down)</f>
        <v>#N/A</v>
      </c>
      <c r="K111" s="74" t="e">
        <f t="shared" si="6"/>
        <v>#N/A</v>
      </c>
      <c r="L111" s="76">
        <v>2.4660000000000001E-2</v>
      </c>
      <c r="M111" s="74" t="e">
        <f t="shared" si="7"/>
        <v>#N/A</v>
      </c>
      <c r="N111" s="74" t="e">
        <f t="shared" si="5"/>
        <v>#N/A</v>
      </c>
      <c r="O111" s="76">
        <v>2.555E-2</v>
      </c>
    </row>
    <row r="112" spans="7:15" x14ac:dyDescent="0.35">
      <c r="G112" s="7">
        <v>91</v>
      </c>
      <c r="H112" s="74" t="e">
        <v>#N/A</v>
      </c>
      <c r="I112" s="74" t="e">
        <v>#N/A</v>
      </c>
      <c r="J112" s="74" t="e" cm="1">
        <f t="array" ref="J112">_xlfn.LET(_xlpm.m, G112,
     _xlpm.rfr, I112,
     _xlpm.sm_down, INDEX(R.IRR_SM_DOWN, _xlpm.m),
     _xlpm.bm_down, INDEX(R.IRR_BM_DOWN, _xlpm.m),
     _xlpm.rfr * (1 - _xlpm.sm_down) - _xlpm.bm_down)</f>
        <v>#N/A</v>
      </c>
      <c r="K112" s="74" t="e">
        <f t="shared" si="6"/>
        <v>#N/A</v>
      </c>
      <c r="L112" s="76">
        <v>2.4729999999999999E-2</v>
      </c>
      <c r="M112" s="74" t="e">
        <f t="shared" si="7"/>
        <v>#N/A</v>
      </c>
      <c r="N112" s="74" t="e">
        <f t="shared" si="5"/>
        <v>#N/A</v>
      </c>
      <c r="O112" s="76">
        <v>2.5610000000000001E-2</v>
      </c>
    </row>
    <row r="113" spans="7:15" x14ac:dyDescent="0.35">
      <c r="G113" s="7">
        <v>92</v>
      </c>
      <c r="H113" s="74" t="e">
        <v>#N/A</v>
      </c>
      <c r="I113" s="74" t="e">
        <v>#N/A</v>
      </c>
      <c r="J113" s="74" t="e" cm="1">
        <f t="array" ref="J113">_xlfn.LET(_xlpm.m, G113,
     _xlpm.rfr, I113,
     _xlpm.sm_down, INDEX(R.IRR_SM_DOWN, _xlpm.m),
     _xlpm.bm_down, INDEX(R.IRR_BM_DOWN, _xlpm.m),
     _xlpm.rfr * (1 - _xlpm.sm_down) - _xlpm.bm_down)</f>
        <v>#N/A</v>
      </c>
      <c r="K113" s="74" t="e">
        <f t="shared" si="6"/>
        <v>#N/A</v>
      </c>
      <c r="L113" s="76">
        <v>2.4799999999999999E-2</v>
      </c>
      <c r="M113" s="74" t="e">
        <f t="shared" si="7"/>
        <v>#N/A</v>
      </c>
      <c r="N113" s="74" t="e">
        <f t="shared" si="5"/>
        <v>#N/A</v>
      </c>
      <c r="O113" s="76">
        <v>2.5669999999999998E-2</v>
      </c>
    </row>
    <row r="114" spans="7:15" x14ac:dyDescent="0.35">
      <c r="G114" s="7">
        <v>93</v>
      </c>
      <c r="H114" s="74" t="e">
        <v>#N/A</v>
      </c>
      <c r="I114" s="74" t="e">
        <v>#N/A</v>
      </c>
      <c r="J114" s="74" t="e" cm="1">
        <f t="array" ref="J114">_xlfn.LET(_xlpm.m, G114,
     _xlpm.rfr, I114,
     _xlpm.sm_down, INDEX(R.IRR_SM_DOWN, _xlpm.m),
     _xlpm.bm_down, INDEX(R.IRR_BM_DOWN, _xlpm.m),
     _xlpm.rfr * (1 - _xlpm.sm_down) - _xlpm.bm_down)</f>
        <v>#N/A</v>
      </c>
      <c r="K114" s="74" t="e">
        <f t="shared" si="6"/>
        <v>#N/A</v>
      </c>
      <c r="L114" s="76">
        <v>2.4879999999999999E-2</v>
      </c>
      <c r="M114" s="74" t="e">
        <f t="shared" si="7"/>
        <v>#N/A</v>
      </c>
      <c r="N114" s="74" t="e">
        <f t="shared" si="5"/>
        <v>#N/A</v>
      </c>
      <c r="O114" s="76">
        <v>2.5739999999999999E-2</v>
      </c>
    </row>
    <row r="115" spans="7:15" x14ac:dyDescent="0.35">
      <c r="G115" s="2">
        <v>94</v>
      </c>
      <c r="H115" s="74" t="e">
        <v>#N/A</v>
      </c>
      <c r="I115" s="74" t="e">
        <v>#N/A</v>
      </c>
      <c r="J115" s="74" t="e" cm="1">
        <f t="array" ref="J115">_xlfn.LET(_xlpm.m, G115,
     _xlpm.rfr, I115,
     _xlpm.sm_down, INDEX(R.IRR_SM_DOWN, _xlpm.m),
     _xlpm.bm_down, INDEX(R.IRR_BM_DOWN, _xlpm.m),
     _xlpm.rfr * (1 - _xlpm.sm_down) - _xlpm.bm_down)</f>
        <v>#N/A</v>
      </c>
      <c r="K115" s="74" t="e">
        <f t="shared" si="6"/>
        <v>#N/A</v>
      </c>
      <c r="L115" s="76">
        <v>2.495E-2</v>
      </c>
      <c r="M115" s="74" t="e">
        <f t="shared" si="7"/>
        <v>#N/A</v>
      </c>
      <c r="N115" s="74" t="e">
        <f t="shared" si="5"/>
        <v>#N/A</v>
      </c>
      <c r="O115" s="76">
        <v>2.58E-2</v>
      </c>
    </row>
    <row r="116" spans="7:15" x14ac:dyDescent="0.35">
      <c r="G116" s="2">
        <v>95</v>
      </c>
      <c r="H116" s="74" t="e">
        <v>#N/A</v>
      </c>
      <c r="I116" s="74" t="e">
        <v>#N/A</v>
      </c>
      <c r="J116" s="74" t="e" cm="1">
        <f t="array" ref="J116">_xlfn.LET(_xlpm.m, G116,
     _xlpm.rfr, I116,
     _xlpm.sm_down, INDEX(R.IRR_SM_DOWN, _xlpm.m),
     _xlpm.bm_down, INDEX(R.IRR_BM_DOWN, _xlpm.m),
     _xlpm.rfr * (1 - _xlpm.sm_down) - _xlpm.bm_down)</f>
        <v>#N/A</v>
      </c>
      <c r="K116" s="74" t="e">
        <f t="shared" si="6"/>
        <v>#N/A</v>
      </c>
      <c r="L116" s="76">
        <v>2.5010000000000001E-2</v>
      </c>
      <c r="M116" s="74" t="e">
        <f t="shared" si="7"/>
        <v>#N/A</v>
      </c>
      <c r="N116" s="74" t="e">
        <f t="shared" si="5"/>
        <v>#N/A</v>
      </c>
      <c r="O116" s="76">
        <v>2.5860000000000001E-2</v>
      </c>
    </row>
    <row r="117" spans="7:15" x14ac:dyDescent="0.35">
      <c r="G117" s="7">
        <v>96</v>
      </c>
      <c r="H117" s="74" t="e">
        <v>#N/A</v>
      </c>
      <c r="I117" s="74" t="e">
        <v>#N/A</v>
      </c>
      <c r="J117" s="74" t="e" cm="1">
        <f t="array" ref="J117">_xlfn.LET(_xlpm.m, G117,
     _xlpm.rfr, I117,
     _xlpm.sm_down, INDEX(R.IRR_SM_DOWN, _xlpm.m),
     _xlpm.bm_down, INDEX(R.IRR_BM_DOWN, _xlpm.m),
     _xlpm.rfr * (1 - _xlpm.sm_down) - _xlpm.bm_down)</f>
        <v>#N/A</v>
      </c>
      <c r="K117" s="74" t="e">
        <f t="shared" si="6"/>
        <v>#N/A</v>
      </c>
      <c r="L117" s="76">
        <v>2.5080000000000002E-2</v>
      </c>
      <c r="M117" s="74" t="e">
        <f t="shared" si="7"/>
        <v>#N/A</v>
      </c>
      <c r="N117" s="74" t="e">
        <f t="shared" si="5"/>
        <v>#N/A</v>
      </c>
      <c r="O117" s="76">
        <v>2.5919999999999999E-2</v>
      </c>
    </row>
    <row r="118" spans="7:15" x14ac:dyDescent="0.35">
      <c r="G118" s="7">
        <v>97</v>
      </c>
      <c r="H118" s="74" t="e">
        <v>#N/A</v>
      </c>
      <c r="I118" s="74" t="e">
        <v>#N/A</v>
      </c>
      <c r="J118" s="74" t="e" cm="1">
        <f t="array" ref="J118">_xlfn.LET(_xlpm.m, G118,
     _xlpm.rfr, I118,
     _xlpm.sm_down, INDEX(R.IRR_SM_DOWN, _xlpm.m),
     _xlpm.bm_down, INDEX(R.IRR_BM_DOWN, _xlpm.m),
     _xlpm.rfr * (1 - _xlpm.sm_down) - _xlpm.bm_down)</f>
        <v>#N/A</v>
      </c>
      <c r="K118" s="74" t="e">
        <f t="shared" si="6"/>
        <v>#N/A</v>
      </c>
      <c r="L118" s="76">
        <v>2.5149999999999999E-2</v>
      </c>
      <c r="M118" s="74" t="e">
        <f t="shared" si="7"/>
        <v>#N/A</v>
      </c>
      <c r="N118" s="74" t="e">
        <f t="shared" ref="N118:N149" si="8">M118+LN(1+V.TOTAL_VA)</f>
        <v>#N/A</v>
      </c>
      <c r="O118" s="76">
        <v>2.597E-2</v>
      </c>
    </row>
    <row r="119" spans="7:15" x14ac:dyDescent="0.35">
      <c r="G119" s="7">
        <v>98</v>
      </c>
      <c r="H119" s="74" t="e">
        <v>#N/A</v>
      </c>
      <c r="I119" s="74" t="e">
        <v>#N/A</v>
      </c>
      <c r="J119" s="74" t="e" cm="1">
        <f t="array" ref="J119">_xlfn.LET(_xlpm.m, G119,
     _xlpm.rfr, I119,
     _xlpm.sm_down, INDEX(R.IRR_SM_DOWN, _xlpm.m),
     _xlpm.bm_down, INDEX(R.IRR_BM_DOWN, _xlpm.m),
     _xlpm.rfr * (1 - _xlpm.sm_down) - _xlpm.bm_down)</f>
        <v>#N/A</v>
      </c>
      <c r="K119" s="74" t="e">
        <f t="shared" si="6"/>
        <v>#N/A</v>
      </c>
      <c r="L119" s="76">
        <v>2.521E-2</v>
      </c>
      <c r="M119" s="74" t="e">
        <f t="shared" ref="M119:M150" si="9">G119*K119-G118*K118</f>
        <v>#N/A</v>
      </c>
      <c r="N119" s="74" t="e">
        <f t="shared" si="8"/>
        <v>#N/A</v>
      </c>
      <c r="O119" s="76">
        <v>2.6030000000000001E-2</v>
      </c>
    </row>
    <row r="120" spans="7:15" x14ac:dyDescent="0.35">
      <c r="G120" s="2">
        <v>99</v>
      </c>
      <c r="H120" s="74" t="e">
        <v>#N/A</v>
      </c>
      <c r="I120" s="74" t="e">
        <v>#N/A</v>
      </c>
      <c r="J120" s="74" t="e" cm="1">
        <f t="array" ref="J120">_xlfn.LET(_xlpm.m, G120,
     _xlpm.rfr, I120,
     _xlpm.sm_down, INDEX(R.IRR_SM_DOWN, _xlpm.m),
     _xlpm.bm_down, INDEX(R.IRR_BM_DOWN, _xlpm.m),
     _xlpm.rfr * (1 - _xlpm.sm_down) - _xlpm.bm_down)</f>
        <v>#N/A</v>
      </c>
      <c r="K120" s="74" t="e">
        <f t="shared" si="6"/>
        <v>#N/A</v>
      </c>
      <c r="L120" s="76">
        <v>2.528E-2</v>
      </c>
      <c r="M120" s="74" t="e">
        <f t="shared" si="9"/>
        <v>#N/A</v>
      </c>
      <c r="N120" s="74" t="e">
        <f t="shared" si="8"/>
        <v>#N/A</v>
      </c>
      <c r="O120" s="76">
        <v>2.6079999999999999E-2</v>
      </c>
    </row>
    <row r="121" spans="7:15" x14ac:dyDescent="0.35">
      <c r="G121" s="2">
        <v>100</v>
      </c>
      <c r="H121" s="74" t="e">
        <v>#N/A</v>
      </c>
      <c r="I121" s="74" t="e">
        <v>#N/A</v>
      </c>
      <c r="J121" s="74" t="e" cm="1">
        <f t="array" ref="J121">_xlfn.LET(_xlpm.m, G121,
     _xlpm.rfr, I121,
     _xlpm.sm_down, INDEX(R.IRR_SM_DOWN, _xlpm.m),
     _xlpm.bm_down, INDEX(R.IRR_BM_DOWN, _xlpm.m),
     _xlpm.rfr * (1 - _xlpm.sm_down) - _xlpm.bm_down)</f>
        <v>#N/A</v>
      </c>
      <c r="K121" s="74" t="e">
        <f t="shared" si="6"/>
        <v>#N/A</v>
      </c>
      <c r="L121" s="76">
        <v>2.5340000000000001E-2</v>
      </c>
      <c r="M121" s="74" t="e">
        <f t="shared" si="9"/>
        <v>#N/A</v>
      </c>
      <c r="N121" s="74" t="e">
        <f t="shared" si="8"/>
        <v>#N/A</v>
      </c>
      <c r="O121" s="76">
        <v>2.614E-2</v>
      </c>
    </row>
    <row r="122" spans="7:15" x14ac:dyDescent="0.35">
      <c r="G122" s="7">
        <v>101</v>
      </c>
      <c r="H122" s="74" t="e">
        <v>#N/A</v>
      </c>
      <c r="I122" s="74" t="e">
        <v>#N/A</v>
      </c>
      <c r="J122" s="74" t="e" cm="1">
        <f t="array" ref="J122">_xlfn.LET(_xlpm.m, G122,
     _xlpm.rfr, I122,
     _xlpm.sm_down, INDEX(R.IRR_SM_DOWN, _xlpm.m),
     _xlpm.bm_down, INDEX(R.IRR_BM_DOWN, _xlpm.m),
     _xlpm.rfr * (1 - _xlpm.sm_down) - _xlpm.bm_down)</f>
        <v>#N/A</v>
      </c>
      <c r="K122" s="74" t="e">
        <f t="shared" si="6"/>
        <v>#N/A</v>
      </c>
      <c r="L122" s="76">
        <v>2.5399999999999999E-2</v>
      </c>
      <c r="M122" s="74" t="e">
        <f t="shared" si="9"/>
        <v>#N/A</v>
      </c>
      <c r="N122" s="74" t="e">
        <f t="shared" si="8"/>
        <v>#N/A</v>
      </c>
      <c r="O122" s="76">
        <v>2.6190000000000001E-2</v>
      </c>
    </row>
    <row r="123" spans="7:15" x14ac:dyDescent="0.35">
      <c r="G123" s="7">
        <v>102</v>
      </c>
      <c r="H123" s="74" t="e">
        <v>#N/A</v>
      </c>
      <c r="I123" s="74" t="e">
        <v>#N/A</v>
      </c>
      <c r="J123" s="74" t="e" cm="1">
        <f t="array" ref="J123">_xlfn.LET(_xlpm.m, G123,
     _xlpm.rfr, I123,
     _xlpm.sm_down, INDEX(R.IRR_SM_DOWN, _xlpm.m),
     _xlpm.bm_down, INDEX(R.IRR_BM_DOWN, _xlpm.m),
     _xlpm.rfr * (1 - _xlpm.sm_down) - _xlpm.bm_down)</f>
        <v>#N/A</v>
      </c>
      <c r="K123" s="74" t="e">
        <f t="shared" si="6"/>
        <v>#N/A</v>
      </c>
      <c r="L123" s="76">
        <v>2.546E-2</v>
      </c>
      <c r="M123" s="74" t="e">
        <f t="shared" si="9"/>
        <v>#N/A</v>
      </c>
      <c r="N123" s="74" t="e">
        <f t="shared" si="8"/>
        <v>#N/A</v>
      </c>
      <c r="O123" s="76">
        <v>2.6239999999999999E-2</v>
      </c>
    </row>
    <row r="124" spans="7:15" x14ac:dyDescent="0.35">
      <c r="G124" s="7">
        <v>103</v>
      </c>
      <c r="H124" s="74" t="e">
        <v>#N/A</v>
      </c>
      <c r="I124" s="74" t="e">
        <v>#N/A</v>
      </c>
      <c r="J124" s="74" t="e" cm="1">
        <f t="array" ref="J124">_xlfn.LET(_xlpm.m, G124,
     _xlpm.rfr, I124,
     _xlpm.sm_down, INDEX(R.IRR_SM_DOWN, _xlpm.m),
     _xlpm.bm_down, INDEX(R.IRR_BM_DOWN, _xlpm.m),
     _xlpm.rfr * (1 - _xlpm.sm_down) - _xlpm.bm_down)</f>
        <v>#N/A</v>
      </c>
      <c r="K124" s="74" t="e">
        <f t="shared" si="6"/>
        <v>#N/A</v>
      </c>
      <c r="L124" s="76">
        <v>2.5520000000000001E-2</v>
      </c>
      <c r="M124" s="74" t="e">
        <f t="shared" si="9"/>
        <v>#N/A</v>
      </c>
      <c r="N124" s="74" t="e">
        <f t="shared" si="8"/>
        <v>#N/A</v>
      </c>
      <c r="O124" s="76">
        <v>2.6290000000000001E-2</v>
      </c>
    </row>
    <row r="125" spans="7:15" x14ac:dyDescent="0.35">
      <c r="G125" s="2">
        <v>104</v>
      </c>
      <c r="H125" s="74" t="e">
        <v>#N/A</v>
      </c>
      <c r="I125" s="74" t="e">
        <v>#N/A</v>
      </c>
      <c r="J125" s="74" t="e" cm="1">
        <f t="array" ref="J125">_xlfn.LET(_xlpm.m, G125,
     _xlpm.rfr, I125,
     _xlpm.sm_down, INDEX(R.IRR_SM_DOWN, _xlpm.m),
     _xlpm.bm_down, INDEX(R.IRR_BM_DOWN, _xlpm.m),
     _xlpm.rfr * (1 - _xlpm.sm_down) - _xlpm.bm_down)</f>
        <v>#N/A</v>
      </c>
      <c r="K125" s="74" t="e">
        <f t="shared" si="6"/>
        <v>#N/A</v>
      </c>
      <c r="L125" s="76">
        <v>2.5569999999999999E-2</v>
      </c>
      <c r="M125" s="74" t="e">
        <f t="shared" si="9"/>
        <v>#N/A</v>
      </c>
      <c r="N125" s="74" t="e">
        <f t="shared" si="8"/>
        <v>#N/A</v>
      </c>
      <c r="O125" s="76">
        <v>2.6339999999999999E-2</v>
      </c>
    </row>
    <row r="126" spans="7:15" x14ac:dyDescent="0.35">
      <c r="G126" s="2">
        <v>105</v>
      </c>
      <c r="H126" s="74" t="e">
        <v>#N/A</v>
      </c>
      <c r="I126" s="74" t="e">
        <v>#N/A</v>
      </c>
      <c r="J126" s="74" t="e" cm="1">
        <f t="array" ref="J126">_xlfn.LET(_xlpm.m, G126,
     _xlpm.rfr, I126,
     _xlpm.sm_down, INDEX(R.IRR_SM_DOWN, _xlpm.m),
     _xlpm.bm_down, INDEX(R.IRR_BM_DOWN, _xlpm.m),
     _xlpm.rfr * (1 - _xlpm.sm_down) - _xlpm.bm_down)</f>
        <v>#N/A</v>
      </c>
      <c r="K126" s="74" t="e">
        <f t="shared" si="6"/>
        <v>#N/A</v>
      </c>
      <c r="L126" s="76">
        <v>2.563E-2</v>
      </c>
      <c r="M126" s="74" t="e">
        <f t="shared" si="9"/>
        <v>#N/A</v>
      </c>
      <c r="N126" s="74" t="e">
        <f t="shared" si="8"/>
        <v>#N/A</v>
      </c>
      <c r="O126" s="76">
        <v>2.639E-2</v>
      </c>
    </row>
    <row r="127" spans="7:15" x14ac:dyDescent="0.35">
      <c r="G127" s="7">
        <v>106</v>
      </c>
      <c r="H127" s="74" t="e">
        <v>#N/A</v>
      </c>
      <c r="I127" s="74" t="e">
        <v>#N/A</v>
      </c>
      <c r="J127" s="74" t="e" cm="1">
        <f t="array" ref="J127">_xlfn.LET(_xlpm.m, G127,
     _xlpm.rfr, I127,
     _xlpm.sm_down, INDEX(R.IRR_SM_DOWN, _xlpm.m),
     _xlpm.bm_down, INDEX(R.IRR_BM_DOWN, _xlpm.m),
     _xlpm.rfr * (1 - _xlpm.sm_down) - _xlpm.bm_down)</f>
        <v>#N/A</v>
      </c>
      <c r="K127" s="74" t="e">
        <f t="shared" si="6"/>
        <v>#N/A</v>
      </c>
      <c r="L127" s="76">
        <v>2.5690000000000001E-2</v>
      </c>
      <c r="M127" s="74" t="e">
        <f t="shared" si="9"/>
        <v>#N/A</v>
      </c>
      <c r="N127" s="74" t="e">
        <f t="shared" si="8"/>
        <v>#N/A</v>
      </c>
      <c r="O127" s="76">
        <v>2.6440000000000002E-2</v>
      </c>
    </row>
    <row r="128" spans="7:15" x14ac:dyDescent="0.35">
      <c r="G128" s="7">
        <v>107</v>
      </c>
      <c r="H128" s="74" t="e">
        <v>#N/A</v>
      </c>
      <c r="I128" s="74" t="e">
        <v>#N/A</v>
      </c>
      <c r="J128" s="74" t="e" cm="1">
        <f t="array" ref="J128">_xlfn.LET(_xlpm.m, G128,
     _xlpm.rfr, I128,
     _xlpm.sm_down, INDEX(R.IRR_SM_DOWN, _xlpm.m),
     _xlpm.bm_down, INDEX(R.IRR_BM_DOWN, _xlpm.m),
     _xlpm.rfr * (1 - _xlpm.sm_down) - _xlpm.bm_down)</f>
        <v>#N/A</v>
      </c>
      <c r="K128" s="74" t="e">
        <f t="shared" si="6"/>
        <v>#N/A</v>
      </c>
      <c r="L128" s="76">
        <v>2.5739999999999999E-2</v>
      </c>
      <c r="M128" s="74" t="e">
        <f t="shared" si="9"/>
        <v>#N/A</v>
      </c>
      <c r="N128" s="74" t="e">
        <f t="shared" si="8"/>
        <v>#N/A</v>
      </c>
      <c r="O128" s="76">
        <v>2.649E-2</v>
      </c>
    </row>
    <row r="129" spans="7:15" x14ac:dyDescent="0.35">
      <c r="G129" s="7">
        <v>108</v>
      </c>
      <c r="H129" s="74" t="e">
        <v>#N/A</v>
      </c>
      <c r="I129" s="74" t="e">
        <v>#N/A</v>
      </c>
      <c r="J129" s="74" t="e" cm="1">
        <f t="array" ref="J129">_xlfn.LET(_xlpm.m, G129,
     _xlpm.rfr, I129,
     _xlpm.sm_down, INDEX(R.IRR_SM_DOWN, _xlpm.m),
     _xlpm.bm_down, INDEX(R.IRR_BM_DOWN, _xlpm.m),
     _xlpm.rfr * (1 - _xlpm.sm_down) - _xlpm.bm_down)</f>
        <v>#N/A</v>
      </c>
      <c r="K129" s="74" t="e">
        <f t="shared" si="6"/>
        <v>#N/A</v>
      </c>
      <c r="L129" s="76">
        <v>2.579E-2</v>
      </c>
      <c r="M129" s="74" t="e">
        <f t="shared" si="9"/>
        <v>#N/A</v>
      </c>
      <c r="N129" s="74" t="e">
        <f t="shared" si="8"/>
        <v>#N/A</v>
      </c>
      <c r="O129" s="76">
        <v>2.6530000000000001E-2</v>
      </c>
    </row>
    <row r="130" spans="7:15" x14ac:dyDescent="0.35">
      <c r="G130" s="2">
        <v>109</v>
      </c>
      <c r="H130" s="74" t="e">
        <v>#N/A</v>
      </c>
      <c r="I130" s="74" t="e">
        <v>#N/A</v>
      </c>
      <c r="J130" s="74" t="e" cm="1">
        <f t="array" ref="J130">_xlfn.LET(_xlpm.m, G130,
     _xlpm.rfr, I130,
     _xlpm.sm_down, INDEX(R.IRR_SM_DOWN, _xlpm.m),
     _xlpm.bm_down, INDEX(R.IRR_BM_DOWN, _xlpm.m),
     _xlpm.rfr * (1 - _xlpm.sm_down) - _xlpm.bm_down)</f>
        <v>#N/A</v>
      </c>
      <c r="K130" s="74" t="e">
        <f t="shared" si="6"/>
        <v>#N/A</v>
      </c>
      <c r="L130" s="76">
        <v>2.5850000000000001E-2</v>
      </c>
      <c r="M130" s="74" t="e">
        <f t="shared" si="9"/>
        <v>#N/A</v>
      </c>
      <c r="N130" s="74" t="e">
        <f t="shared" si="8"/>
        <v>#N/A</v>
      </c>
      <c r="O130" s="76">
        <v>2.6579999999999999E-2</v>
      </c>
    </row>
    <row r="131" spans="7:15" x14ac:dyDescent="0.35">
      <c r="G131" s="2">
        <v>110</v>
      </c>
      <c r="H131" s="74" t="e">
        <v>#N/A</v>
      </c>
      <c r="I131" s="74" t="e">
        <v>#N/A</v>
      </c>
      <c r="J131" s="74" t="e" cm="1">
        <f t="array" ref="J131">_xlfn.LET(_xlpm.m, G131,
     _xlpm.rfr, I131,
     _xlpm.sm_down, INDEX(R.IRR_SM_DOWN, _xlpm.m),
     _xlpm.bm_down, INDEX(R.IRR_BM_DOWN, _xlpm.m),
     _xlpm.rfr * (1 - _xlpm.sm_down) - _xlpm.bm_down)</f>
        <v>#N/A</v>
      </c>
      <c r="K131" s="74" t="e">
        <f t="shared" si="6"/>
        <v>#N/A</v>
      </c>
      <c r="L131" s="76">
        <v>2.5899999999999999E-2</v>
      </c>
      <c r="M131" s="74" t="e">
        <f t="shared" si="9"/>
        <v>#N/A</v>
      </c>
      <c r="N131" s="74" t="e">
        <f t="shared" si="8"/>
        <v>#N/A</v>
      </c>
      <c r="O131" s="76">
        <v>2.6620000000000001E-2</v>
      </c>
    </row>
    <row r="132" spans="7:15" x14ac:dyDescent="0.35">
      <c r="G132" s="7">
        <v>111</v>
      </c>
      <c r="H132" s="74" t="e">
        <v>#N/A</v>
      </c>
      <c r="I132" s="74" t="e">
        <v>#N/A</v>
      </c>
      <c r="J132" s="74" t="e" cm="1">
        <f t="array" ref="J132">_xlfn.LET(_xlpm.m, G132,
     _xlpm.rfr, I132,
     _xlpm.sm_down, INDEX(R.IRR_SM_DOWN, _xlpm.m),
     _xlpm.bm_down, INDEX(R.IRR_BM_DOWN, _xlpm.m),
     _xlpm.rfr * (1 - _xlpm.sm_down) - _xlpm.bm_down)</f>
        <v>#N/A</v>
      </c>
      <c r="K132" s="74" t="e">
        <f t="shared" si="6"/>
        <v>#N/A</v>
      </c>
      <c r="L132" s="76">
        <v>2.5950000000000001E-2</v>
      </c>
      <c r="M132" s="74" t="e">
        <f t="shared" si="9"/>
        <v>#N/A</v>
      </c>
      <c r="N132" s="74" t="e">
        <f t="shared" si="8"/>
        <v>#N/A</v>
      </c>
      <c r="O132" s="76">
        <v>2.6669999999999999E-2</v>
      </c>
    </row>
    <row r="133" spans="7:15" x14ac:dyDescent="0.35">
      <c r="G133" s="7">
        <v>112</v>
      </c>
      <c r="H133" s="74" t="e">
        <v>#N/A</v>
      </c>
      <c r="I133" s="74" t="e">
        <v>#N/A</v>
      </c>
      <c r="J133" s="74" t="e" cm="1">
        <f t="array" ref="J133">_xlfn.LET(_xlpm.m, G133,
     _xlpm.rfr, I133,
     _xlpm.sm_down, INDEX(R.IRR_SM_DOWN, _xlpm.m),
     _xlpm.bm_down, INDEX(R.IRR_BM_DOWN, _xlpm.m),
     _xlpm.rfr * (1 - _xlpm.sm_down) - _xlpm.bm_down)</f>
        <v>#N/A</v>
      </c>
      <c r="K133" s="74" t="e">
        <f t="shared" si="6"/>
        <v>#N/A</v>
      </c>
      <c r="L133" s="76">
        <v>2.5999999999999999E-2</v>
      </c>
      <c r="M133" s="74" t="e">
        <f t="shared" si="9"/>
        <v>#N/A</v>
      </c>
      <c r="N133" s="74" t="e">
        <f t="shared" si="8"/>
        <v>#N/A</v>
      </c>
      <c r="O133" s="76">
        <v>2.6710000000000001E-2</v>
      </c>
    </row>
    <row r="134" spans="7:15" x14ac:dyDescent="0.35">
      <c r="G134" s="7">
        <v>113</v>
      </c>
      <c r="H134" s="74" t="e">
        <v>#N/A</v>
      </c>
      <c r="I134" s="74" t="e">
        <v>#N/A</v>
      </c>
      <c r="J134" s="74" t="e" cm="1">
        <f t="array" ref="J134">_xlfn.LET(_xlpm.m, G134,
     _xlpm.rfr, I134,
     _xlpm.sm_down, INDEX(R.IRR_SM_DOWN, _xlpm.m),
     _xlpm.bm_down, INDEX(R.IRR_BM_DOWN, _xlpm.m),
     _xlpm.rfr * (1 - _xlpm.sm_down) - _xlpm.bm_down)</f>
        <v>#N/A</v>
      </c>
      <c r="K134" s="74" t="e">
        <f t="shared" si="6"/>
        <v>#N/A</v>
      </c>
      <c r="L134" s="76">
        <v>2.6040000000000001E-2</v>
      </c>
      <c r="M134" s="74" t="e">
        <f t="shared" si="9"/>
        <v>#N/A</v>
      </c>
      <c r="N134" s="74" t="e">
        <f t="shared" si="8"/>
        <v>#N/A</v>
      </c>
      <c r="O134" s="76">
        <v>2.6749999999999999E-2</v>
      </c>
    </row>
    <row r="135" spans="7:15" x14ac:dyDescent="0.35">
      <c r="G135" s="2">
        <v>114</v>
      </c>
      <c r="H135" s="74" t="e">
        <v>#N/A</v>
      </c>
      <c r="I135" s="74" t="e">
        <v>#N/A</v>
      </c>
      <c r="J135" s="74" t="e" cm="1">
        <f t="array" ref="J135">_xlfn.LET(_xlpm.m, G135,
     _xlpm.rfr, I135,
     _xlpm.sm_down, INDEX(R.IRR_SM_DOWN, _xlpm.m),
     _xlpm.bm_down, INDEX(R.IRR_BM_DOWN, _xlpm.m),
     _xlpm.rfr * (1 - _xlpm.sm_down) - _xlpm.bm_down)</f>
        <v>#N/A</v>
      </c>
      <c r="K135" s="74" t="e">
        <f t="shared" si="6"/>
        <v>#N/A</v>
      </c>
      <c r="L135" s="76">
        <v>2.6089999999999999E-2</v>
      </c>
      <c r="M135" s="74" t="e">
        <f t="shared" si="9"/>
        <v>#N/A</v>
      </c>
      <c r="N135" s="74" t="e">
        <f t="shared" si="8"/>
        <v>#N/A</v>
      </c>
      <c r="O135" s="76">
        <v>2.6800000000000001E-2</v>
      </c>
    </row>
    <row r="136" spans="7:15" x14ac:dyDescent="0.35">
      <c r="G136" s="2">
        <v>115</v>
      </c>
      <c r="H136" s="74" t="e">
        <v>#N/A</v>
      </c>
      <c r="I136" s="74" t="e">
        <v>#N/A</v>
      </c>
      <c r="J136" s="74" t="e" cm="1">
        <f t="array" ref="J136">_xlfn.LET(_xlpm.m, G136,
     _xlpm.rfr, I136,
     _xlpm.sm_down, INDEX(R.IRR_SM_DOWN, _xlpm.m),
     _xlpm.bm_down, INDEX(R.IRR_BM_DOWN, _xlpm.m),
     _xlpm.rfr * (1 - _xlpm.sm_down) - _xlpm.bm_down)</f>
        <v>#N/A</v>
      </c>
      <c r="K136" s="74" t="e">
        <f t="shared" si="6"/>
        <v>#N/A</v>
      </c>
      <c r="L136" s="76">
        <v>2.614E-2</v>
      </c>
      <c r="M136" s="74" t="e">
        <f t="shared" si="9"/>
        <v>#N/A</v>
      </c>
      <c r="N136" s="74" t="e">
        <f t="shared" si="8"/>
        <v>#N/A</v>
      </c>
      <c r="O136" s="76">
        <v>2.6839999999999999E-2</v>
      </c>
    </row>
    <row r="137" spans="7:15" x14ac:dyDescent="0.35">
      <c r="G137" s="7">
        <v>116</v>
      </c>
      <c r="H137" s="74" t="e">
        <v>#N/A</v>
      </c>
      <c r="I137" s="74" t="e">
        <v>#N/A</v>
      </c>
      <c r="J137" s="74" t="e" cm="1">
        <f t="array" ref="J137">_xlfn.LET(_xlpm.m, G137,
     _xlpm.rfr, I137,
     _xlpm.sm_down, INDEX(R.IRR_SM_DOWN, _xlpm.m),
     _xlpm.bm_down, INDEX(R.IRR_BM_DOWN, _xlpm.m),
     _xlpm.rfr * (1 - _xlpm.sm_down) - _xlpm.bm_down)</f>
        <v>#N/A</v>
      </c>
      <c r="K137" s="74" t="e">
        <f t="shared" si="6"/>
        <v>#N/A</v>
      </c>
      <c r="L137" s="76">
        <v>2.6190000000000001E-2</v>
      </c>
      <c r="M137" s="74" t="e">
        <f t="shared" si="9"/>
        <v>#N/A</v>
      </c>
      <c r="N137" s="74" t="e">
        <f t="shared" si="8"/>
        <v>#N/A</v>
      </c>
      <c r="O137" s="76">
        <v>2.6880000000000001E-2</v>
      </c>
    </row>
    <row r="138" spans="7:15" x14ac:dyDescent="0.35">
      <c r="G138" s="7">
        <v>117</v>
      </c>
      <c r="H138" s="74" t="e">
        <v>#N/A</v>
      </c>
      <c r="I138" s="74" t="e">
        <v>#N/A</v>
      </c>
      <c r="J138" s="74" t="e" cm="1">
        <f t="array" ref="J138">_xlfn.LET(_xlpm.m, G138,
     _xlpm.rfr, I138,
     _xlpm.sm_down, INDEX(R.IRR_SM_DOWN, _xlpm.m),
     _xlpm.bm_down, INDEX(R.IRR_BM_DOWN, _xlpm.m),
     _xlpm.rfr * (1 - _xlpm.sm_down) - _xlpm.bm_down)</f>
        <v>#N/A</v>
      </c>
      <c r="K138" s="74" t="e">
        <f t="shared" si="6"/>
        <v>#N/A</v>
      </c>
      <c r="L138" s="76">
        <v>2.623E-2</v>
      </c>
      <c r="M138" s="74" t="e">
        <f t="shared" si="9"/>
        <v>#N/A</v>
      </c>
      <c r="N138" s="74" t="e">
        <f t="shared" si="8"/>
        <v>#N/A</v>
      </c>
      <c r="O138" s="76">
        <v>2.6919999999999999E-2</v>
      </c>
    </row>
    <row r="139" spans="7:15" x14ac:dyDescent="0.35">
      <c r="G139" s="7">
        <v>118</v>
      </c>
      <c r="H139" s="74" t="e">
        <v>#N/A</v>
      </c>
      <c r="I139" s="74" t="e">
        <v>#N/A</v>
      </c>
      <c r="J139" s="74" t="e" cm="1">
        <f t="array" ref="J139">_xlfn.LET(_xlpm.m, G139,
     _xlpm.rfr, I139,
     _xlpm.sm_down, INDEX(R.IRR_SM_DOWN, _xlpm.m),
     _xlpm.bm_down, INDEX(R.IRR_BM_DOWN, _xlpm.m),
     _xlpm.rfr * (1 - _xlpm.sm_down) - _xlpm.bm_down)</f>
        <v>#N/A</v>
      </c>
      <c r="K139" s="74" t="e">
        <f t="shared" si="6"/>
        <v>#N/A</v>
      </c>
      <c r="L139" s="76">
        <v>2.6280000000000001E-2</v>
      </c>
      <c r="M139" s="74" t="e">
        <f t="shared" si="9"/>
        <v>#N/A</v>
      </c>
      <c r="N139" s="74" t="e">
        <f t="shared" si="8"/>
        <v>#N/A</v>
      </c>
      <c r="O139" s="76">
        <v>2.6950000000000002E-2</v>
      </c>
    </row>
    <row r="140" spans="7:15" x14ac:dyDescent="0.35">
      <c r="G140" s="2">
        <v>119</v>
      </c>
      <c r="H140" s="74" t="e">
        <v>#N/A</v>
      </c>
      <c r="I140" s="74" t="e">
        <v>#N/A</v>
      </c>
      <c r="J140" s="74" t="e" cm="1">
        <f t="array" ref="J140">_xlfn.LET(_xlpm.m, G140,
     _xlpm.rfr, I140,
     _xlpm.sm_down, INDEX(R.IRR_SM_DOWN, _xlpm.m),
     _xlpm.bm_down, INDEX(R.IRR_BM_DOWN, _xlpm.m),
     _xlpm.rfr * (1 - _xlpm.sm_down) - _xlpm.bm_down)</f>
        <v>#N/A</v>
      </c>
      <c r="K140" s="74" t="e">
        <f t="shared" si="6"/>
        <v>#N/A</v>
      </c>
      <c r="L140" s="76">
        <v>2.632E-2</v>
      </c>
      <c r="M140" s="74" t="e">
        <f t="shared" si="9"/>
        <v>#N/A</v>
      </c>
      <c r="N140" s="74" t="e">
        <f t="shared" si="8"/>
        <v>#N/A</v>
      </c>
      <c r="O140" s="76">
        <v>2.699E-2</v>
      </c>
    </row>
    <row r="141" spans="7:15" x14ac:dyDescent="0.35">
      <c r="G141" s="2">
        <v>120</v>
      </c>
      <c r="H141" s="74" t="e">
        <v>#N/A</v>
      </c>
      <c r="I141" s="74" t="e">
        <v>#N/A</v>
      </c>
      <c r="J141" s="74" t="e" cm="1">
        <f t="array" ref="J141">_xlfn.LET(_xlpm.m, G141,
     _xlpm.rfr, I141,
     _xlpm.sm_down, INDEX(R.IRR_SM_DOWN, _xlpm.m),
     _xlpm.bm_down, INDEX(R.IRR_BM_DOWN, _xlpm.m),
     _xlpm.rfr * (1 - _xlpm.sm_down) - _xlpm.bm_down)</f>
        <v>#N/A</v>
      </c>
      <c r="K141" s="74" t="e">
        <f t="shared" si="6"/>
        <v>#N/A</v>
      </c>
      <c r="L141" s="76">
        <v>2.6360000000000001E-2</v>
      </c>
      <c r="M141" s="74" t="e">
        <f t="shared" si="9"/>
        <v>#N/A</v>
      </c>
      <c r="N141" s="74" t="e">
        <f t="shared" si="8"/>
        <v>#N/A</v>
      </c>
      <c r="O141" s="76">
        <v>2.7029999999999998E-2</v>
      </c>
    </row>
    <row r="142" spans="7:15" x14ac:dyDescent="0.35">
      <c r="G142" s="7">
        <v>121</v>
      </c>
      <c r="H142" s="74" t="e">
        <v>#N/A</v>
      </c>
      <c r="I142" s="74" t="e">
        <v>#N/A</v>
      </c>
      <c r="J142" s="74" t="e" cm="1">
        <f t="array" ref="J142">_xlfn.LET(_xlpm.m, G142,
     _xlpm.rfr, I142,
     _xlpm.sm_down, INDEX(R.IRR_SM_DOWN, _xlpm.m),
     _xlpm.bm_down, INDEX(R.IRR_BM_DOWN, _xlpm.m),
     _xlpm.rfr * (1 - _xlpm.sm_down) - _xlpm.bm_down)</f>
        <v>#N/A</v>
      </c>
      <c r="K142" s="74" t="e">
        <f t="shared" si="6"/>
        <v>#N/A</v>
      </c>
      <c r="L142" s="76">
        <v>2.64E-2</v>
      </c>
      <c r="M142" s="74" t="e">
        <f t="shared" si="9"/>
        <v>#N/A</v>
      </c>
      <c r="N142" s="74" t="e">
        <f t="shared" si="8"/>
        <v>#N/A</v>
      </c>
      <c r="O142" s="76">
        <v>2.707E-2</v>
      </c>
    </row>
    <row r="143" spans="7:15" x14ac:dyDescent="0.35">
      <c r="G143" s="7">
        <v>122</v>
      </c>
      <c r="H143" s="74" t="e">
        <v>#N/A</v>
      </c>
      <c r="I143" s="74" t="e">
        <v>#N/A</v>
      </c>
      <c r="J143" s="74" t="e" cm="1">
        <f t="array" ref="J143">_xlfn.LET(_xlpm.m, G143,
     _xlpm.rfr, I143,
     _xlpm.sm_down, INDEX(R.IRR_SM_DOWN, _xlpm.m),
     _xlpm.bm_down, INDEX(R.IRR_BM_DOWN, _xlpm.m),
     _xlpm.rfr * (1 - _xlpm.sm_down) - _xlpm.bm_down)</f>
        <v>#N/A</v>
      </c>
      <c r="K143" s="74" t="e">
        <f t="shared" si="6"/>
        <v>#N/A</v>
      </c>
      <c r="L143" s="76">
        <v>2.6450000000000001E-2</v>
      </c>
      <c r="M143" s="74" t="e">
        <f t="shared" si="9"/>
        <v>#N/A</v>
      </c>
      <c r="N143" s="74" t="e">
        <f t="shared" si="8"/>
        <v>#N/A</v>
      </c>
      <c r="O143" s="76">
        <v>2.7099999999999999E-2</v>
      </c>
    </row>
    <row r="144" spans="7:15" x14ac:dyDescent="0.35">
      <c r="G144" s="7">
        <v>123</v>
      </c>
      <c r="H144" s="74" t="e">
        <v>#N/A</v>
      </c>
      <c r="I144" s="74" t="e">
        <v>#N/A</v>
      </c>
      <c r="J144" s="74" t="e" cm="1">
        <f t="array" ref="J144">_xlfn.LET(_xlpm.m, G144,
     _xlpm.rfr, I144,
     _xlpm.sm_down, INDEX(R.IRR_SM_DOWN, _xlpm.m),
     _xlpm.bm_down, INDEX(R.IRR_BM_DOWN, _xlpm.m),
     _xlpm.rfr * (1 - _xlpm.sm_down) - _xlpm.bm_down)</f>
        <v>#N/A</v>
      </c>
      <c r="K144" s="74" t="e">
        <f t="shared" si="6"/>
        <v>#N/A</v>
      </c>
      <c r="L144" s="76">
        <v>2.649E-2</v>
      </c>
      <c r="M144" s="74" t="e">
        <f t="shared" si="9"/>
        <v>#N/A</v>
      </c>
      <c r="N144" s="74" t="e">
        <f t="shared" si="8"/>
        <v>#N/A</v>
      </c>
      <c r="O144" s="76">
        <v>2.7140000000000001E-2</v>
      </c>
    </row>
    <row r="145" spans="7:15" x14ac:dyDescent="0.35">
      <c r="G145" s="2">
        <v>124</v>
      </c>
      <c r="H145" s="74" t="e">
        <v>#N/A</v>
      </c>
      <c r="I145" s="74" t="e">
        <v>#N/A</v>
      </c>
      <c r="J145" s="74" t="e" cm="1">
        <f t="array" ref="J145">_xlfn.LET(_xlpm.m, G145,
     _xlpm.rfr, I145,
     _xlpm.sm_down, INDEX(R.IRR_SM_DOWN, _xlpm.m),
     _xlpm.bm_down, INDEX(R.IRR_BM_DOWN, _xlpm.m),
     _xlpm.rfr * (1 - _xlpm.sm_down) - _xlpm.bm_down)</f>
        <v>#N/A</v>
      </c>
      <c r="K145" s="74" t="e">
        <f t="shared" si="6"/>
        <v>#N/A</v>
      </c>
      <c r="L145" s="76">
        <v>2.6530000000000001E-2</v>
      </c>
      <c r="M145" s="74" t="e">
        <f t="shared" si="9"/>
        <v>#N/A</v>
      </c>
      <c r="N145" s="74" t="e">
        <f t="shared" si="8"/>
        <v>#N/A</v>
      </c>
      <c r="O145" s="76">
        <v>2.717E-2</v>
      </c>
    </row>
    <row r="146" spans="7:15" x14ac:dyDescent="0.35">
      <c r="G146" s="2">
        <v>125</v>
      </c>
      <c r="H146" s="74" t="e">
        <v>#N/A</v>
      </c>
      <c r="I146" s="74" t="e">
        <v>#N/A</v>
      </c>
      <c r="J146" s="74" t="e" cm="1">
        <f t="array" ref="J146">_xlfn.LET(_xlpm.m, G146,
     _xlpm.rfr, I146,
     _xlpm.sm_down, INDEX(R.IRR_SM_DOWN, _xlpm.m),
     _xlpm.bm_down, INDEX(R.IRR_BM_DOWN, _xlpm.m),
     _xlpm.rfr * (1 - _xlpm.sm_down) - _xlpm.bm_down)</f>
        <v>#N/A</v>
      </c>
      <c r="K146" s="74" t="e">
        <f t="shared" si="6"/>
        <v>#N/A</v>
      </c>
      <c r="L146" s="76">
        <v>2.657E-2</v>
      </c>
      <c r="M146" s="74" t="e">
        <f t="shared" si="9"/>
        <v>#N/A</v>
      </c>
      <c r="N146" s="74" t="e">
        <f t="shared" si="8"/>
        <v>#N/A</v>
      </c>
      <c r="O146" s="76">
        <v>2.7210000000000002E-2</v>
      </c>
    </row>
    <row r="147" spans="7:15" x14ac:dyDescent="0.35">
      <c r="G147" s="7">
        <v>126</v>
      </c>
      <c r="H147" s="74" t="e">
        <v>#N/A</v>
      </c>
      <c r="I147" s="74" t="e">
        <v>#N/A</v>
      </c>
      <c r="J147" s="74" t="e" cm="1">
        <f t="array" ref="J147">_xlfn.LET(_xlpm.m, G147,
     _xlpm.rfr, I147,
     _xlpm.sm_down, INDEX(R.IRR_SM_DOWN, _xlpm.m),
     _xlpm.bm_down, INDEX(R.IRR_BM_DOWN, _xlpm.m),
     _xlpm.rfr * (1 - _xlpm.sm_down) - _xlpm.bm_down)</f>
        <v>#N/A</v>
      </c>
      <c r="K147" s="74" t="e">
        <f t="shared" si="6"/>
        <v>#N/A</v>
      </c>
      <c r="L147" s="76">
        <v>2.6610000000000002E-2</v>
      </c>
      <c r="M147" s="74" t="e">
        <f t="shared" si="9"/>
        <v>#N/A</v>
      </c>
      <c r="N147" s="74" t="e">
        <f t="shared" si="8"/>
        <v>#N/A</v>
      </c>
      <c r="O147" s="76">
        <v>2.724E-2</v>
      </c>
    </row>
    <row r="148" spans="7:15" x14ac:dyDescent="0.35">
      <c r="G148" s="7">
        <v>127</v>
      </c>
      <c r="H148" s="74" t="e">
        <v>#N/A</v>
      </c>
      <c r="I148" s="74" t="e">
        <v>#N/A</v>
      </c>
      <c r="J148" s="74" t="e" cm="1">
        <f t="array" ref="J148">_xlfn.LET(_xlpm.m, G148,
     _xlpm.rfr, I148,
     _xlpm.sm_down, INDEX(R.IRR_SM_DOWN, _xlpm.m),
     _xlpm.bm_down, INDEX(R.IRR_BM_DOWN, _xlpm.m),
     _xlpm.rfr * (1 - _xlpm.sm_down) - _xlpm.bm_down)</f>
        <v>#N/A</v>
      </c>
      <c r="K148" s="74" t="e">
        <f t="shared" si="6"/>
        <v>#N/A</v>
      </c>
      <c r="L148" s="76">
        <v>2.664E-2</v>
      </c>
      <c r="M148" s="74" t="e">
        <f t="shared" si="9"/>
        <v>#N/A</v>
      </c>
      <c r="N148" s="74" t="e">
        <f t="shared" si="8"/>
        <v>#N/A</v>
      </c>
      <c r="O148" s="76">
        <v>2.7279999999999999E-2</v>
      </c>
    </row>
    <row r="149" spans="7:15" x14ac:dyDescent="0.35">
      <c r="G149" s="7">
        <v>128</v>
      </c>
      <c r="H149" s="74" t="e">
        <v>#N/A</v>
      </c>
      <c r="I149" s="74" t="e">
        <v>#N/A</v>
      </c>
      <c r="J149" s="74" t="e" cm="1">
        <f t="array" ref="J149">_xlfn.LET(_xlpm.m, G149,
     _xlpm.rfr, I149,
     _xlpm.sm_down, INDEX(R.IRR_SM_DOWN, _xlpm.m),
     _xlpm.bm_down, INDEX(R.IRR_BM_DOWN, _xlpm.m),
     _xlpm.rfr * (1 - _xlpm.sm_down) - _xlpm.bm_down)</f>
        <v>#N/A</v>
      </c>
      <c r="K149" s="74" t="e">
        <f t="shared" si="6"/>
        <v>#N/A</v>
      </c>
      <c r="L149" s="76">
        <v>2.6679999999999999E-2</v>
      </c>
      <c r="M149" s="74" t="e">
        <f t="shared" si="9"/>
        <v>#N/A</v>
      </c>
      <c r="N149" s="74" t="e">
        <f t="shared" si="8"/>
        <v>#N/A</v>
      </c>
      <c r="O149" s="76">
        <v>2.7310000000000001E-2</v>
      </c>
    </row>
    <row r="150" spans="7:15" x14ac:dyDescent="0.35">
      <c r="G150" s="2">
        <v>129</v>
      </c>
      <c r="H150" s="74" t="e">
        <v>#N/A</v>
      </c>
      <c r="I150" s="74" t="e">
        <v>#N/A</v>
      </c>
      <c r="J150" s="74" t="e" cm="1">
        <f t="array" ref="J150">_xlfn.LET(_xlpm.m, G150,
     _xlpm.rfr, I150,
     _xlpm.sm_down, INDEX(R.IRR_SM_DOWN, _xlpm.m),
     _xlpm.bm_down, INDEX(R.IRR_BM_DOWN, _xlpm.m),
     _xlpm.rfr * (1 - _xlpm.sm_down) - _xlpm.bm_down)</f>
        <v>#N/A</v>
      </c>
      <c r="K150" s="74" t="e">
        <f t="shared" si="6"/>
        <v>#N/A</v>
      </c>
      <c r="L150" s="76">
        <v>2.6720000000000001E-2</v>
      </c>
      <c r="M150" s="74" t="e">
        <f t="shared" si="9"/>
        <v>#N/A</v>
      </c>
      <c r="N150" s="74" t="e">
        <f t="shared" ref="N150:N171" si="10">M150+LN(1+V.TOTAL_VA)</f>
        <v>#N/A</v>
      </c>
      <c r="O150" s="76">
        <v>2.734E-2</v>
      </c>
    </row>
    <row r="151" spans="7:15" x14ac:dyDescent="0.35">
      <c r="G151" s="2">
        <v>130</v>
      </c>
      <c r="H151" s="74" t="e">
        <v>#N/A</v>
      </c>
      <c r="I151" s="74" t="e">
        <v>#N/A</v>
      </c>
      <c r="J151" s="74" t="e" cm="1">
        <f t="array" ref="J151">_xlfn.LET(_xlpm.m, G151,
     _xlpm.rfr, I151,
     _xlpm.sm_down, INDEX(R.IRR_SM_DOWN, _xlpm.m),
     _xlpm.bm_down, INDEX(R.IRR_BM_DOWN, _xlpm.m),
     _xlpm.rfr * (1 - _xlpm.sm_down) - _xlpm.bm_down)</f>
        <v>#N/A</v>
      </c>
      <c r="K151" s="74" t="e">
        <f t="shared" ref="K151:K171" si="11">LN(1+J151)</f>
        <v>#N/A</v>
      </c>
      <c r="L151" s="76">
        <v>2.6759999999999999E-2</v>
      </c>
      <c r="M151" s="74" t="e">
        <f t="shared" ref="M151:M171" si="12">G151*K151-G150*K150</f>
        <v>#N/A</v>
      </c>
      <c r="N151" s="74" t="e">
        <f t="shared" si="10"/>
        <v>#N/A</v>
      </c>
      <c r="O151" s="76">
        <v>2.7369999999999998E-2</v>
      </c>
    </row>
    <row r="152" spans="7:15" x14ac:dyDescent="0.35">
      <c r="G152" s="7">
        <v>131</v>
      </c>
      <c r="H152" s="74" t="e">
        <v>#N/A</v>
      </c>
      <c r="I152" s="74" t="e">
        <v>#N/A</v>
      </c>
      <c r="J152" s="74" t="e" cm="1">
        <f t="array" ref="J152">_xlfn.LET(_xlpm.m, G152,
     _xlpm.rfr, I152,
     _xlpm.sm_down, INDEX(R.IRR_SM_DOWN, _xlpm.m),
     _xlpm.bm_down, INDEX(R.IRR_BM_DOWN, _xlpm.m),
     _xlpm.rfr * (1 - _xlpm.sm_down) - _xlpm.bm_down)</f>
        <v>#N/A</v>
      </c>
      <c r="K152" s="74" t="e">
        <f t="shared" si="11"/>
        <v>#N/A</v>
      </c>
      <c r="L152" s="76">
        <v>2.6790000000000001E-2</v>
      </c>
      <c r="M152" s="74" t="e">
        <f t="shared" si="12"/>
        <v>#N/A</v>
      </c>
      <c r="N152" s="74" t="e">
        <f t="shared" si="10"/>
        <v>#N/A</v>
      </c>
      <c r="O152" s="76">
        <v>2.7400000000000001E-2</v>
      </c>
    </row>
    <row r="153" spans="7:15" x14ac:dyDescent="0.35">
      <c r="G153" s="7">
        <v>132</v>
      </c>
      <c r="H153" s="74" t="e">
        <v>#N/A</v>
      </c>
      <c r="I153" s="74" t="e">
        <v>#N/A</v>
      </c>
      <c r="J153" s="74" t="e" cm="1">
        <f t="array" ref="J153">_xlfn.LET(_xlpm.m, G153,
     _xlpm.rfr, I153,
     _xlpm.sm_down, INDEX(R.IRR_SM_DOWN, _xlpm.m),
     _xlpm.bm_down, INDEX(R.IRR_BM_DOWN, _xlpm.m),
     _xlpm.rfr * (1 - _xlpm.sm_down) - _xlpm.bm_down)</f>
        <v>#N/A</v>
      </c>
      <c r="K153" s="74" t="e">
        <f t="shared" si="11"/>
        <v>#N/A</v>
      </c>
      <c r="L153" s="76">
        <v>2.683E-2</v>
      </c>
      <c r="M153" s="74" t="e">
        <f t="shared" si="12"/>
        <v>#N/A</v>
      </c>
      <c r="N153" s="74" t="e">
        <f t="shared" si="10"/>
        <v>#N/A</v>
      </c>
      <c r="O153" s="76">
        <v>2.7439999999999999E-2</v>
      </c>
    </row>
    <row r="154" spans="7:15" x14ac:dyDescent="0.35">
      <c r="G154" s="7">
        <v>133</v>
      </c>
      <c r="H154" s="74" t="e">
        <v>#N/A</v>
      </c>
      <c r="I154" s="74" t="e">
        <v>#N/A</v>
      </c>
      <c r="J154" s="74" t="e" cm="1">
        <f t="array" ref="J154">_xlfn.LET(_xlpm.m, G154,
     _xlpm.rfr, I154,
     _xlpm.sm_down, INDEX(R.IRR_SM_DOWN, _xlpm.m),
     _xlpm.bm_down, INDEX(R.IRR_BM_DOWN, _xlpm.m),
     _xlpm.rfr * (1 - _xlpm.sm_down) - _xlpm.bm_down)</f>
        <v>#N/A</v>
      </c>
      <c r="K154" s="74" t="e">
        <f t="shared" si="11"/>
        <v>#N/A</v>
      </c>
      <c r="L154" s="76">
        <v>2.6859999999999998E-2</v>
      </c>
      <c r="M154" s="74" t="e">
        <f t="shared" si="12"/>
        <v>#N/A</v>
      </c>
      <c r="N154" s="74" t="e">
        <f t="shared" si="10"/>
        <v>#N/A</v>
      </c>
      <c r="O154" s="76">
        <v>2.7470000000000001E-2</v>
      </c>
    </row>
    <row r="155" spans="7:15" x14ac:dyDescent="0.35">
      <c r="G155" s="2">
        <v>134</v>
      </c>
      <c r="H155" s="74" t="e">
        <v>#N/A</v>
      </c>
      <c r="I155" s="74" t="e">
        <v>#N/A</v>
      </c>
      <c r="J155" s="74" t="e" cm="1">
        <f t="array" ref="J155">_xlfn.LET(_xlpm.m, G155,
     _xlpm.rfr, I155,
     _xlpm.sm_down, INDEX(R.IRR_SM_DOWN, _xlpm.m),
     _xlpm.bm_down, INDEX(R.IRR_BM_DOWN, _xlpm.m),
     _xlpm.rfr * (1 - _xlpm.sm_down) - _xlpm.bm_down)</f>
        <v>#N/A</v>
      </c>
      <c r="K155" s="74" t="e">
        <f t="shared" si="11"/>
        <v>#N/A</v>
      </c>
      <c r="L155" s="76">
        <v>2.69E-2</v>
      </c>
      <c r="M155" s="74" t="e">
        <f t="shared" si="12"/>
        <v>#N/A</v>
      </c>
      <c r="N155" s="74" t="e">
        <f t="shared" si="10"/>
        <v>#N/A</v>
      </c>
      <c r="O155" s="76">
        <v>2.75E-2</v>
      </c>
    </row>
    <row r="156" spans="7:15" x14ac:dyDescent="0.35">
      <c r="G156" s="2">
        <v>135</v>
      </c>
      <c r="H156" s="74" t="e">
        <v>#N/A</v>
      </c>
      <c r="I156" s="74" t="e">
        <v>#N/A</v>
      </c>
      <c r="J156" s="74" t="e" cm="1">
        <f t="array" ref="J156">_xlfn.LET(_xlpm.m, G156,
     _xlpm.rfr, I156,
     _xlpm.sm_down, INDEX(R.IRR_SM_DOWN, _xlpm.m),
     _xlpm.bm_down, INDEX(R.IRR_BM_DOWN, _xlpm.m),
     _xlpm.rfr * (1 - _xlpm.sm_down) - _xlpm.bm_down)</f>
        <v>#N/A</v>
      </c>
      <c r="K156" s="74" t="e">
        <f t="shared" si="11"/>
        <v>#N/A</v>
      </c>
      <c r="L156" s="76">
        <v>2.6929999999999999E-2</v>
      </c>
      <c r="M156" s="74" t="e">
        <f t="shared" si="12"/>
        <v>#N/A</v>
      </c>
      <c r="N156" s="74" t="e">
        <f t="shared" si="10"/>
        <v>#N/A</v>
      </c>
      <c r="O156" s="76">
        <v>2.7529999999999999E-2</v>
      </c>
    </row>
    <row r="157" spans="7:15" x14ac:dyDescent="0.35">
      <c r="G157" s="7">
        <v>136</v>
      </c>
      <c r="H157" s="74" t="e">
        <v>#N/A</v>
      </c>
      <c r="I157" s="74" t="e">
        <v>#N/A</v>
      </c>
      <c r="J157" s="74" t="e" cm="1">
        <f t="array" ref="J157">_xlfn.LET(_xlpm.m, G157,
     _xlpm.rfr, I157,
     _xlpm.sm_down, INDEX(R.IRR_SM_DOWN, _xlpm.m),
     _xlpm.bm_down, INDEX(R.IRR_BM_DOWN, _xlpm.m),
     _xlpm.rfr * (1 - _xlpm.sm_down) - _xlpm.bm_down)</f>
        <v>#N/A</v>
      </c>
      <c r="K157" s="74" t="e">
        <f t="shared" si="11"/>
        <v>#N/A</v>
      </c>
      <c r="L157" s="76">
        <v>2.6970000000000001E-2</v>
      </c>
      <c r="M157" s="74" t="e">
        <f t="shared" si="12"/>
        <v>#N/A</v>
      </c>
      <c r="N157" s="74" t="e">
        <f t="shared" si="10"/>
        <v>#N/A</v>
      </c>
      <c r="O157" s="76">
        <v>2.7550000000000002E-2</v>
      </c>
    </row>
    <row r="158" spans="7:15" x14ac:dyDescent="0.35">
      <c r="G158" s="7">
        <v>137</v>
      </c>
      <c r="H158" s="74" t="e">
        <v>#N/A</v>
      </c>
      <c r="I158" s="74" t="e">
        <v>#N/A</v>
      </c>
      <c r="J158" s="74" t="e" cm="1">
        <f t="array" ref="J158">_xlfn.LET(_xlpm.m, G158,
     _xlpm.rfr, I158,
     _xlpm.sm_down, INDEX(R.IRR_SM_DOWN, _xlpm.m),
     _xlpm.bm_down, INDEX(R.IRR_BM_DOWN, _xlpm.m),
     _xlpm.rfr * (1 - _xlpm.sm_down) - _xlpm.bm_down)</f>
        <v>#N/A</v>
      </c>
      <c r="K158" s="74" t="e">
        <f t="shared" si="11"/>
        <v>#N/A</v>
      </c>
      <c r="L158" s="76">
        <v>2.7E-2</v>
      </c>
      <c r="M158" s="74" t="e">
        <f t="shared" si="12"/>
        <v>#N/A</v>
      </c>
      <c r="N158" s="74" t="e">
        <f t="shared" si="10"/>
        <v>#N/A</v>
      </c>
      <c r="O158" s="76">
        <v>2.758E-2</v>
      </c>
    </row>
    <row r="159" spans="7:15" x14ac:dyDescent="0.35">
      <c r="G159" s="7">
        <v>138</v>
      </c>
      <c r="H159" s="74" t="e">
        <v>#N/A</v>
      </c>
      <c r="I159" s="74" t="e">
        <v>#N/A</v>
      </c>
      <c r="J159" s="74" t="e" cm="1">
        <f t="array" ref="J159">_xlfn.LET(_xlpm.m, G159,
     _xlpm.rfr, I159,
     _xlpm.sm_down, INDEX(R.IRR_SM_DOWN, _xlpm.m),
     _xlpm.bm_down, INDEX(R.IRR_BM_DOWN, _xlpm.m),
     _xlpm.rfr * (1 - _xlpm.sm_down) - _xlpm.bm_down)</f>
        <v>#N/A</v>
      </c>
      <c r="K159" s="74" t="e">
        <f t="shared" si="11"/>
        <v>#N/A</v>
      </c>
      <c r="L159" s="76">
        <v>2.7029999999999998E-2</v>
      </c>
      <c r="M159" s="74" t="e">
        <f t="shared" si="12"/>
        <v>#N/A</v>
      </c>
      <c r="N159" s="74" t="e">
        <f t="shared" si="10"/>
        <v>#N/A</v>
      </c>
      <c r="O159" s="76">
        <v>2.7609999999999999E-2</v>
      </c>
    </row>
    <row r="160" spans="7:15" x14ac:dyDescent="0.35">
      <c r="G160" s="2">
        <v>139</v>
      </c>
      <c r="H160" s="74" t="e">
        <v>#N/A</v>
      </c>
      <c r="I160" s="74" t="e">
        <v>#N/A</v>
      </c>
      <c r="J160" s="74" t="e" cm="1">
        <f t="array" ref="J160">_xlfn.LET(_xlpm.m, G160,
     _xlpm.rfr, I160,
     _xlpm.sm_down, INDEX(R.IRR_SM_DOWN, _xlpm.m),
     _xlpm.bm_down, INDEX(R.IRR_BM_DOWN, _xlpm.m),
     _xlpm.rfr * (1 - _xlpm.sm_down) - _xlpm.bm_down)</f>
        <v>#N/A</v>
      </c>
      <c r="K160" s="74" t="e">
        <f t="shared" si="11"/>
        <v>#N/A</v>
      </c>
      <c r="L160" s="76">
        <v>2.7060000000000001E-2</v>
      </c>
      <c r="M160" s="74" t="e">
        <f t="shared" si="12"/>
        <v>#N/A</v>
      </c>
      <c r="N160" s="74" t="e">
        <f t="shared" si="10"/>
        <v>#N/A</v>
      </c>
      <c r="O160" s="76">
        <v>2.7640000000000001E-2</v>
      </c>
    </row>
    <row r="161" spans="7:15" x14ac:dyDescent="0.35">
      <c r="G161" s="2">
        <v>140</v>
      </c>
      <c r="H161" s="74" t="e">
        <v>#N/A</v>
      </c>
      <c r="I161" s="74" t="e">
        <v>#N/A</v>
      </c>
      <c r="J161" s="74" t="e" cm="1">
        <f t="array" ref="J161">_xlfn.LET(_xlpm.m, G161,
     _xlpm.rfr, I161,
     _xlpm.sm_down, INDEX(R.IRR_SM_DOWN, _xlpm.m),
     _xlpm.bm_down, INDEX(R.IRR_BM_DOWN, _xlpm.m),
     _xlpm.rfr * (1 - _xlpm.sm_down) - _xlpm.bm_down)</f>
        <v>#N/A</v>
      </c>
      <c r="K161" s="74" t="e">
        <f t="shared" si="11"/>
        <v>#N/A</v>
      </c>
      <c r="L161" s="76">
        <v>2.7089999999999999E-2</v>
      </c>
      <c r="M161" s="74" t="e">
        <f t="shared" si="12"/>
        <v>#N/A</v>
      </c>
      <c r="N161" s="74" t="e">
        <f t="shared" si="10"/>
        <v>#N/A</v>
      </c>
      <c r="O161" s="76">
        <v>2.767E-2</v>
      </c>
    </row>
    <row r="162" spans="7:15" x14ac:dyDescent="0.35">
      <c r="G162" s="7">
        <v>141</v>
      </c>
      <c r="H162" s="74" t="e">
        <v>#N/A</v>
      </c>
      <c r="I162" s="74" t="e">
        <v>#N/A</v>
      </c>
      <c r="J162" s="74" t="e" cm="1">
        <f t="array" ref="J162">_xlfn.LET(_xlpm.m, G162,
     _xlpm.rfr, I162,
     _xlpm.sm_down, INDEX(R.IRR_SM_DOWN, _xlpm.m),
     _xlpm.bm_down, INDEX(R.IRR_BM_DOWN, _xlpm.m),
     _xlpm.rfr * (1 - _xlpm.sm_down) - _xlpm.bm_down)</f>
        <v>#N/A</v>
      </c>
      <c r="K162" s="74" t="e">
        <f t="shared" si="11"/>
        <v>#N/A</v>
      </c>
      <c r="L162" s="76">
        <v>2.7130000000000001E-2</v>
      </c>
      <c r="M162" s="74" t="e">
        <f t="shared" si="12"/>
        <v>#N/A</v>
      </c>
      <c r="N162" s="74" t="e">
        <f t="shared" si="10"/>
        <v>#N/A</v>
      </c>
      <c r="O162" s="76">
        <v>2.7689999999999999E-2</v>
      </c>
    </row>
    <row r="163" spans="7:15" x14ac:dyDescent="0.35">
      <c r="G163" s="7">
        <v>142</v>
      </c>
      <c r="H163" s="74" t="e">
        <v>#N/A</v>
      </c>
      <c r="I163" s="74" t="e">
        <v>#N/A</v>
      </c>
      <c r="J163" s="74" t="e" cm="1">
        <f t="array" ref="J163">_xlfn.LET(_xlpm.m, G163,
     _xlpm.rfr, I163,
     _xlpm.sm_down, INDEX(R.IRR_SM_DOWN, _xlpm.m),
     _xlpm.bm_down, INDEX(R.IRR_BM_DOWN, _xlpm.m),
     _xlpm.rfr * (1 - _xlpm.sm_down) - _xlpm.bm_down)</f>
        <v>#N/A</v>
      </c>
      <c r="K163" s="74" t="e">
        <f t="shared" si="11"/>
        <v>#N/A</v>
      </c>
      <c r="L163" s="76">
        <v>2.716E-2</v>
      </c>
      <c r="M163" s="74" t="e">
        <f t="shared" si="12"/>
        <v>#N/A</v>
      </c>
      <c r="N163" s="74" t="e">
        <f t="shared" si="10"/>
        <v>#N/A</v>
      </c>
      <c r="O163" s="76">
        <v>2.7720000000000002E-2</v>
      </c>
    </row>
    <row r="164" spans="7:15" x14ac:dyDescent="0.35">
      <c r="G164" s="7">
        <v>143</v>
      </c>
      <c r="H164" s="74" t="e">
        <v>#N/A</v>
      </c>
      <c r="I164" s="74" t="e">
        <v>#N/A</v>
      </c>
      <c r="J164" s="74" t="e" cm="1">
        <f t="array" ref="J164">_xlfn.LET(_xlpm.m, G164,
     _xlpm.rfr, I164,
     _xlpm.sm_down, INDEX(R.IRR_SM_DOWN, _xlpm.m),
     _xlpm.bm_down, INDEX(R.IRR_BM_DOWN, _xlpm.m),
     _xlpm.rfr * (1 - _xlpm.sm_down) - _xlpm.bm_down)</f>
        <v>#N/A</v>
      </c>
      <c r="K164" s="74" t="e">
        <f t="shared" si="11"/>
        <v>#N/A</v>
      </c>
      <c r="L164" s="76">
        <v>2.7189999999999999E-2</v>
      </c>
      <c r="M164" s="74" t="e">
        <f t="shared" si="12"/>
        <v>#N/A</v>
      </c>
      <c r="N164" s="74" t="e">
        <f t="shared" si="10"/>
        <v>#N/A</v>
      </c>
      <c r="O164" s="76">
        <v>2.775E-2</v>
      </c>
    </row>
    <row r="165" spans="7:15" x14ac:dyDescent="0.35">
      <c r="G165" s="2">
        <v>144</v>
      </c>
      <c r="H165" s="74" t="e">
        <v>#N/A</v>
      </c>
      <c r="I165" s="74" t="e">
        <v>#N/A</v>
      </c>
      <c r="J165" s="74" t="e" cm="1">
        <f t="array" ref="J165">_xlfn.LET(_xlpm.m, G165,
     _xlpm.rfr, I165,
     _xlpm.sm_down, INDEX(R.IRR_SM_DOWN, _xlpm.m),
     _xlpm.bm_down, INDEX(R.IRR_BM_DOWN, _xlpm.m),
     _xlpm.rfr * (1 - _xlpm.sm_down) - _xlpm.bm_down)</f>
        <v>#N/A</v>
      </c>
      <c r="K165" s="74" t="e">
        <f t="shared" si="11"/>
        <v>#N/A</v>
      </c>
      <c r="L165" s="76">
        <v>2.7220000000000001E-2</v>
      </c>
      <c r="M165" s="74" t="e">
        <f t="shared" si="12"/>
        <v>#N/A</v>
      </c>
      <c r="N165" s="74" t="e">
        <f t="shared" si="10"/>
        <v>#N/A</v>
      </c>
      <c r="O165" s="76">
        <v>2.777E-2</v>
      </c>
    </row>
    <row r="166" spans="7:15" x14ac:dyDescent="0.35">
      <c r="G166" s="2">
        <v>145</v>
      </c>
      <c r="H166" s="74" t="e">
        <v>#N/A</v>
      </c>
      <c r="I166" s="74" t="e">
        <v>#N/A</v>
      </c>
      <c r="J166" s="74" t="e" cm="1">
        <f t="array" ref="J166">_xlfn.LET(_xlpm.m, G166,
     _xlpm.rfr, I166,
     _xlpm.sm_down, INDEX(R.IRR_SM_DOWN, _xlpm.m),
     _xlpm.bm_down, INDEX(R.IRR_BM_DOWN, _xlpm.m),
     _xlpm.rfr * (1 - _xlpm.sm_down) - _xlpm.bm_down)</f>
        <v>#N/A</v>
      </c>
      <c r="K166" s="74" t="e">
        <f t="shared" si="11"/>
        <v>#N/A</v>
      </c>
      <c r="L166" s="76">
        <v>2.725E-2</v>
      </c>
      <c r="M166" s="74" t="e">
        <f t="shared" si="12"/>
        <v>#N/A</v>
      </c>
      <c r="N166" s="74" t="e">
        <f t="shared" si="10"/>
        <v>#N/A</v>
      </c>
      <c r="O166" s="76">
        <v>2.7799999999999998E-2</v>
      </c>
    </row>
    <row r="167" spans="7:15" x14ac:dyDescent="0.35">
      <c r="G167" s="7">
        <v>146</v>
      </c>
      <c r="H167" s="74" t="e">
        <v>#N/A</v>
      </c>
      <c r="I167" s="74" t="e">
        <v>#N/A</v>
      </c>
      <c r="J167" s="74" t="e" cm="1">
        <f t="array" ref="J167">_xlfn.LET(_xlpm.m, G167,
     _xlpm.rfr, I167,
     _xlpm.sm_down, INDEX(R.IRR_SM_DOWN, _xlpm.m),
     _xlpm.bm_down, INDEX(R.IRR_BM_DOWN, _xlpm.m),
     _xlpm.rfr * (1 - _xlpm.sm_down) - _xlpm.bm_down)</f>
        <v>#N/A</v>
      </c>
      <c r="K167" s="74" t="e">
        <f t="shared" si="11"/>
        <v>#N/A</v>
      </c>
      <c r="L167" s="76">
        <v>2.7279999999999999E-2</v>
      </c>
      <c r="M167" s="74" t="e">
        <f t="shared" si="12"/>
        <v>#N/A</v>
      </c>
      <c r="N167" s="74" t="e">
        <f t="shared" si="10"/>
        <v>#N/A</v>
      </c>
      <c r="O167" s="76">
        <v>2.7820000000000001E-2</v>
      </c>
    </row>
    <row r="168" spans="7:15" x14ac:dyDescent="0.35">
      <c r="G168" s="7">
        <v>147</v>
      </c>
      <c r="H168" s="74" t="e">
        <v>#N/A</v>
      </c>
      <c r="I168" s="74" t="e">
        <v>#N/A</v>
      </c>
      <c r="J168" s="74" t="e" cm="1">
        <f t="array" ref="J168">_xlfn.LET(_xlpm.m, G168,
     _xlpm.rfr, I168,
     _xlpm.sm_down, INDEX(R.IRR_SM_DOWN, _xlpm.m),
     _xlpm.bm_down, INDEX(R.IRR_BM_DOWN, _xlpm.m),
     _xlpm.rfr * (1 - _xlpm.sm_down) - _xlpm.bm_down)</f>
        <v>#N/A</v>
      </c>
      <c r="K168" s="74" t="e">
        <f t="shared" si="11"/>
        <v>#N/A</v>
      </c>
      <c r="L168" s="76">
        <v>2.7300000000000001E-2</v>
      </c>
      <c r="M168" s="74" t="e">
        <f t="shared" si="12"/>
        <v>#N/A</v>
      </c>
      <c r="N168" s="74" t="e">
        <f t="shared" si="10"/>
        <v>#N/A</v>
      </c>
      <c r="O168" s="76">
        <v>2.785E-2</v>
      </c>
    </row>
    <row r="169" spans="7:15" x14ac:dyDescent="0.35">
      <c r="G169" s="7">
        <v>148</v>
      </c>
      <c r="H169" s="74" t="e">
        <v>#N/A</v>
      </c>
      <c r="I169" s="74" t="e">
        <v>#N/A</v>
      </c>
      <c r="J169" s="74" t="e" cm="1">
        <f t="array" ref="J169">_xlfn.LET(_xlpm.m, G169,
     _xlpm.rfr, I169,
     _xlpm.sm_down, INDEX(R.IRR_SM_DOWN, _xlpm.m),
     _xlpm.bm_down, INDEX(R.IRR_BM_DOWN, _xlpm.m),
     _xlpm.rfr * (1 - _xlpm.sm_down) - _xlpm.bm_down)</f>
        <v>#N/A</v>
      </c>
      <c r="K169" s="74" t="e">
        <f t="shared" si="11"/>
        <v>#N/A</v>
      </c>
      <c r="L169" s="76">
        <v>2.733E-2</v>
      </c>
      <c r="M169" s="74" t="e">
        <f t="shared" si="12"/>
        <v>#N/A</v>
      </c>
      <c r="N169" s="74" t="e">
        <f t="shared" si="10"/>
        <v>#N/A</v>
      </c>
      <c r="O169" s="76">
        <v>2.7869999999999999E-2</v>
      </c>
    </row>
    <row r="170" spans="7:15" x14ac:dyDescent="0.35">
      <c r="G170" s="2">
        <v>149</v>
      </c>
      <c r="H170" s="74" t="e">
        <v>#N/A</v>
      </c>
      <c r="I170" s="74" t="e">
        <v>#N/A</v>
      </c>
      <c r="J170" s="74" t="e" cm="1">
        <f t="array" ref="J170">_xlfn.LET(_xlpm.m, G170,
     _xlpm.rfr, I170,
     _xlpm.sm_down, INDEX(R.IRR_SM_DOWN, _xlpm.m),
     _xlpm.bm_down, INDEX(R.IRR_BM_DOWN, _xlpm.m),
     _xlpm.rfr * (1 - _xlpm.sm_down) - _xlpm.bm_down)</f>
        <v>#N/A</v>
      </c>
      <c r="K170" s="74" t="e">
        <f t="shared" si="11"/>
        <v>#N/A</v>
      </c>
      <c r="L170" s="76">
        <v>2.7359999999999999E-2</v>
      </c>
      <c r="M170" s="74" t="e">
        <f t="shared" si="12"/>
        <v>#N/A</v>
      </c>
      <c r="N170" s="74" t="e">
        <f t="shared" si="10"/>
        <v>#N/A</v>
      </c>
      <c r="O170" s="76">
        <v>2.7900000000000001E-2</v>
      </c>
    </row>
    <row r="171" spans="7:15" x14ac:dyDescent="0.35">
      <c r="G171" s="2">
        <v>150</v>
      </c>
      <c r="H171" s="74" t="e">
        <v>#N/A</v>
      </c>
      <c r="I171" s="74" t="e">
        <v>#N/A</v>
      </c>
      <c r="J171" s="74" t="e" cm="1">
        <f t="array" ref="J171">_xlfn.LET(_xlpm.m, G171,
     _xlpm.rfr, I171,
     _xlpm.sm_down, INDEX(R.IRR_SM_DOWN, _xlpm.m),
     _xlpm.bm_down, INDEX(R.IRR_BM_DOWN, _xlpm.m),
     _xlpm.rfr * (1 - _xlpm.sm_down) - _xlpm.bm_down)</f>
        <v>#N/A</v>
      </c>
      <c r="K171" s="74" t="e">
        <f t="shared" si="11"/>
        <v>#N/A</v>
      </c>
      <c r="L171" s="77">
        <v>2.7390000000000001E-2</v>
      </c>
      <c r="M171" s="74" t="e">
        <f t="shared" si="12"/>
        <v>#N/A</v>
      </c>
      <c r="N171" s="74" t="e">
        <f t="shared" si="10"/>
        <v>#N/A</v>
      </c>
      <c r="O171" s="76">
        <v>2.792E-2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topLeftCell="A13" workbookViewId="0">
      <selection activeCell="K13" sqref="K13"/>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69" t="s">
        <v>123</v>
      </c>
      <c r="H16" s="69" t="s">
        <v>101</v>
      </c>
      <c r="I16" s="69" t="s">
        <v>102</v>
      </c>
      <c r="J16" s="69" t="s">
        <v>103</v>
      </c>
      <c r="K16" s="69" t="s">
        <v>104</v>
      </c>
      <c r="L16" s="11" t="s">
        <v>122</v>
      </c>
      <c r="M16" s="7"/>
    </row>
    <row r="17" spans="7:12" x14ac:dyDescent="0.35">
      <c r="G17" s="7">
        <v>1</v>
      </c>
      <c r="H17" s="66">
        <v>0.61</v>
      </c>
      <c r="I17" s="70">
        <v>2.1399999999999999E-2</v>
      </c>
      <c r="J17" s="66">
        <v>0.57999999999999996</v>
      </c>
      <c r="K17" s="70">
        <v>1.1599999999999999E-2</v>
      </c>
      <c r="L17" s="78">
        <v>-1.2500000000000001E-2</v>
      </c>
    </row>
    <row r="18" spans="7:12" x14ac:dyDescent="0.35">
      <c r="G18" s="7">
        <v>2</v>
      </c>
      <c r="H18" s="71">
        <v>0.53</v>
      </c>
      <c r="I18" s="70">
        <v>1.8599999999999998E-2</v>
      </c>
      <c r="J18" s="71">
        <v>0.51</v>
      </c>
      <c r="K18" s="70">
        <v>9.9000000000000008E-3</v>
      </c>
      <c r="L18" s="78">
        <v>-1.2500000000000001E-2</v>
      </c>
    </row>
    <row r="19" spans="7:12" x14ac:dyDescent="0.35">
      <c r="G19" s="2">
        <v>3</v>
      </c>
      <c r="H19" s="71">
        <v>0.49</v>
      </c>
      <c r="I19" s="70">
        <v>1.72E-2</v>
      </c>
      <c r="J19" s="71">
        <v>0.44</v>
      </c>
      <c r="K19" s="70">
        <v>8.3000000000000001E-3</v>
      </c>
      <c r="L19" s="78">
        <v>-1.2500000000000001E-2</v>
      </c>
    </row>
    <row r="20" spans="7:12" x14ac:dyDescent="0.35">
      <c r="G20" s="7">
        <v>4</v>
      </c>
      <c r="H20" s="71">
        <v>0.46</v>
      </c>
      <c r="I20" s="70">
        <v>1.61E-2</v>
      </c>
      <c r="J20" s="71">
        <v>0.4</v>
      </c>
      <c r="K20" s="70">
        <v>7.4000000000000003E-3</v>
      </c>
      <c r="L20" s="78">
        <v>-1.2500000000000001E-2</v>
      </c>
    </row>
    <row r="21" spans="7:12" x14ac:dyDescent="0.35">
      <c r="G21" s="7">
        <v>5</v>
      </c>
      <c r="H21" s="71">
        <v>0.45</v>
      </c>
      <c r="I21" s="70">
        <v>1.5800000000000002E-2</v>
      </c>
      <c r="J21" s="71">
        <v>0.4</v>
      </c>
      <c r="K21" s="70">
        <v>7.1000000000000004E-3</v>
      </c>
      <c r="L21" s="78">
        <v>-1.2500000000000001E-2</v>
      </c>
    </row>
    <row r="22" spans="7:12" x14ac:dyDescent="0.35">
      <c r="G22" s="2">
        <v>6</v>
      </c>
      <c r="H22" s="71">
        <v>0.41</v>
      </c>
      <c r="I22" s="70">
        <v>1.44E-2</v>
      </c>
      <c r="J22" s="71">
        <v>0.38</v>
      </c>
      <c r="K22" s="70">
        <v>6.7000000000000002E-3</v>
      </c>
      <c r="L22" s="78">
        <v>-1.2500000000000001E-2</v>
      </c>
    </row>
    <row r="23" spans="7:12" x14ac:dyDescent="0.35">
      <c r="G23" s="7">
        <v>7</v>
      </c>
      <c r="H23" s="71">
        <v>0.37</v>
      </c>
      <c r="I23" s="70">
        <v>1.2999999999999999E-2</v>
      </c>
      <c r="J23" s="71">
        <v>0.37</v>
      </c>
      <c r="K23" s="70">
        <v>6.3E-3</v>
      </c>
      <c r="L23" s="78">
        <v>-1.2500000000000001E-2</v>
      </c>
    </row>
    <row r="24" spans="7:12" x14ac:dyDescent="0.35">
      <c r="G24" s="7">
        <v>8</v>
      </c>
      <c r="H24" s="71">
        <v>0.34</v>
      </c>
      <c r="I24" s="70">
        <v>1.1900000000000001E-2</v>
      </c>
      <c r="J24" s="71">
        <v>0.38</v>
      </c>
      <c r="K24" s="70">
        <v>6.1999999999999998E-3</v>
      </c>
      <c r="L24" s="78">
        <f>$L$23+($L$36-$L$23)/($G$36-$G$23)*($G24-$G$23)</f>
        <v>-1.2225384615384615E-2</v>
      </c>
    </row>
    <row r="25" spans="7:12" x14ac:dyDescent="0.35">
      <c r="G25" s="2">
        <v>9</v>
      </c>
      <c r="H25" s="71">
        <v>0.32</v>
      </c>
      <c r="I25" s="70">
        <v>1.12E-2</v>
      </c>
      <c r="J25" s="71">
        <v>0.39</v>
      </c>
      <c r="K25" s="70">
        <v>6.1000000000000004E-3</v>
      </c>
      <c r="L25" s="78">
        <f t="shared" ref="L25:L35" si="0">$L$23+($L$36-$L$23)/($G$36-$G$23)*($G25-$G$23)</f>
        <v>-1.1950769230769232E-2</v>
      </c>
    </row>
    <row r="26" spans="7:12" x14ac:dyDescent="0.35">
      <c r="G26" s="7">
        <v>10</v>
      </c>
      <c r="H26" s="71">
        <v>0.3</v>
      </c>
      <c r="I26" s="70">
        <v>1.0500000000000001E-2</v>
      </c>
      <c r="J26" s="71">
        <v>0.4</v>
      </c>
      <c r="K26" s="70">
        <v>6.1000000000000004E-3</v>
      </c>
      <c r="L26" s="78">
        <f t="shared" si="0"/>
        <v>-1.1676153846153847E-2</v>
      </c>
    </row>
    <row r="27" spans="7:12" x14ac:dyDescent="0.35">
      <c r="G27" s="7">
        <v>11</v>
      </c>
      <c r="H27" s="71">
        <v>0.3</v>
      </c>
      <c r="I27" s="70">
        <v>1.0500000000000001E-2</v>
      </c>
      <c r="J27" s="71">
        <v>0.41</v>
      </c>
      <c r="K27" s="70">
        <v>6.0000000000000001E-3</v>
      </c>
      <c r="L27" s="78">
        <f t="shared" si="0"/>
        <v>-1.1401538461538463E-2</v>
      </c>
    </row>
    <row r="28" spans="7:12" x14ac:dyDescent="0.35">
      <c r="G28" s="2">
        <v>12</v>
      </c>
      <c r="H28" s="71">
        <v>0.3</v>
      </c>
      <c r="I28" s="70">
        <v>1.0500000000000001E-2</v>
      </c>
      <c r="J28" s="71">
        <v>0.42</v>
      </c>
      <c r="K28" s="70">
        <v>6.0000000000000001E-3</v>
      </c>
      <c r="L28" s="78">
        <f t="shared" si="0"/>
        <v>-1.1126923076923078E-2</v>
      </c>
    </row>
    <row r="29" spans="7:12" x14ac:dyDescent="0.35">
      <c r="G29" s="7">
        <v>13</v>
      </c>
      <c r="H29" s="71">
        <v>0.3</v>
      </c>
      <c r="I29" s="70">
        <v>1.0500000000000001E-2</v>
      </c>
      <c r="J29" s="71">
        <v>0.43</v>
      </c>
      <c r="K29" s="70">
        <v>5.8999999999999999E-3</v>
      </c>
      <c r="L29" s="78">
        <f t="shared" si="0"/>
        <v>-1.0852307692307692E-2</v>
      </c>
    </row>
    <row r="30" spans="7:12" x14ac:dyDescent="0.35">
      <c r="G30" s="7">
        <v>14</v>
      </c>
      <c r="H30" s="71">
        <v>0.28999999999999998</v>
      </c>
      <c r="I30" s="70">
        <v>1.0200000000000001E-2</v>
      </c>
      <c r="J30" s="71">
        <v>0.44</v>
      </c>
      <c r="K30" s="70">
        <v>5.7999999999999996E-3</v>
      </c>
      <c r="L30" s="78">
        <f t="shared" si="0"/>
        <v>-1.0577692307692309E-2</v>
      </c>
    </row>
    <row r="31" spans="7:12" x14ac:dyDescent="0.35">
      <c r="G31" s="2">
        <v>15</v>
      </c>
      <c r="H31" s="71">
        <v>0.28000000000000003</v>
      </c>
      <c r="I31" s="70">
        <v>9.7999999999999997E-3</v>
      </c>
      <c r="J31" s="71">
        <v>0.45</v>
      </c>
      <c r="K31" s="70">
        <v>5.7000000000000002E-3</v>
      </c>
      <c r="L31" s="78">
        <f t="shared" si="0"/>
        <v>-1.0303076923076923E-2</v>
      </c>
    </row>
    <row r="32" spans="7:12" x14ac:dyDescent="0.35">
      <c r="G32" s="7">
        <v>16</v>
      </c>
      <c r="H32" s="71">
        <v>0.28000000000000003</v>
      </c>
      <c r="I32" s="70">
        <v>9.7999999999999997E-3</v>
      </c>
      <c r="J32" s="71">
        <v>0.47</v>
      </c>
      <c r="K32" s="70">
        <v>5.5999999999999999E-3</v>
      </c>
      <c r="L32" s="78">
        <f t="shared" si="0"/>
        <v>-1.0028461538461538E-2</v>
      </c>
    </row>
    <row r="33" spans="7:12" x14ac:dyDescent="0.35">
      <c r="G33" s="7">
        <v>17</v>
      </c>
      <c r="H33" s="71">
        <v>0.27</v>
      </c>
      <c r="I33" s="70">
        <v>9.4999999999999998E-3</v>
      </c>
      <c r="J33" s="71">
        <v>0.48</v>
      </c>
      <c r="K33" s="70">
        <v>5.4999999999999997E-3</v>
      </c>
      <c r="L33" s="78">
        <f t="shared" si="0"/>
        <v>-9.7538461538461546E-3</v>
      </c>
    </row>
    <row r="34" spans="7:12" x14ac:dyDescent="0.35">
      <c r="G34" s="2">
        <v>18</v>
      </c>
      <c r="H34" s="71">
        <v>0.26</v>
      </c>
      <c r="I34" s="70">
        <v>9.1000000000000004E-3</v>
      </c>
      <c r="J34" s="71">
        <v>0.49</v>
      </c>
      <c r="K34" s="70">
        <v>5.4000000000000003E-3</v>
      </c>
      <c r="L34" s="78">
        <f t="shared" si="0"/>
        <v>-9.4792307692307693E-3</v>
      </c>
    </row>
    <row r="35" spans="7:12" x14ac:dyDescent="0.35">
      <c r="G35" s="7">
        <v>19</v>
      </c>
      <c r="H35" s="71">
        <v>0.26</v>
      </c>
      <c r="I35" s="70">
        <v>9.1000000000000004E-3</v>
      </c>
      <c r="J35" s="71">
        <v>0.49</v>
      </c>
      <c r="K35" s="70">
        <v>5.1999999999999998E-3</v>
      </c>
      <c r="L35" s="78">
        <f t="shared" si="0"/>
        <v>-9.204615384615384E-3</v>
      </c>
    </row>
    <row r="36" spans="7:12" x14ac:dyDescent="0.35">
      <c r="G36" s="7">
        <v>20</v>
      </c>
      <c r="H36" s="71">
        <v>0.25</v>
      </c>
      <c r="I36" s="70">
        <v>8.8000000000000005E-3</v>
      </c>
      <c r="J36" s="71">
        <v>0.5</v>
      </c>
      <c r="K36" s="70">
        <v>5.0000000000000001E-3</v>
      </c>
      <c r="L36" s="78">
        <v>-8.9300000000000004E-3</v>
      </c>
    </row>
    <row r="37" spans="7:12" x14ac:dyDescent="0.35">
      <c r="G37" s="2">
        <v>21</v>
      </c>
      <c r="H37" s="71">
        <v>0.25</v>
      </c>
      <c r="I37" s="70">
        <v>8.6999999999999994E-3</v>
      </c>
      <c r="J37" s="71">
        <v>0.49</v>
      </c>
      <c r="K37" s="70">
        <v>4.8999999999999998E-3</v>
      </c>
      <c r="L37" s="78">
        <v>-8.9300000000000004E-3</v>
      </c>
    </row>
    <row r="38" spans="7:12" x14ac:dyDescent="0.35">
      <c r="G38" s="7">
        <v>22</v>
      </c>
      <c r="H38" s="71">
        <v>0.24</v>
      </c>
      <c r="I38" s="70">
        <v>8.5000000000000006E-3</v>
      </c>
      <c r="J38" s="71">
        <v>0.5</v>
      </c>
      <c r="K38" s="70">
        <v>4.8999999999999998E-3</v>
      </c>
      <c r="L38" s="78">
        <v>-8.9300000000000004E-3</v>
      </c>
    </row>
    <row r="39" spans="7:12" x14ac:dyDescent="0.35">
      <c r="G39" s="7">
        <v>23</v>
      </c>
      <c r="H39" s="71">
        <v>0.24</v>
      </c>
      <c r="I39" s="70">
        <v>8.2000000000000007E-3</v>
      </c>
      <c r="J39" s="71">
        <v>0.51</v>
      </c>
      <c r="K39" s="70">
        <v>4.7999999999999996E-3</v>
      </c>
      <c r="L39" s="78">
        <v>-8.9300000000000004E-3</v>
      </c>
    </row>
    <row r="40" spans="7:12" x14ac:dyDescent="0.35">
      <c r="G40" s="2">
        <v>24</v>
      </c>
      <c r="H40" s="71">
        <v>0.23</v>
      </c>
      <c r="I40" s="70">
        <v>8.0000000000000002E-3</v>
      </c>
      <c r="J40" s="71">
        <v>0.51</v>
      </c>
      <c r="K40" s="70">
        <v>4.7999999999999996E-3</v>
      </c>
      <c r="L40" s="78">
        <v>-8.9300000000000004E-3</v>
      </c>
    </row>
    <row r="41" spans="7:12" x14ac:dyDescent="0.35">
      <c r="G41" s="7">
        <v>25</v>
      </c>
      <c r="H41" s="71">
        <v>0.22</v>
      </c>
      <c r="I41" s="70">
        <v>7.7999999999999996E-3</v>
      </c>
      <c r="J41" s="71">
        <v>0.52</v>
      </c>
      <c r="K41" s="70">
        <v>4.7000000000000002E-3</v>
      </c>
      <c r="L41" s="78">
        <v>-8.9300000000000004E-3</v>
      </c>
    </row>
    <row r="42" spans="7:12" x14ac:dyDescent="0.35">
      <c r="G42" s="7">
        <v>26</v>
      </c>
      <c r="H42" s="71">
        <v>0.22</v>
      </c>
      <c r="I42" s="70">
        <v>7.6E-3</v>
      </c>
      <c r="J42" s="71">
        <v>0.52</v>
      </c>
      <c r="K42" s="70">
        <v>4.5999999999999999E-3</v>
      </c>
      <c r="L42" s="78">
        <v>-8.9300000000000004E-3</v>
      </c>
    </row>
    <row r="43" spans="7:12" x14ac:dyDescent="0.35">
      <c r="G43" s="2">
        <v>27</v>
      </c>
      <c r="H43" s="71">
        <v>0.21</v>
      </c>
      <c r="I43" s="70">
        <v>7.4000000000000003E-3</v>
      </c>
      <c r="J43" s="71">
        <v>0.53</v>
      </c>
      <c r="K43" s="70">
        <v>4.4999999999999997E-3</v>
      </c>
      <c r="L43" s="78">
        <v>-8.9300000000000004E-3</v>
      </c>
    </row>
    <row r="44" spans="7:12" x14ac:dyDescent="0.35">
      <c r="G44" s="7">
        <v>28</v>
      </c>
      <c r="H44" s="71">
        <v>0.21</v>
      </c>
      <c r="I44" s="70">
        <v>7.1999999999999998E-3</v>
      </c>
      <c r="J44" s="71">
        <v>0.53</v>
      </c>
      <c r="K44" s="70">
        <v>4.4000000000000003E-3</v>
      </c>
      <c r="L44" s="78">
        <v>-8.9300000000000004E-3</v>
      </c>
    </row>
    <row r="45" spans="7:12" x14ac:dyDescent="0.35">
      <c r="G45" s="7">
        <v>29</v>
      </c>
      <c r="H45" s="71">
        <v>0.2</v>
      </c>
      <c r="I45" s="70">
        <v>7.0000000000000001E-3</v>
      </c>
      <c r="J45" s="71">
        <v>0.53</v>
      </c>
      <c r="K45" s="70">
        <v>4.1999999999999997E-3</v>
      </c>
      <c r="L45" s="78">
        <v>-8.9300000000000004E-3</v>
      </c>
    </row>
    <row r="46" spans="7:12" x14ac:dyDescent="0.35">
      <c r="G46" s="2">
        <v>30</v>
      </c>
      <c r="H46" s="71">
        <v>0.2</v>
      </c>
      <c r="I46" s="70">
        <v>6.8999999999999999E-3</v>
      </c>
      <c r="J46" s="71">
        <v>0.53</v>
      </c>
      <c r="K46" s="70">
        <v>4.1000000000000003E-3</v>
      </c>
      <c r="L46" s="78">
        <v>-8.9300000000000004E-3</v>
      </c>
    </row>
    <row r="47" spans="7:12" x14ac:dyDescent="0.35">
      <c r="G47" s="7">
        <v>31</v>
      </c>
      <c r="H47" s="71">
        <v>0.2</v>
      </c>
      <c r="I47" s="70">
        <v>7.0000000000000001E-3</v>
      </c>
      <c r="J47" s="71">
        <v>0.53</v>
      </c>
      <c r="K47" s="70">
        <v>4.0000000000000001E-3</v>
      </c>
      <c r="L47" s="78">
        <v>-8.9300000000000004E-3</v>
      </c>
    </row>
    <row r="48" spans="7:12" x14ac:dyDescent="0.35">
      <c r="G48" s="7">
        <v>32</v>
      </c>
      <c r="H48" s="71">
        <v>0.2</v>
      </c>
      <c r="I48" s="70">
        <v>7.1000000000000004E-3</v>
      </c>
      <c r="J48" s="71">
        <v>0.53</v>
      </c>
      <c r="K48" s="70">
        <v>3.8999999999999998E-3</v>
      </c>
      <c r="L48" s="78">
        <v>-8.9300000000000004E-3</v>
      </c>
    </row>
    <row r="49" spans="7:12" x14ac:dyDescent="0.35">
      <c r="G49" s="2">
        <v>33</v>
      </c>
      <c r="H49" s="71">
        <v>0.2</v>
      </c>
      <c r="I49" s="70">
        <v>7.1000000000000004E-3</v>
      </c>
      <c r="J49" s="71">
        <v>0.54</v>
      </c>
      <c r="K49" s="70">
        <v>3.7000000000000002E-3</v>
      </c>
      <c r="L49" s="78">
        <v>-8.9300000000000004E-3</v>
      </c>
    </row>
    <row r="50" spans="7:12" x14ac:dyDescent="0.35">
      <c r="G50" s="7">
        <v>34</v>
      </c>
      <c r="H50" s="71">
        <v>0.2</v>
      </c>
      <c r="I50" s="70">
        <v>7.1000000000000004E-3</v>
      </c>
      <c r="J50" s="71">
        <v>0.54</v>
      </c>
      <c r="K50" s="70">
        <v>3.5999999999999999E-3</v>
      </c>
      <c r="L50" s="78">
        <v>-8.9300000000000004E-3</v>
      </c>
    </row>
    <row r="51" spans="7:12" x14ac:dyDescent="0.35">
      <c r="G51" s="7">
        <v>35</v>
      </c>
      <c r="H51" s="71">
        <v>0.2</v>
      </c>
      <c r="I51" s="70">
        <v>7.1000000000000004E-3</v>
      </c>
      <c r="J51" s="71">
        <v>0.54</v>
      </c>
      <c r="K51" s="70">
        <v>3.5000000000000001E-3</v>
      </c>
      <c r="L51" s="78">
        <v>-8.9300000000000004E-3</v>
      </c>
    </row>
    <row r="52" spans="7:12" x14ac:dyDescent="0.35">
      <c r="G52" s="2">
        <v>36</v>
      </c>
      <c r="H52" s="71">
        <v>0.2</v>
      </c>
      <c r="I52" s="70">
        <v>7.1999999999999998E-3</v>
      </c>
      <c r="J52" s="71">
        <v>0.54</v>
      </c>
      <c r="K52" s="70">
        <v>3.3999999999999998E-3</v>
      </c>
      <c r="L52" s="78">
        <v>-8.9300000000000004E-3</v>
      </c>
    </row>
    <row r="53" spans="7:12" x14ac:dyDescent="0.35">
      <c r="G53" s="7">
        <v>37</v>
      </c>
      <c r="H53" s="71">
        <v>0.21</v>
      </c>
      <c r="I53" s="70">
        <v>7.1999999999999998E-3</v>
      </c>
      <c r="J53" s="71">
        <v>0.55000000000000004</v>
      </c>
      <c r="K53" s="70">
        <v>3.3E-3</v>
      </c>
      <c r="L53" s="78">
        <v>-8.9300000000000004E-3</v>
      </c>
    </row>
    <row r="54" spans="7:12" x14ac:dyDescent="0.35">
      <c r="G54" s="7">
        <v>38</v>
      </c>
      <c r="H54" s="71">
        <v>0.21</v>
      </c>
      <c r="I54" s="70">
        <v>7.1999999999999998E-3</v>
      </c>
      <c r="J54" s="71">
        <v>0.55000000000000004</v>
      </c>
      <c r="K54" s="70">
        <v>3.2000000000000002E-3</v>
      </c>
      <c r="L54" s="78">
        <v>-8.9300000000000004E-3</v>
      </c>
    </row>
    <row r="55" spans="7:12" x14ac:dyDescent="0.35">
      <c r="G55" s="2">
        <v>39</v>
      </c>
      <c r="H55" s="71">
        <v>0.21</v>
      </c>
      <c r="I55" s="70">
        <v>7.3000000000000001E-3</v>
      </c>
      <c r="J55" s="71">
        <v>0.56000000000000005</v>
      </c>
      <c r="K55" s="70">
        <v>3.0999999999999999E-3</v>
      </c>
      <c r="L55" s="78">
        <v>-8.9300000000000004E-3</v>
      </c>
    </row>
    <row r="56" spans="7:12" x14ac:dyDescent="0.35">
      <c r="G56" s="7">
        <v>40</v>
      </c>
      <c r="H56" s="71">
        <v>0.21</v>
      </c>
      <c r="I56" s="70">
        <v>7.3000000000000001E-3</v>
      </c>
      <c r="J56" s="71">
        <v>0.56999999999999995</v>
      </c>
      <c r="K56" s="70">
        <v>3.0000000000000001E-3</v>
      </c>
      <c r="L56" s="78">
        <v>-8.9300000000000004E-3</v>
      </c>
    </row>
    <row r="57" spans="7:12" x14ac:dyDescent="0.35">
      <c r="G57" s="7">
        <v>41</v>
      </c>
      <c r="H57" s="71">
        <v>0.21</v>
      </c>
      <c r="I57" s="70">
        <v>7.4000000000000003E-3</v>
      </c>
      <c r="J57" s="71">
        <v>0.56999999999999995</v>
      </c>
      <c r="K57" s="70">
        <v>2.8999999999999998E-3</v>
      </c>
      <c r="L57" s="78">
        <v>-8.9300000000000004E-3</v>
      </c>
    </row>
    <row r="58" spans="7:12" x14ac:dyDescent="0.35">
      <c r="G58" s="2">
        <v>42</v>
      </c>
      <c r="H58" s="71">
        <v>0.21</v>
      </c>
      <c r="I58" s="70">
        <v>7.4000000000000003E-3</v>
      </c>
      <c r="J58" s="71">
        <v>0.57999999999999996</v>
      </c>
      <c r="K58" s="70">
        <v>2.8E-3</v>
      </c>
      <c r="L58" s="78">
        <v>-8.9300000000000004E-3</v>
      </c>
    </row>
    <row r="59" spans="7:12" x14ac:dyDescent="0.35">
      <c r="G59" s="7">
        <v>43</v>
      </c>
      <c r="H59" s="71">
        <v>0.21</v>
      </c>
      <c r="I59" s="70">
        <v>7.4999999999999997E-3</v>
      </c>
      <c r="J59" s="71">
        <v>0.59</v>
      </c>
      <c r="K59" s="70">
        <v>2.7000000000000001E-3</v>
      </c>
      <c r="L59" s="78">
        <v>-8.9300000000000004E-3</v>
      </c>
    </row>
    <row r="60" spans="7:12" x14ac:dyDescent="0.35">
      <c r="G60" s="7">
        <v>44</v>
      </c>
      <c r="H60" s="71">
        <v>0.21</v>
      </c>
      <c r="I60" s="70">
        <v>7.4999999999999997E-3</v>
      </c>
      <c r="J60" s="71">
        <v>0.61</v>
      </c>
      <c r="K60" s="70">
        <v>2.5999999999999999E-3</v>
      </c>
      <c r="L60" s="78">
        <v>-8.9300000000000004E-3</v>
      </c>
    </row>
    <row r="61" spans="7:12" x14ac:dyDescent="0.35">
      <c r="G61" s="2">
        <v>45</v>
      </c>
      <c r="H61" s="71">
        <v>0.21</v>
      </c>
      <c r="I61" s="70">
        <v>7.4999999999999997E-3</v>
      </c>
      <c r="J61" s="71">
        <v>0.62</v>
      </c>
      <c r="K61" s="70">
        <v>2.5000000000000001E-3</v>
      </c>
      <c r="L61" s="78">
        <v>-8.9300000000000004E-3</v>
      </c>
    </row>
    <row r="62" spans="7:12" x14ac:dyDescent="0.35">
      <c r="G62" s="7">
        <v>46</v>
      </c>
      <c r="H62" s="71">
        <v>0.21</v>
      </c>
      <c r="I62" s="70">
        <v>7.4999999999999997E-3</v>
      </c>
      <c r="J62" s="71">
        <v>0.62</v>
      </c>
      <c r="K62" s="70">
        <v>2.3E-3</v>
      </c>
      <c r="L62" s="78">
        <v>-8.9300000000000004E-3</v>
      </c>
    </row>
    <row r="63" spans="7:12" x14ac:dyDescent="0.35">
      <c r="G63" s="7">
        <v>47</v>
      </c>
      <c r="H63" s="71">
        <v>0.21</v>
      </c>
      <c r="I63" s="70">
        <v>7.4999999999999997E-3</v>
      </c>
      <c r="J63" s="71">
        <v>0.63</v>
      </c>
      <c r="K63" s="70">
        <v>2.2000000000000001E-3</v>
      </c>
      <c r="L63" s="78">
        <v>-8.9300000000000004E-3</v>
      </c>
    </row>
    <row r="64" spans="7:12" x14ac:dyDescent="0.35">
      <c r="G64" s="2">
        <v>48</v>
      </c>
      <c r="H64" s="71">
        <v>0.21</v>
      </c>
      <c r="I64" s="70">
        <v>7.4000000000000003E-3</v>
      </c>
      <c r="J64" s="71">
        <v>0.64</v>
      </c>
      <c r="K64" s="70">
        <v>2.0999999999999999E-3</v>
      </c>
      <c r="L64" s="78">
        <v>-8.9300000000000004E-3</v>
      </c>
    </row>
    <row r="65" spans="7:12" x14ac:dyDescent="0.35">
      <c r="G65" s="7">
        <v>49</v>
      </c>
      <c r="H65" s="71">
        <v>0.21</v>
      </c>
      <c r="I65" s="70">
        <v>7.4000000000000003E-3</v>
      </c>
      <c r="J65" s="71">
        <v>0.64</v>
      </c>
      <c r="K65" s="70">
        <v>1.9E-3</v>
      </c>
      <c r="L65" s="78">
        <v>-8.9300000000000004E-3</v>
      </c>
    </row>
    <row r="66" spans="7:12" x14ac:dyDescent="0.35">
      <c r="G66" s="7">
        <v>50</v>
      </c>
      <c r="H66" s="71">
        <v>0.21</v>
      </c>
      <c r="I66" s="70">
        <v>7.3000000000000001E-3</v>
      </c>
      <c r="J66" s="71">
        <v>0.65</v>
      </c>
      <c r="K66" s="70">
        <v>1.8E-3</v>
      </c>
      <c r="L66" s="78">
        <v>-8.9300000000000004E-3</v>
      </c>
    </row>
    <row r="67" spans="7:12" x14ac:dyDescent="0.35">
      <c r="G67" s="2">
        <v>51</v>
      </c>
      <c r="H67" s="71">
        <f>H$66+(H$106-H$66)/($G$106-$G$66) * ($G67-$G$66)</f>
        <v>0.20974999999999999</v>
      </c>
      <c r="I67" s="70">
        <f>I$66+(I$76-I$66)/($G$76-$G$66) * ($G67-$G$66)</f>
        <v>6.5700000000000003E-3</v>
      </c>
      <c r="J67" s="71">
        <f>J$66+(J$106-J$66)/($G$106-$G$66) * ($G67-$G$66)</f>
        <v>0.63875000000000004</v>
      </c>
      <c r="K67" s="70">
        <f>K$66+(K$76-K$66)/($G$76-$G$66) * ($G67-$G$66)</f>
        <v>1.6199999999999999E-3</v>
      </c>
      <c r="L67" s="78">
        <v>-8.9300000000000004E-3</v>
      </c>
    </row>
    <row r="68" spans="7:12" x14ac:dyDescent="0.35">
      <c r="G68" s="2">
        <v>52</v>
      </c>
      <c r="H68" s="71">
        <f t="shared" ref="H68:H105" si="1">H$66+(H$106-H$66)/($G$106-$G$66) * ($G68-$G$66)</f>
        <v>0.20949999999999999</v>
      </c>
      <c r="I68" s="70">
        <f t="shared" ref="I68:I75" si="2">I$66+(I$76-I$66)/($G$76-$G$66) * ($G68-$G$66)</f>
        <v>5.8399999999999997E-3</v>
      </c>
      <c r="J68" s="71">
        <f t="shared" ref="J68:J105" si="3">J$66+(J$106-J$66)/($G$106-$G$66) * ($G68-$G$66)</f>
        <v>0.62750000000000006</v>
      </c>
      <c r="K68" s="70">
        <f t="shared" ref="K68:K75" si="4">K$66+(K$76-K$66)/($G$76-$G$66) * ($G68-$G$66)</f>
        <v>1.4399999999999999E-3</v>
      </c>
      <c r="L68" s="78">
        <v>-8.9300000000000004E-3</v>
      </c>
    </row>
    <row r="69" spans="7:12" x14ac:dyDescent="0.35">
      <c r="G69" s="2">
        <v>53</v>
      </c>
      <c r="H69" s="71">
        <f t="shared" si="1"/>
        <v>0.20924999999999999</v>
      </c>
      <c r="I69" s="70">
        <f t="shared" si="2"/>
        <v>5.11E-3</v>
      </c>
      <c r="J69" s="71">
        <f t="shared" si="3"/>
        <v>0.61624999999999996</v>
      </c>
      <c r="K69" s="70">
        <f t="shared" si="4"/>
        <v>1.2600000000000001E-3</v>
      </c>
      <c r="L69" s="78">
        <v>-8.9300000000000004E-3</v>
      </c>
    </row>
    <row r="70" spans="7:12" x14ac:dyDescent="0.35">
      <c r="G70" s="2">
        <v>54</v>
      </c>
      <c r="H70" s="71">
        <f t="shared" si="1"/>
        <v>0.20899999999999999</v>
      </c>
      <c r="I70" s="70">
        <f t="shared" si="2"/>
        <v>4.3800000000000002E-3</v>
      </c>
      <c r="J70" s="71">
        <f t="shared" si="3"/>
        <v>0.60499999999999998</v>
      </c>
      <c r="K70" s="70">
        <f t="shared" si="4"/>
        <v>1.08E-3</v>
      </c>
      <c r="L70" s="78">
        <v>-8.9300000000000004E-3</v>
      </c>
    </row>
    <row r="71" spans="7:12" x14ac:dyDescent="0.35">
      <c r="G71" s="2">
        <v>55</v>
      </c>
      <c r="H71" s="71">
        <f t="shared" si="1"/>
        <v>0.20874999999999999</v>
      </c>
      <c r="I71" s="70">
        <f t="shared" si="2"/>
        <v>3.6500000000000005E-3</v>
      </c>
      <c r="J71" s="71">
        <f t="shared" si="3"/>
        <v>0.59375</v>
      </c>
      <c r="K71" s="70">
        <f t="shared" si="4"/>
        <v>8.9999999999999998E-4</v>
      </c>
      <c r="L71" s="78">
        <v>-8.9300000000000004E-3</v>
      </c>
    </row>
    <row r="72" spans="7:12" x14ac:dyDescent="0.35">
      <c r="G72" s="2">
        <v>56</v>
      </c>
      <c r="H72" s="71">
        <f t="shared" si="1"/>
        <v>0.20849999999999999</v>
      </c>
      <c r="I72" s="70">
        <f t="shared" si="2"/>
        <v>2.9199999999999999E-3</v>
      </c>
      <c r="J72" s="71">
        <f t="shared" si="3"/>
        <v>0.58250000000000002</v>
      </c>
      <c r="K72" s="70">
        <f t="shared" si="4"/>
        <v>7.2000000000000015E-4</v>
      </c>
      <c r="L72" s="78">
        <v>-8.9300000000000004E-3</v>
      </c>
    </row>
    <row r="73" spans="7:12" x14ac:dyDescent="0.35">
      <c r="G73" s="2">
        <v>57</v>
      </c>
      <c r="H73" s="71">
        <f t="shared" si="1"/>
        <v>0.20824999999999999</v>
      </c>
      <c r="I73" s="70">
        <f t="shared" si="2"/>
        <v>2.1900000000000001E-3</v>
      </c>
      <c r="J73" s="71">
        <f t="shared" si="3"/>
        <v>0.57125000000000004</v>
      </c>
      <c r="K73" s="70">
        <f t="shared" si="4"/>
        <v>5.4000000000000012E-4</v>
      </c>
      <c r="L73" s="78">
        <v>-8.9300000000000004E-3</v>
      </c>
    </row>
    <row r="74" spans="7:12" x14ac:dyDescent="0.35">
      <c r="G74" s="2">
        <v>58</v>
      </c>
      <c r="H74" s="71">
        <f t="shared" si="1"/>
        <v>0.20799999999999999</v>
      </c>
      <c r="I74" s="70">
        <f t="shared" si="2"/>
        <v>1.4600000000000004E-3</v>
      </c>
      <c r="J74" s="71">
        <f t="shared" si="3"/>
        <v>0.56000000000000005</v>
      </c>
      <c r="K74" s="70">
        <f t="shared" si="4"/>
        <v>3.6000000000000008E-4</v>
      </c>
      <c r="L74" s="78">
        <v>-8.9300000000000004E-3</v>
      </c>
    </row>
    <row r="75" spans="7:12" x14ac:dyDescent="0.35">
      <c r="G75" s="2">
        <v>59</v>
      </c>
      <c r="H75" s="71">
        <f t="shared" si="1"/>
        <v>0.20774999999999999</v>
      </c>
      <c r="I75" s="70">
        <f t="shared" si="2"/>
        <v>7.3000000000000061E-4</v>
      </c>
      <c r="J75" s="71">
        <f t="shared" si="3"/>
        <v>0.54875000000000007</v>
      </c>
      <c r="K75" s="70">
        <f t="shared" si="4"/>
        <v>1.8000000000000004E-4</v>
      </c>
      <c r="L75" s="78">
        <v>-8.9300000000000004E-3</v>
      </c>
    </row>
    <row r="76" spans="7:12" x14ac:dyDescent="0.35">
      <c r="G76" s="2">
        <v>60</v>
      </c>
      <c r="H76" s="71">
        <f t="shared" si="1"/>
        <v>0.20749999999999999</v>
      </c>
      <c r="I76" s="70">
        <v>0</v>
      </c>
      <c r="J76" s="71">
        <f t="shared" si="3"/>
        <v>0.53750000000000009</v>
      </c>
      <c r="K76" s="70">
        <v>0</v>
      </c>
      <c r="L76" s="78">
        <v>-8.9300000000000004E-3</v>
      </c>
    </row>
    <row r="77" spans="7:12" x14ac:dyDescent="0.35">
      <c r="G77" s="2">
        <v>61</v>
      </c>
      <c r="H77" s="71">
        <f t="shared" si="1"/>
        <v>0.20724999999999999</v>
      </c>
      <c r="I77" s="70">
        <v>0</v>
      </c>
      <c r="J77" s="71">
        <f t="shared" si="3"/>
        <v>0.52625</v>
      </c>
      <c r="K77" s="70">
        <v>0</v>
      </c>
      <c r="L77" s="78">
        <v>-8.9300000000000004E-3</v>
      </c>
    </row>
    <row r="78" spans="7:12" x14ac:dyDescent="0.35">
      <c r="G78" s="2">
        <v>62</v>
      </c>
      <c r="H78" s="71">
        <f t="shared" si="1"/>
        <v>0.20699999999999999</v>
      </c>
      <c r="I78" s="70">
        <v>0</v>
      </c>
      <c r="J78" s="71">
        <f t="shared" si="3"/>
        <v>0.51500000000000001</v>
      </c>
      <c r="K78" s="70">
        <v>0</v>
      </c>
      <c r="L78" s="78">
        <v>-8.9300000000000004E-3</v>
      </c>
    </row>
    <row r="79" spans="7:12" x14ac:dyDescent="0.35">
      <c r="G79" s="2">
        <v>63</v>
      </c>
      <c r="H79" s="71">
        <f t="shared" si="1"/>
        <v>0.20674999999999999</v>
      </c>
      <c r="I79" s="70">
        <v>0</v>
      </c>
      <c r="J79" s="71">
        <f t="shared" si="3"/>
        <v>0.50375000000000003</v>
      </c>
      <c r="K79" s="70">
        <v>0</v>
      </c>
      <c r="L79" s="78">
        <v>-8.9300000000000004E-3</v>
      </c>
    </row>
    <row r="80" spans="7:12" x14ac:dyDescent="0.35">
      <c r="G80" s="2">
        <v>64</v>
      </c>
      <c r="H80" s="71">
        <f t="shared" si="1"/>
        <v>0.20649999999999999</v>
      </c>
      <c r="I80" s="70">
        <v>0</v>
      </c>
      <c r="J80" s="71">
        <f t="shared" si="3"/>
        <v>0.49250000000000005</v>
      </c>
      <c r="K80" s="70">
        <v>0</v>
      </c>
      <c r="L80" s="78">
        <v>-8.9300000000000004E-3</v>
      </c>
    </row>
    <row r="81" spans="7:12" x14ac:dyDescent="0.35">
      <c r="G81" s="2">
        <v>65</v>
      </c>
      <c r="H81" s="71">
        <f t="shared" si="1"/>
        <v>0.20624999999999999</v>
      </c>
      <c r="I81" s="70">
        <v>0</v>
      </c>
      <c r="J81" s="71">
        <f t="shared" si="3"/>
        <v>0.48125000000000007</v>
      </c>
      <c r="K81" s="70">
        <v>0</v>
      </c>
      <c r="L81" s="78">
        <v>-8.9300000000000004E-3</v>
      </c>
    </row>
    <row r="82" spans="7:12" x14ac:dyDescent="0.35">
      <c r="G82" s="2">
        <v>66</v>
      </c>
      <c r="H82" s="71">
        <f t="shared" si="1"/>
        <v>0.20599999999999999</v>
      </c>
      <c r="I82" s="70">
        <v>0</v>
      </c>
      <c r="J82" s="71">
        <f t="shared" si="3"/>
        <v>0.47000000000000003</v>
      </c>
      <c r="K82" s="70">
        <v>0</v>
      </c>
      <c r="L82" s="78">
        <v>-8.9300000000000004E-3</v>
      </c>
    </row>
    <row r="83" spans="7:12" x14ac:dyDescent="0.35">
      <c r="G83" s="2">
        <v>67</v>
      </c>
      <c r="H83" s="71">
        <f t="shared" si="1"/>
        <v>0.20574999999999999</v>
      </c>
      <c r="I83" s="70">
        <v>0</v>
      </c>
      <c r="J83" s="71">
        <f t="shared" si="3"/>
        <v>0.45874999999999999</v>
      </c>
      <c r="K83" s="70">
        <v>0</v>
      </c>
      <c r="L83" s="78">
        <v>-8.9300000000000004E-3</v>
      </c>
    </row>
    <row r="84" spans="7:12" x14ac:dyDescent="0.35">
      <c r="G84" s="2">
        <v>68</v>
      </c>
      <c r="H84" s="71">
        <f t="shared" si="1"/>
        <v>0.20549999999999999</v>
      </c>
      <c r="I84" s="70">
        <v>0</v>
      </c>
      <c r="J84" s="71">
        <f t="shared" si="3"/>
        <v>0.44750000000000001</v>
      </c>
      <c r="K84" s="70">
        <v>0</v>
      </c>
      <c r="L84" s="78">
        <v>-8.9300000000000004E-3</v>
      </c>
    </row>
    <row r="85" spans="7:12" x14ac:dyDescent="0.35">
      <c r="G85" s="2">
        <v>69</v>
      </c>
      <c r="H85" s="71">
        <f t="shared" si="1"/>
        <v>0.20524999999999999</v>
      </c>
      <c r="I85" s="70">
        <v>0</v>
      </c>
      <c r="J85" s="71">
        <f t="shared" si="3"/>
        <v>0.43625000000000003</v>
      </c>
      <c r="K85" s="70">
        <v>0</v>
      </c>
      <c r="L85" s="78">
        <v>-8.9300000000000004E-3</v>
      </c>
    </row>
    <row r="86" spans="7:12" x14ac:dyDescent="0.35">
      <c r="G86" s="2">
        <v>70</v>
      </c>
      <c r="H86" s="71">
        <f t="shared" si="1"/>
        <v>0.20500000000000002</v>
      </c>
      <c r="I86" s="70">
        <v>0</v>
      </c>
      <c r="J86" s="71">
        <f t="shared" si="3"/>
        <v>0.42500000000000004</v>
      </c>
      <c r="K86" s="70">
        <v>0</v>
      </c>
      <c r="L86" s="78">
        <v>-8.9300000000000004E-3</v>
      </c>
    </row>
    <row r="87" spans="7:12" x14ac:dyDescent="0.35">
      <c r="G87" s="2">
        <v>71</v>
      </c>
      <c r="H87" s="71">
        <f t="shared" si="1"/>
        <v>0.20475000000000002</v>
      </c>
      <c r="I87" s="70">
        <v>0</v>
      </c>
      <c r="J87" s="71">
        <f t="shared" si="3"/>
        <v>0.41375000000000006</v>
      </c>
      <c r="K87" s="70">
        <v>0</v>
      </c>
      <c r="L87" s="78">
        <v>-8.9300000000000004E-3</v>
      </c>
    </row>
    <row r="88" spans="7:12" x14ac:dyDescent="0.35">
      <c r="G88" s="2">
        <v>72</v>
      </c>
      <c r="H88" s="71">
        <f t="shared" si="1"/>
        <v>0.20450000000000002</v>
      </c>
      <c r="I88" s="70">
        <v>0</v>
      </c>
      <c r="J88" s="71">
        <f t="shared" si="3"/>
        <v>0.40250000000000002</v>
      </c>
      <c r="K88" s="70">
        <v>0</v>
      </c>
      <c r="L88" s="78">
        <v>-8.9300000000000004E-3</v>
      </c>
    </row>
    <row r="89" spans="7:12" x14ac:dyDescent="0.35">
      <c r="G89" s="2">
        <v>73</v>
      </c>
      <c r="H89" s="71">
        <f t="shared" si="1"/>
        <v>0.20425000000000001</v>
      </c>
      <c r="I89" s="70">
        <v>0</v>
      </c>
      <c r="J89" s="71">
        <f t="shared" si="3"/>
        <v>0.39125000000000004</v>
      </c>
      <c r="K89" s="70">
        <v>0</v>
      </c>
      <c r="L89" s="78">
        <v>-8.9300000000000004E-3</v>
      </c>
    </row>
    <row r="90" spans="7:12" x14ac:dyDescent="0.35">
      <c r="G90" s="2">
        <v>74</v>
      </c>
      <c r="H90" s="71">
        <f t="shared" si="1"/>
        <v>0.20400000000000001</v>
      </c>
      <c r="I90" s="70">
        <v>0</v>
      </c>
      <c r="J90" s="71">
        <f t="shared" si="3"/>
        <v>0.38</v>
      </c>
      <c r="K90" s="70">
        <v>0</v>
      </c>
      <c r="L90" s="78">
        <v>-8.9300000000000004E-3</v>
      </c>
    </row>
    <row r="91" spans="7:12" x14ac:dyDescent="0.35">
      <c r="G91" s="2">
        <v>75</v>
      </c>
      <c r="H91" s="71">
        <f t="shared" si="1"/>
        <v>0.20375000000000001</v>
      </c>
      <c r="I91" s="70">
        <v>0</v>
      </c>
      <c r="J91" s="71">
        <f t="shared" si="3"/>
        <v>0.36875000000000002</v>
      </c>
      <c r="K91" s="70">
        <v>0</v>
      </c>
      <c r="L91" s="78">
        <v>-8.9300000000000004E-3</v>
      </c>
    </row>
    <row r="92" spans="7:12" x14ac:dyDescent="0.35">
      <c r="G92" s="2">
        <v>76</v>
      </c>
      <c r="H92" s="71">
        <f t="shared" si="1"/>
        <v>0.20350000000000001</v>
      </c>
      <c r="I92" s="70">
        <v>0</v>
      </c>
      <c r="J92" s="71">
        <f t="shared" si="3"/>
        <v>0.35750000000000004</v>
      </c>
      <c r="K92" s="70">
        <v>0</v>
      </c>
      <c r="L92" s="78">
        <v>-8.9300000000000004E-3</v>
      </c>
    </row>
    <row r="93" spans="7:12" x14ac:dyDescent="0.35">
      <c r="G93" s="2">
        <v>77</v>
      </c>
      <c r="H93" s="71">
        <f t="shared" si="1"/>
        <v>0.20325000000000001</v>
      </c>
      <c r="I93" s="70">
        <v>0</v>
      </c>
      <c r="J93" s="71">
        <f t="shared" si="3"/>
        <v>0.34625000000000006</v>
      </c>
      <c r="K93" s="70">
        <v>0</v>
      </c>
      <c r="L93" s="78">
        <v>-8.9300000000000004E-3</v>
      </c>
    </row>
    <row r="94" spans="7:12" x14ac:dyDescent="0.35">
      <c r="G94" s="2">
        <v>78</v>
      </c>
      <c r="H94" s="71">
        <f t="shared" si="1"/>
        <v>0.20300000000000001</v>
      </c>
      <c r="I94" s="70">
        <v>0</v>
      </c>
      <c r="J94" s="71">
        <f t="shared" si="3"/>
        <v>0.33500000000000002</v>
      </c>
      <c r="K94" s="70">
        <v>0</v>
      </c>
      <c r="L94" s="78">
        <v>-8.9300000000000004E-3</v>
      </c>
    </row>
    <row r="95" spans="7:12" x14ac:dyDescent="0.35">
      <c r="G95" s="2">
        <v>79</v>
      </c>
      <c r="H95" s="71">
        <f t="shared" si="1"/>
        <v>0.20275000000000001</v>
      </c>
      <c r="I95" s="70">
        <v>0</v>
      </c>
      <c r="J95" s="71">
        <f t="shared" si="3"/>
        <v>0.32375000000000004</v>
      </c>
      <c r="K95" s="70">
        <v>0</v>
      </c>
      <c r="L95" s="78">
        <v>-8.9300000000000004E-3</v>
      </c>
    </row>
    <row r="96" spans="7:12" x14ac:dyDescent="0.35">
      <c r="G96" s="2">
        <v>80</v>
      </c>
      <c r="H96" s="71">
        <f t="shared" si="1"/>
        <v>0.20250000000000001</v>
      </c>
      <c r="I96" s="70">
        <v>0</v>
      </c>
      <c r="J96" s="71">
        <f t="shared" si="3"/>
        <v>0.31250000000000006</v>
      </c>
      <c r="K96" s="70">
        <v>0</v>
      </c>
      <c r="L96" s="78">
        <v>-8.9300000000000004E-3</v>
      </c>
    </row>
    <row r="97" spans="7:12" x14ac:dyDescent="0.35">
      <c r="G97" s="2">
        <v>81</v>
      </c>
      <c r="H97" s="71">
        <f t="shared" si="1"/>
        <v>0.20225000000000001</v>
      </c>
      <c r="I97" s="70">
        <v>0</v>
      </c>
      <c r="J97" s="71">
        <f t="shared" si="3"/>
        <v>0.30125000000000002</v>
      </c>
      <c r="K97" s="70">
        <v>0</v>
      </c>
      <c r="L97" s="78">
        <v>-8.9300000000000004E-3</v>
      </c>
    </row>
    <row r="98" spans="7:12" x14ac:dyDescent="0.35">
      <c r="G98" s="2">
        <v>82</v>
      </c>
      <c r="H98" s="71">
        <f t="shared" si="1"/>
        <v>0.20200000000000001</v>
      </c>
      <c r="I98" s="70">
        <v>0</v>
      </c>
      <c r="J98" s="71">
        <f t="shared" si="3"/>
        <v>0.29000000000000004</v>
      </c>
      <c r="K98" s="70">
        <v>0</v>
      </c>
      <c r="L98" s="78">
        <v>-8.9300000000000004E-3</v>
      </c>
    </row>
    <row r="99" spans="7:12" x14ac:dyDescent="0.35">
      <c r="G99" s="2">
        <v>83</v>
      </c>
      <c r="H99" s="71">
        <f t="shared" si="1"/>
        <v>0.20175000000000001</v>
      </c>
      <c r="I99" s="70">
        <v>0</v>
      </c>
      <c r="J99" s="71">
        <f t="shared" si="3"/>
        <v>0.27875000000000005</v>
      </c>
      <c r="K99" s="70">
        <v>0</v>
      </c>
      <c r="L99" s="78">
        <v>-8.9300000000000004E-3</v>
      </c>
    </row>
    <row r="100" spans="7:12" x14ac:dyDescent="0.35">
      <c r="G100" s="2">
        <v>84</v>
      </c>
      <c r="H100" s="71">
        <f t="shared" si="1"/>
        <v>0.20150000000000001</v>
      </c>
      <c r="I100" s="70">
        <v>0</v>
      </c>
      <c r="J100" s="71">
        <f t="shared" si="3"/>
        <v>0.26750000000000002</v>
      </c>
      <c r="K100" s="70">
        <v>0</v>
      </c>
      <c r="L100" s="78">
        <v>-8.9300000000000004E-3</v>
      </c>
    </row>
    <row r="101" spans="7:12" x14ac:dyDescent="0.35">
      <c r="G101" s="2">
        <v>85</v>
      </c>
      <c r="H101" s="71">
        <f t="shared" si="1"/>
        <v>0.20125000000000001</v>
      </c>
      <c r="I101" s="70">
        <v>0</v>
      </c>
      <c r="J101" s="71">
        <f t="shared" si="3"/>
        <v>0.25625000000000003</v>
      </c>
      <c r="K101" s="70">
        <v>0</v>
      </c>
      <c r="L101" s="78">
        <v>-8.9300000000000004E-3</v>
      </c>
    </row>
    <row r="102" spans="7:12" x14ac:dyDescent="0.35">
      <c r="G102" s="2">
        <v>86</v>
      </c>
      <c r="H102" s="71">
        <f t="shared" si="1"/>
        <v>0.20100000000000001</v>
      </c>
      <c r="I102" s="70">
        <v>0</v>
      </c>
      <c r="J102" s="71">
        <f t="shared" si="3"/>
        <v>0.24500000000000005</v>
      </c>
      <c r="K102" s="70">
        <v>0</v>
      </c>
      <c r="L102" s="78">
        <v>-8.9300000000000004E-3</v>
      </c>
    </row>
    <row r="103" spans="7:12" x14ac:dyDescent="0.35">
      <c r="G103" s="2">
        <v>87</v>
      </c>
      <c r="H103" s="71">
        <f t="shared" si="1"/>
        <v>0.20075000000000001</v>
      </c>
      <c r="I103" s="70">
        <v>0</v>
      </c>
      <c r="J103" s="71">
        <f t="shared" si="3"/>
        <v>0.23375000000000001</v>
      </c>
      <c r="K103" s="70">
        <v>0</v>
      </c>
      <c r="L103" s="78">
        <v>-8.9300000000000004E-3</v>
      </c>
    </row>
    <row r="104" spans="7:12" x14ac:dyDescent="0.35">
      <c r="G104" s="2">
        <v>88</v>
      </c>
      <c r="H104" s="71">
        <f t="shared" si="1"/>
        <v>0.20050000000000001</v>
      </c>
      <c r="I104" s="70">
        <v>0</v>
      </c>
      <c r="J104" s="71">
        <f t="shared" si="3"/>
        <v>0.22250000000000003</v>
      </c>
      <c r="K104" s="70">
        <v>0</v>
      </c>
      <c r="L104" s="78">
        <v>-8.9300000000000004E-3</v>
      </c>
    </row>
    <row r="105" spans="7:12" x14ac:dyDescent="0.35">
      <c r="G105" s="2">
        <v>89</v>
      </c>
      <c r="H105" s="71">
        <f t="shared" si="1"/>
        <v>0.20025000000000001</v>
      </c>
      <c r="I105" s="70">
        <v>0</v>
      </c>
      <c r="J105" s="71">
        <f t="shared" si="3"/>
        <v>0.21125000000000005</v>
      </c>
      <c r="K105" s="70">
        <v>0</v>
      </c>
      <c r="L105" s="78">
        <v>-8.9300000000000004E-3</v>
      </c>
    </row>
    <row r="106" spans="7:12" x14ac:dyDescent="0.35">
      <c r="G106" s="2">
        <v>90</v>
      </c>
      <c r="H106" s="71">
        <v>0.2</v>
      </c>
      <c r="I106" s="70">
        <v>0</v>
      </c>
      <c r="J106" s="71">
        <v>0.2</v>
      </c>
      <c r="K106" s="70">
        <v>0</v>
      </c>
      <c r="L106" s="78">
        <v>-8.9300000000000004E-3</v>
      </c>
    </row>
    <row r="107" spans="7:12" x14ac:dyDescent="0.35">
      <c r="G107" s="2">
        <v>91</v>
      </c>
      <c r="H107" s="71">
        <v>0.2</v>
      </c>
      <c r="I107" s="70">
        <v>0</v>
      </c>
      <c r="J107" s="71">
        <v>0.2</v>
      </c>
      <c r="K107" s="70">
        <v>0</v>
      </c>
      <c r="L107" s="78">
        <v>-8.9300000000000004E-3</v>
      </c>
    </row>
    <row r="108" spans="7:12" x14ac:dyDescent="0.35">
      <c r="G108" s="2">
        <v>92</v>
      </c>
      <c r="H108" s="71">
        <v>0.2</v>
      </c>
      <c r="I108" s="70">
        <v>0</v>
      </c>
      <c r="J108" s="71">
        <v>0.2</v>
      </c>
      <c r="K108" s="70">
        <v>0</v>
      </c>
      <c r="L108" s="78">
        <v>-8.9300000000000004E-3</v>
      </c>
    </row>
    <row r="109" spans="7:12" x14ac:dyDescent="0.35">
      <c r="G109" s="2">
        <v>93</v>
      </c>
      <c r="H109" s="71">
        <v>0.2</v>
      </c>
      <c r="I109" s="70">
        <v>0</v>
      </c>
      <c r="J109" s="71">
        <v>0.2</v>
      </c>
      <c r="K109" s="70">
        <v>0</v>
      </c>
      <c r="L109" s="78">
        <v>-8.9300000000000004E-3</v>
      </c>
    </row>
    <row r="110" spans="7:12" x14ac:dyDescent="0.35">
      <c r="G110" s="2">
        <v>94</v>
      </c>
      <c r="H110" s="71">
        <v>0.2</v>
      </c>
      <c r="I110" s="70">
        <v>0</v>
      </c>
      <c r="J110" s="71">
        <v>0.2</v>
      </c>
      <c r="K110" s="70">
        <v>0</v>
      </c>
      <c r="L110" s="78">
        <v>-8.9300000000000004E-3</v>
      </c>
    </row>
    <row r="111" spans="7:12" x14ac:dyDescent="0.35">
      <c r="G111" s="2">
        <v>95</v>
      </c>
      <c r="H111" s="71">
        <v>0.2</v>
      </c>
      <c r="I111" s="70">
        <v>0</v>
      </c>
      <c r="J111" s="71">
        <v>0.2</v>
      </c>
      <c r="K111" s="70">
        <v>0</v>
      </c>
      <c r="L111" s="78">
        <v>-8.9300000000000004E-3</v>
      </c>
    </row>
    <row r="112" spans="7:12" x14ac:dyDescent="0.35">
      <c r="G112" s="2">
        <v>96</v>
      </c>
      <c r="H112" s="71">
        <v>0.2</v>
      </c>
      <c r="I112" s="70">
        <v>0</v>
      </c>
      <c r="J112" s="71">
        <v>0.2</v>
      </c>
      <c r="K112" s="70">
        <v>0</v>
      </c>
      <c r="L112" s="78">
        <v>-8.9300000000000004E-3</v>
      </c>
    </row>
    <row r="113" spans="7:12" x14ac:dyDescent="0.35">
      <c r="G113" s="2">
        <v>97</v>
      </c>
      <c r="H113" s="71">
        <v>0.2</v>
      </c>
      <c r="I113" s="70">
        <v>0</v>
      </c>
      <c r="J113" s="71">
        <v>0.2</v>
      </c>
      <c r="K113" s="70">
        <v>0</v>
      </c>
      <c r="L113" s="78">
        <v>-8.9300000000000004E-3</v>
      </c>
    </row>
    <row r="114" spans="7:12" x14ac:dyDescent="0.35">
      <c r="G114" s="2">
        <v>98</v>
      </c>
      <c r="H114" s="71">
        <v>0.2</v>
      </c>
      <c r="I114" s="70">
        <v>0</v>
      </c>
      <c r="J114" s="71">
        <v>0.2</v>
      </c>
      <c r="K114" s="70">
        <v>0</v>
      </c>
      <c r="L114" s="78">
        <v>-8.9300000000000004E-3</v>
      </c>
    </row>
    <row r="115" spans="7:12" x14ac:dyDescent="0.35">
      <c r="G115" s="2">
        <v>99</v>
      </c>
      <c r="H115" s="71">
        <v>0.2</v>
      </c>
      <c r="I115" s="70">
        <v>0</v>
      </c>
      <c r="J115" s="71">
        <v>0.2</v>
      </c>
      <c r="K115" s="70">
        <v>0</v>
      </c>
      <c r="L115" s="78">
        <v>-8.9300000000000004E-3</v>
      </c>
    </row>
    <row r="116" spans="7:12" x14ac:dyDescent="0.35">
      <c r="G116" s="2">
        <v>100</v>
      </c>
      <c r="H116" s="71">
        <v>0.2</v>
      </c>
      <c r="I116" s="70">
        <v>0</v>
      </c>
      <c r="J116" s="71">
        <v>0.2</v>
      </c>
      <c r="K116" s="70">
        <v>0</v>
      </c>
      <c r="L116" s="78">
        <v>-8.9300000000000004E-3</v>
      </c>
    </row>
    <row r="117" spans="7:12" x14ac:dyDescent="0.35">
      <c r="G117" s="2">
        <v>101</v>
      </c>
      <c r="H117" s="71">
        <v>0.2</v>
      </c>
      <c r="I117" s="70">
        <v>0</v>
      </c>
      <c r="J117" s="71">
        <v>0.2</v>
      </c>
      <c r="K117" s="70">
        <v>0</v>
      </c>
      <c r="L117" s="78">
        <v>-8.9300000000000004E-3</v>
      </c>
    </row>
    <row r="118" spans="7:12" x14ac:dyDescent="0.35">
      <c r="G118" s="2">
        <v>102</v>
      </c>
      <c r="H118" s="71">
        <v>0.2</v>
      </c>
      <c r="I118" s="70">
        <v>0</v>
      </c>
      <c r="J118" s="71">
        <v>0.2</v>
      </c>
      <c r="K118" s="70">
        <v>0</v>
      </c>
      <c r="L118" s="78">
        <v>-8.9300000000000004E-3</v>
      </c>
    </row>
    <row r="119" spans="7:12" x14ac:dyDescent="0.35">
      <c r="G119" s="2">
        <v>103</v>
      </c>
      <c r="H119" s="71">
        <v>0.2</v>
      </c>
      <c r="I119" s="70">
        <v>0</v>
      </c>
      <c r="J119" s="71">
        <v>0.2</v>
      </c>
      <c r="K119" s="70">
        <v>0</v>
      </c>
      <c r="L119" s="78">
        <v>-8.9300000000000004E-3</v>
      </c>
    </row>
    <row r="120" spans="7:12" x14ac:dyDescent="0.35">
      <c r="G120" s="2">
        <v>104</v>
      </c>
      <c r="H120" s="71">
        <v>0.2</v>
      </c>
      <c r="I120" s="70">
        <v>0</v>
      </c>
      <c r="J120" s="71">
        <v>0.2</v>
      </c>
      <c r="K120" s="70">
        <v>0</v>
      </c>
      <c r="L120" s="78">
        <v>-8.9300000000000004E-3</v>
      </c>
    </row>
    <row r="121" spans="7:12" x14ac:dyDescent="0.35">
      <c r="G121" s="2">
        <v>105</v>
      </c>
      <c r="H121" s="71">
        <v>0.2</v>
      </c>
      <c r="I121" s="70">
        <v>0</v>
      </c>
      <c r="J121" s="71">
        <v>0.2</v>
      </c>
      <c r="K121" s="70">
        <v>0</v>
      </c>
      <c r="L121" s="78">
        <v>-8.9300000000000004E-3</v>
      </c>
    </row>
    <row r="122" spans="7:12" x14ac:dyDescent="0.35">
      <c r="G122" s="2">
        <v>106</v>
      </c>
      <c r="H122" s="71">
        <v>0.2</v>
      </c>
      <c r="I122" s="70">
        <v>0</v>
      </c>
      <c r="J122" s="71">
        <v>0.2</v>
      </c>
      <c r="K122" s="70">
        <v>0</v>
      </c>
      <c r="L122" s="78">
        <v>-8.9300000000000004E-3</v>
      </c>
    </row>
    <row r="123" spans="7:12" x14ac:dyDescent="0.35">
      <c r="G123" s="2">
        <v>107</v>
      </c>
      <c r="H123" s="71">
        <v>0.2</v>
      </c>
      <c r="I123" s="70">
        <v>0</v>
      </c>
      <c r="J123" s="71">
        <v>0.2</v>
      </c>
      <c r="K123" s="70">
        <v>0</v>
      </c>
      <c r="L123" s="78">
        <v>-8.9300000000000004E-3</v>
      </c>
    </row>
    <row r="124" spans="7:12" x14ac:dyDescent="0.35">
      <c r="G124" s="2">
        <v>108</v>
      </c>
      <c r="H124" s="71">
        <v>0.2</v>
      </c>
      <c r="I124" s="70">
        <v>0</v>
      </c>
      <c r="J124" s="71">
        <v>0.2</v>
      </c>
      <c r="K124" s="70">
        <v>0</v>
      </c>
      <c r="L124" s="78">
        <v>-8.9300000000000004E-3</v>
      </c>
    </row>
    <row r="125" spans="7:12" x14ac:dyDescent="0.35">
      <c r="G125" s="2">
        <v>109</v>
      </c>
      <c r="H125" s="71">
        <v>0.2</v>
      </c>
      <c r="I125" s="70">
        <v>0</v>
      </c>
      <c r="J125" s="71">
        <v>0.2</v>
      </c>
      <c r="K125" s="70">
        <v>0</v>
      </c>
      <c r="L125" s="78">
        <v>-8.9300000000000004E-3</v>
      </c>
    </row>
    <row r="126" spans="7:12" x14ac:dyDescent="0.35">
      <c r="G126" s="2">
        <v>110</v>
      </c>
      <c r="H126" s="71">
        <v>0.2</v>
      </c>
      <c r="I126" s="70">
        <v>0</v>
      </c>
      <c r="J126" s="71">
        <v>0.2</v>
      </c>
      <c r="K126" s="70">
        <v>0</v>
      </c>
      <c r="L126" s="78">
        <v>-8.9300000000000004E-3</v>
      </c>
    </row>
    <row r="127" spans="7:12" x14ac:dyDescent="0.35">
      <c r="G127" s="2">
        <v>111</v>
      </c>
      <c r="H127" s="71">
        <v>0.2</v>
      </c>
      <c r="I127" s="70">
        <v>0</v>
      </c>
      <c r="J127" s="71">
        <v>0.2</v>
      </c>
      <c r="K127" s="70">
        <v>0</v>
      </c>
      <c r="L127" s="78">
        <v>-8.9300000000000004E-3</v>
      </c>
    </row>
    <row r="128" spans="7:12" x14ac:dyDescent="0.35">
      <c r="G128" s="2">
        <v>112</v>
      </c>
      <c r="H128" s="71">
        <v>0.2</v>
      </c>
      <c r="I128" s="70">
        <v>0</v>
      </c>
      <c r="J128" s="71">
        <v>0.2</v>
      </c>
      <c r="K128" s="70">
        <v>0</v>
      </c>
      <c r="L128" s="78">
        <v>-8.9300000000000004E-3</v>
      </c>
    </row>
    <row r="129" spans="7:12" x14ac:dyDescent="0.35">
      <c r="G129" s="2">
        <v>113</v>
      </c>
      <c r="H129" s="71">
        <v>0.2</v>
      </c>
      <c r="I129" s="70">
        <v>0</v>
      </c>
      <c r="J129" s="71">
        <v>0.2</v>
      </c>
      <c r="K129" s="70">
        <v>0</v>
      </c>
      <c r="L129" s="78">
        <v>-8.9300000000000004E-3</v>
      </c>
    </row>
    <row r="130" spans="7:12" x14ac:dyDescent="0.35">
      <c r="G130" s="2">
        <v>114</v>
      </c>
      <c r="H130" s="71">
        <v>0.2</v>
      </c>
      <c r="I130" s="70">
        <v>0</v>
      </c>
      <c r="J130" s="71">
        <v>0.2</v>
      </c>
      <c r="K130" s="70">
        <v>0</v>
      </c>
      <c r="L130" s="78">
        <v>-8.9300000000000004E-3</v>
      </c>
    </row>
    <row r="131" spans="7:12" x14ac:dyDescent="0.35">
      <c r="G131" s="2">
        <v>115</v>
      </c>
      <c r="H131" s="71">
        <v>0.2</v>
      </c>
      <c r="I131" s="70">
        <v>0</v>
      </c>
      <c r="J131" s="71">
        <v>0.2</v>
      </c>
      <c r="K131" s="70">
        <v>0</v>
      </c>
      <c r="L131" s="78">
        <v>-8.9300000000000004E-3</v>
      </c>
    </row>
    <row r="132" spans="7:12" x14ac:dyDescent="0.35">
      <c r="G132" s="2">
        <v>116</v>
      </c>
      <c r="H132" s="71">
        <v>0.2</v>
      </c>
      <c r="I132" s="70">
        <v>0</v>
      </c>
      <c r="J132" s="71">
        <v>0.2</v>
      </c>
      <c r="K132" s="70">
        <v>0</v>
      </c>
      <c r="L132" s="78">
        <v>-8.9300000000000004E-3</v>
      </c>
    </row>
    <row r="133" spans="7:12" x14ac:dyDescent="0.35">
      <c r="G133" s="2">
        <v>117</v>
      </c>
      <c r="H133" s="71">
        <v>0.2</v>
      </c>
      <c r="I133" s="70">
        <v>0</v>
      </c>
      <c r="J133" s="71">
        <v>0.2</v>
      </c>
      <c r="K133" s="70">
        <v>0</v>
      </c>
      <c r="L133" s="78">
        <v>-8.9300000000000004E-3</v>
      </c>
    </row>
    <row r="134" spans="7:12" x14ac:dyDescent="0.35">
      <c r="G134" s="2">
        <v>118</v>
      </c>
      <c r="H134" s="71">
        <v>0.2</v>
      </c>
      <c r="I134" s="70">
        <v>0</v>
      </c>
      <c r="J134" s="71">
        <v>0.2</v>
      </c>
      <c r="K134" s="70">
        <v>0</v>
      </c>
      <c r="L134" s="78">
        <v>-8.9300000000000004E-3</v>
      </c>
    </row>
    <row r="135" spans="7:12" x14ac:dyDescent="0.35">
      <c r="G135" s="2">
        <v>119</v>
      </c>
      <c r="H135" s="71">
        <v>0.2</v>
      </c>
      <c r="I135" s="70">
        <v>0</v>
      </c>
      <c r="J135" s="71">
        <v>0.2</v>
      </c>
      <c r="K135" s="70">
        <v>0</v>
      </c>
      <c r="L135" s="78">
        <v>-8.9300000000000004E-3</v>
      </c>
    </row>
    <row r="136" spans="7:12" x14ac:dyDescent="0.35">
      <c r="G136" s="2">
        <v>120</v>
      </c>
      <c r="H136" s="71">
        <v>0.2</v>
      </c>
      <c r="I136" s="70">
        <v>0</v>
      </c>
      <c r="J136" s="71">
        <v>0.2</v>
      </c>
      <c r="K136" s="70">
        <v>0</v>
      </c>
      <c r="L136" s="78">
        <v>-8.9300000000000004E-3</v>
      </c>
    </row>
    <row r="137" spans="7:12" x14ac:dyDescent="0.35">
      <c r="G137" s="2">
        <v>121</v>
      </c>
      <c r="H137" s="71">
        <v>0.2</v>
      </c>
      <c r="I137" s="70">
        <v>0</v>
      </c>
      <c r="J137" s="71">
        <v>0.2</v>
      </c>
      <c r="K137" s="70">
        <v>0</v>
      </c>
      <c r="L137" s="78">
        <v>-8.9300000000000004E-3</v>
      </c>
    </row>
    <row r="138" spans="7:12" x14ac:dyDescent="0.35">
      <c r="G138" s="2">
        <v>122</v>
      </c>
      <c r="H138" s="71">
        <v>0.2</v>
      </c>
      <c r="I138" s="70">
        <v>0</v>
      </c>
      <c r="J138" s="71">
        <v>0.2</v>
      </c>
      <c r="K138" s="70">
        <v>0</v>
      </c>
      <c r="L138" s="78">
        <v>-8.9300000000000004E-3</v>
      </c>
    </row>
    <row r="139" spans="7:12" x14ac:dyDescent="0.35">
      <c r="G139" s="2">
        <v>123</v>
      </c>
      <c r="H139" s="71">
        <v>0.2</v>
      </c>
      <c r="I139" s="70">
        <v>0</v>
      </c>
      <c r="J139" s="71">
        <v>0.2</v>
      </c>
      <c r="K139" s="70">
        <v>0</v>
      </c>
      <c r="L139" s="78">
        <v>-8.9300000000000004E-3</v>
      </c>
    </row>
    <row r="140" spans="7:12" x14ac:dyDescent="0.35">
      <c r="G140" s="2">
        <v>124</v>
      </c>
      <c r="H140" s="71">
        <v>0.2</v>
      </c>
      <c r="I140" s="70">
        <v>0</v>
      </c>
      <c r="J140" s="71">
        <v>0.2</v>
      </c>
      <c r="K140" s="70">
        <v>0</v>
      </c>
      <c r="L140" s="78">
        <v>-8.9300000000000004E-3</v>
      </c>
    </row>
    <row r="141" spans="7:12" x14ac:dyDescent="0.35">
      <c r="G141" s="2">
        <v>125</v>
      </c>
      <c r="H141" s="71">
        <v>0.2</v>
      </c>
      <c r="I141" s="70">
        <v>0</v>
      </c>
      <c r="J141" s="71">
        <v>0.2</v>
      </c>
      <c r="K141" s="70">
        <v>0</v>
      </c>
      <c r="L141" s="78">
        <v>-8.9300000000000004E-3</v>
      </c>
    </row>
    <row r="142" spans="7:12" x14ac:dyDescent="0.35">
      <c r="G142" s="2">
        <v>126</v>
      </c>
      <c r="H142" s="71">
        <v>0.2</v>
      </c>
      <c r="I142" s="70">
        <v>0</v>
      </c>
      <c r="J142" s="71">
        <v>0.2</v>
      </c>
      <c r="K142" s="70">
        <v>0</v>
      </c>
      <c r="L142" s="78">
        <v>-8.9300000000000004E-3</v>
      </c>
    </row>
    <row r="143" spans="7:12" x14ac:dyDescent="0.35">
      <c r="G143" s="2">
        <v>127</v>
      </c>
      <c r="H143" s="71">
        <v>0.2</v>
      </c>
      <c r="I143" s="70">
        <v>0</v>
      </c>
      <c r="J143" s="71">
        <v>0.2</v>
      </c>
      <c r="K143" s="70">
        <v>0</v>
      </c>
      <c r="L143" s="78">
        <v>-8.9300000000000004E-3</v>
      </c>
    </row>
    <row r="144" spans="7:12" x14ac:dyDescent="0.35">
      <c r="G144" s="2">
        <v>128</v>
      </c>
      <c r="H144" s="71">
        <v>0.2</v>
      </c>
      <c r="I144" s="70">
        <v>0</v>
      </c>
      <c r="J144" s="71">
        <v>0.2</v>
      </c>
      <c r="K144" s="70">
        <v>0</v>
      </c>
      <c r="L144" s="78">
        <v>-8.9300000000000004E-3</v>
      </c>
    </row>
    <row r="145" spans="7:12" x14ac:dyDescent="0.35">
      <c r="G145" s="2">
        <v>129</v>
      </c>
      <c r="H145" s="71">
        <v>0.2</v>
      </c>
      <c r="I145" s="70">
        <v>0</v>
      </c>
      <c r="J145" s="71">
        <v>0.2</v>
      </c>
      <c r="K145" s="70">
        <v>0</v>
      </c>
      <c r="L145" s="78">
        <v>-8.9300000000000004E-3</v>
      </c>
    </row>
    <row r="146" spans="7:12" x14ac:dyDescent="0.35">
      <c r="G146" s="2">
        <v>130</v>
      </c>
      <c r="H146" s="71">
        <v>0.2</v>
      </c>
      <c r="I146" s="70">
        <v>0</v>
      </c>
      <c r="J146" s="71">
        <v>0.2</v>
      </c>
      <c r="K146" s="70">
        <v>0</v>
      </c>
      <c r="L146" s="78">
        <v>-8.9300000000000004E-3</v>
      </c>
    </row>
    <row r="147" spans="7:12" x14ac:dyDescent="0.35">
      <c r="G147" s="2">
        <v>131</v>
      </c>
      <c r="H147" s="71">
        <v>0.2</v>
      </c>
      <c r="I147" s="70">
        <v>0</v>
      </c>
      <c r="J147" s="71">
        <v>0.2</v>
      </c>
      <c r="K147" s="70">
        <v>0</v>
      </c>
      <c r="L147" s="78">
        <v>-8.9300000000000004E-3</v>
      </c>
    </row>
    <row r="148" spans="7:12" x14ac:dyDescent="0.35">
      <c r="G148" s="2">
        <v>132</v>
      </c>
      <c r="H148" s="71">
        <v>0.2</v>
      </c>
      <c r="I148" s="70">
        <v>0</v>
      </c>
      <c r="J148" s="71">
        <v>0.2</v>
      </c>
      <c r="K148" s="70">
        <v>0</v>
      </c>
      <c r="L148" s="78">
        <v>-8.9300000000000004E-3</v>
      </c>
    </row>
    <row r="149" spans="7:12" x14ac:dyDescent="0.35">
      <c r="G149" s="2">
        <v>133</v>
      </c>
      <c r="H149" s="71">
        <v>0.2</v>
      </c>
      <c r="I149" s="70">
        <v>0</v>
      </c>
      <c r="J149" s="71">
        <v>0.2</v>
      </c>
      <c r="K149" s="70">
        <v>0</v>
      </c>
      <c r="L149" s="78">
        <v>-8.9300000000000004E-3</v>
      </c>
    </row>
    <row r="150" spans="7:12" x14ac:dyDescent="0.35">
      <c r="G150" s="2">
        <v>134</v>
      </c>
      <c r="H150" s="71">
        <v>0.2</v>
      </c>
      <c r="I150" s="70">
        <v>0</v>
      </c>
      <c r="J150" s="71">
        <v>0.2</v>
      </c>
      <c r="K150" s="70">
        <v>0</v>
      </c>
      <c r="L150" s="78">
        <v>-8.9300000000000004E-3</v>
      </c>
    </row>
    <row r="151" spans="7:12" x14ac:dyDescent="0.35">
      <c r="G151" s="2">
        <v>135</v>
      </c>
      <c r="H151" s="71">
        <v>0.2</v>
      </c>
      <c r="I151" s="70">
        <v>0</v>
      </c>
      <c r="J151" s="71">
        <v>0.2</v>
      </c>
      <c r="K151" s="70">
        <v>0</v>
      </c>
      <c r="L151" s="78">
        <v>-8.9300000000000004E-3</v>
      </c>
    </row>
    <row r="152" spans="7:12" x14ac:dyDescent="0.35">
      <c r="G152" s="2">
        <v>136</v>
      </c>
      <c r="H152" s="71">
        <v>0.2</v>
      </c>
      <c r="I152" s="70">
        <v>0</v>
      </c>
      <c r="J152" s="71">
        <v>0.2</v>
      </c>
      <c r="K152" s="70">
        <v>0</v>
      </c>
      <c r="L152" s="78">
        <v>-8.9300000000000004E-3</v>
      </c>
    </row>
    <row r="153" spans="7:12" x14ac:dyDescent="0.35">
      <c r="G153" s="2">
        <v>137</v>
      </c>
      <c r="H153" s="71">
        <v>0.2</v>
      </c>
      <c r="I153" s="70">
        <v>0</v>
      </c>
      <c r="J153" s="71">
        <v>0.2</v>
      </c>
      <c r="K153" s="70">
        <v>0</v>
      </c>
      <c r="L153" s="78">
        <v>-8.9300000000000004E-3</v>
      </c>
    </row>
    <row r="154" spans="7:12" x14ac:dyDescent="0.35">
      <c r="G154" s="2">
        <v>138</v>
      </c>
      <c r="H154" s="71">
        <v>0.2</v>
      </c>
      <c r="I154" s="70">
        <v>0</v>
      </c>
      <c r="J154" s="71">
        <v>0.2</v>
      </c>
      <c r="K154" s="70">
        <v>0</v>
      </c>
      <c r="L154" s="78">
        <v>-8.9300000000000004E-3</v>
      </c>
    </row>
    <row r="155" spans="7:12" x14ac:dyDescent="0.35">
      <c r="G155" s="2">
        <v>139</v>
      </c>
      <c r="H155" s="71">
        <v>0.2</v>
      </c>
      <c r="I155" s="70">
        <v>0</v>
      </c>
      <c r="J155" s="71">
        <v>0.2</v>
      </c>
      <c r="K155" s="70">
        <v>0</v>
      </c>
      <c r="L155" s="78">
        <v>-8.9300000000000004E-3</v>
      </c>
    </row>
    <row r="156" spans="7:12" x14ac:dyDescent="0.35">
      <c r="G156" s="2">
        <v>140</v>
      </c>
      <c r="H156" s="71">
        <v>0.2</v>
      </c>
      <c r="I156" s="70">
        <v>0</v>
      </c>
      <c r="J156" s="71">
        <v>0.2</v>
      </c>
      <c r="K156" s="70">
        <v>0</v>
      </c>
      <c r="L156" s="78">
        <v>-8.9300000000000004E-3</v>
      </c>
    </row>
    <row r="157" spans="7:12" x14ac:dyDescent="0.35">
      <c r="G157" s="2">
        <v>141</v>
      </c>
      <c r="H157" s="71">
        <v>0.2</v>
      </c>
      <c r="I157" s="70">
        <v>0</v>
      </c>
      <c r="J157" s="71">
        <v>0.2</v>
      </c>
      <c r="K157" s="70">
        <v>0</v>
      </c>
      <c r="L157" s="78">
        <v>-8.9300000000000004E-3</v>
      </c>
    </row>
    <row r="158" spans="7:12" x14ac:dyDescent="0.35">
      <c r="G158" s="2">
        <v>142</v>
      </c>
      <c r="H158" s="71">
        <v>0.2</v>
      </c>
      <c r="I158" s="70">
        <v>0</v>
      </c>
      <c r="J158" s="71">
        <v>0.2</v>
      </c>
      <c r="K158" s="70">
        <v>0</v>
      </c>
      <c r="L158" s="78">
        <v>-8.9300000000000004E-3</v>
      </c>
    </row>
    <row r="159" spans="7:12" x14ac:dyDescent="0.35">
      <c r="G159" s="2">
        <v>143</v>
      </c>
      <c r="H159" s="71">
        <v>0.2</v>
      </c>
      <c r="I159" s="70">
        <v>0</v>
      </c>
      <c r="J159" s="71">
        <v>0.2</v>
      </c>
      <c r="K159" s="70">
        <v>0</v>
      </c>
      <c r="L159" s="78">
        <v>-8.9300000000000004E-3</v>
      </c>
    </row>
    <row r="160" spans="7:12" x14ac:dyDescent="0.35">
      <c r="G160" s="2">
        <v>144</v>
      </c>
      <c r="H160" s="71">
        <v>0.2</v>
      </c>
      <c r="I160" s="70">
        <v>0</v>
      </c>
      <c r="J160" s="71">
        <v>0.2</v>
      </c>
      <c r="K160" s="70">
        <v>0</v>
      </c>
      <c r="L160" s="78">
        <v>-8.9300000000000004E-3</v>
      </c>
    </row>
    <row r="161" spans="7:12" x14ac:dyDescent="0.35">
      <c r="G161" s="2">
        <v>145</v>
      </c>
      <c r="H161" s="71">
        <v>0.2</v>
      </c>
      <c r="I161" s="70">
        <v>0</v>
      </c>
      <c r="J161" s="71">
        <v>0.2</v>
      </c>
      <c r="K161" s="70">
        <v>0</v>
      </c>
      <c r="L161" s="78">
        <v>-8.9300000000000004E-3</v>
      </c>
    </row>
    <row r="162" spans="7:12" x14ac:dyDescent="0.35">
      <c r="G162" s="2">
        <v>146</v>
      </c>
      <c r="H162" s="71">
        <v>0.2</v>
      </c>
      <c r="I162" s="70">
        <v>0</v>
      </c>
      <c r="J162" s="71">
        <v>0.2</v>
      </c>
      <c r="K162" s="70">
        <v>0</v>
      </c>
      <c r="L162" s="78">
        <v>-8.9300000000000004E-3</v>
      </c>
    </row>
    <row r="163" spans="7:12" x14ac:dyDescent="0.35">
      <c r="G163" s="2">
        <v>147</v>
      </c>
      <c r="H163" s="71">
        <v>0.2</v>
      </c>
      <c r="I163" s="70">
        <v>0</v>
      </c>
      <c r="J163" s="71">
        <v>0.2</v>
      </c>
      <c r="K163" s="70">
        <v>0</v>
      </c>
      <c r="L163" s="78">
        <v>-8.9300000000000004E-3</v>
      </c>
    </row>
    <row r="164" spans="7:12" x14ac:dyDescent="0.35">
      <c r="G164" s="2">
        <v>148</v>
      </c>
      <c r="H164" s="71">
        <v>0.2</v>
      </c>
      <c r="I164" s="70">
        <v>0</v>
      </c>
      <c r="J164" s="71">
        <v>0.2</v>
      </c>
      <c r="K164" s="70">
        <v>0</v>
      </c>
      <c r="L164" s="78">
        <v>-8.9300000000000004E-3</v>
      </c>
    </row>
    <row r="165" spans="7:12" x14ac:dyDescent="0.35">
      <c r="G165" s="2">
        <v>149</v>
      </c>
      <c r="H165" s="71">
        <v>0.2</v>
      </c>
      <c r="I165" s="70">
        <v>0</v>
      </c>
      <c r="J165" s="71">
        <v>0.2</v>
      </c>
      <c r="K165" s="70">
        <v>0</v>
      </c>
      <c r="L165" s="78">
        <v>-8.9300000000000004E-3</v>
      </c>
    </row>
    <row r="166" spans="7:12" x14ac:dyDescent="0.35">
      <c r="G166" s="2">
        <v>150</v>
      </c>
      <c r="H166" s="71">
        <v>0.2</v>
      </c>
      <c r="I166" s="70">
        <v>0</v>
      </c>
      <c r="J166" s="71">
        <v>0.2</v>
      </c>
      <c r="K166" s="70">
        <v>0</v>
      </c>
      <c r="L166" s="78">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3.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4.xml><?xml version="1.0" encoding="utf-8"?>
<?mso-contentType ?>
<FormTemplates xmlns="http://schemas.microsoft.com/sharepoint/v3/contenttype/forms">
  <Display>NFListDisplayForm</Display>
  <Edit>NFListEditForm</Edit>
  <New>NFListEditForm</New>
</FormTemplates>
</file>

<file path=customXml/item5.xml><?xml version="1.0" encoding="utf-8"?>
<?mso-contentType ?>
<FormTemplates>
  <Display>DocumentLibraryForm</Display>
  <Edit>DocumentLibraryForm</Edit>
  <New>DocumentLibraryForm</New>
  <MobileDisplayFormUrl/>
  <MobileEditFormUrl/>
  <MobileNewFormUrl/>
</FormTemplates>
</file>

<file path=customXml/item6.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Props1.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4.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5.xml><?xml version="1.0" encoding="utf-8"?>
<ds:datastoreItem xmlns:ds="http://schemas.openxmlformats.org/officeDocument/2006/customXml" ds:itemID="{936CC846-DB8B-493B-9453-657DF7E2256C}">
  <ds:schemaRefs/>
</ds:datastoreItem>
</file>

<file path=customXml/itemProps6.xml><?xml version="1.0" encoding="utf-8"?>
<ds:datastoreItem xmlns:ds="http://schemas.openxmlformats.org/officeDocument/2006/customXml" ds:itemID="{8AA40518-B981-4433-A2ED-65B1E2122910}">
  <ds:schemaRefs>
    <ds:schemaRef ds:uri="http://schemas.microsoft.com/sharepoint/v3/contenttype/forms/url"/>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2026-10-27T10:15:38Z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