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6d20085048815992/Desktop/EIOPA_RFR/"/>
    </mc:Choice>
  </mc:AlternateContent>
  <xr:revisionPtr revIDLastSave="7" documentId="8_{E00728B7-6ED5-4542-88DB-7B9E6EF32F3B}" xr6:coauthVersionLast="47" xr6:coauthVersionMax="47" xr10:uidLastSave="{861B3708-08D5-46D8-88D1-79A6BDDE2F3C}"/>
  <bookViews>
    <workbookView minimized="1" xWindow="3420" yWindow="3420" windowWidth="19200" windowHeight="11170" tabRatio="672" activeTab="3" xr2:uid="{6CAF9AE4-FA53-4C4E-BCE7-B8BC85A1533A}"/>
  </bookViews>
  <sheets>
    <sheet name="Overview" sheetId="1" r:id="rId1"/>
    <sheet name="Input Data &amp; Extrapolation" sheetId="4" r:id="rId2"/>
    <sheet name="CSSR Calculation" sheetId="5" r:id="rId3"/>
    <sheet name="VA Term Structures" sheetId="6" r:id="rId4"/>
    <sheet name="IRR Up Shock" sheetId="11" r:id="rId5"/>
    <sheet name="IRR Down Shock" sheetId="12" r:id="rId6"/>
    <sheet name="Disclaimer" sheetId="7" r:id="rId7"/>
    <sheet name="Parameters" sheetId="10" state="hidden" r:id="rId8"/>
  </sheets>
  <functionGroups builtInGroupCount="19"/>
  <definedNames>
    <definedName name="_xleta.MIN" hidden="1" xlm="1">#NAME?</definedName>
    <definedName name="_xleta.PRODUCT" hidden="1" xlm="1">#NAME?</definedName>
    <definedName name="_xlpm.bm" hidden="1" xlm="1">#NAME?</definedName>
    <definedName name="_xlpm.bm_d" hidden="1" xlm="1">#NAME?</definedName>
    <definedName name="_xlpm.bm_do" hidden="1" xlm="1">#NAME?</definedName>
    <definedName name="_xlpm.bm_dow" hidden="1" xlm="1">#NAME?</definedName>
    <definedName name="_xlpm.bm_down" hidden="1" xlm="1">#NAME?</definedName>
    <definedName name="_xlpm.bm_up" hidden="1" xlm="1">#NAME?</definedName>
    <definedName name="_xlpm.FIRST_LLFR_FORWARD" hidden="1" xlm="1">#NAME?</definedName>
    <definedName name="_xlpm.FIRST_LLFR_WEIGHT" hidden="1" xlm="1">#NAME?</definedName>
    <definedName name="_xlpm.LLP" hidden="1" xlm="1">#NAME?</definedName>
    <definedName name="_xlpm.m" hidden="1" xlm="1">#NAME?</definedName>
    <definedName name="_xlpm.msm" hidden="1" xlm="1">#NAME?</definedName>
    <definedName name="_xlpm.r" hidden="1" xlm="1">#NAME?</definedName>
    <definedName name="_xlpm.rf" hidden="1" xlm="1">#NAME?</definedName>
    <definedName name="_xlpm.rfr" hidden="1" xlm="1">#NAME?</definedName>
    <definedName name="_xlpm.SHOCK" hidden="1" xlm="1">#NAME?</definedName>
    <definedName name="_xlpm.sm" hidden="1" xlm="1">#NAME?</definedName>
    <definedName name="_xlpm.sm_d" hidden="1" xlm="1">#NAME?</definedName>
    <definedName name="_xlpm.sm_do" hidden="1" xlm="1">#NAME?</definedName>
    <definedName name="_xlpm.sm_dow" hidden="1" xlm="1">#NAME?</definedName>
    <definedName name="_xlpm.sm_down" hidden="1" xlm="1">#NAME?</definedName>
    <definedName name="_xlpm.sm_up" hidden="1" xlm="1">#NAME?</definedName>
    <definedName name="_xlpm.smu" hidden="1" xlm="1">#NAME?</definedName>
    <definedName name="_xlpm.smup" hidden="1" xlm="1">#NAME?</definedName>
    <definedName name="L.BOOL">Parameters!$H$9:$H$10</definedName>
    <definedName name="L.INSTRUMENT">Parameters!$G$9:$G$10</definedName>
    <definedName name="R.BASECURVE">'Input Data &amp; Extrapolation'!$J$25:$J$174</definedName>
    <definedName name="R.BASIC_RFR">'Input Data &amp; Extrapolation'!$L$25:$L$174</definedName>
    <definedName name="R.BOOTSTRAPPED_CURVE">'Input Data &amp; Extrapolation'!$K$25:$K$174</definedName>
    <definedName name="R.DLT">'Input Data &amp; Extrapolation'!$H$25:$H$174</definedName>
    <definedName name="R.FORWARDS_CC">'CSSR Calculation'!$J$24:$J$173</definedName>
    <definedName name="R.FWD_CURVE">'VA Term Structures'!$J$23:$J$172</definedName>
    <definedName name="R.FWD_VA_CURVE">'VA Term Structures'!$K$23:$K$172</definedName>
    <definedName name="R.IRR_BM_DOWN">Parameters!$K$17:$K$166</definedName>
    <definedName name="R.IRR_BM_UP">Parameters!$I$17:$I$166</definedName>
    <definedName name="R.IRR_SHOCK_DOWN_CC">'IRR Down Shock'!$K$22:$K$171</definedName>
    <definedName name="R.IRR_SHOCK_UP_CC">'IRR Up Shock'!$K$22:$K$171</definedName>
    <definedName name="R.IRR_SM_DOWN">Parameters!$J$17:$J$166</definedName>
    <definedName name="R.IRR_SM_UP">Parameters!$H$17:$H$166</definedName>
    <definedName name="R.LLFR_WEIGHTS">'Input Data &amp; Extrapolation'!$I$25:$I$174</definedName>
    <definedName name="R.MATURITY">'Input Data &amp; Extrapolation'!$G$25:$G$174</definedName>
    <definedName name="R.NOTIONAL_VA_CURVE">'CSSR Calculation'!$K$24:$K$173</definedName>
    <definedName name="R.RFR_PLUS_TOTAL_VA_CURVE">'VA Term Structures'!$I$23:$I$172</definedName>
    <definedName name="R.RM_FLOOR">Parameters!$L$17:$L$166</definedName>
    <definedName name="R.VA_CURVE">'VA Term Structures'!$L$23:$L$172</definedName>
    <definedName name="V.ALPHA">'Input Data &amp; Extrapolation'!$H$15</definedName>
    <definedName name="V.BEL">'CSSR Calculation'!$L$13</definedName>
    <definedName name="V.BEL_NOTIONAL">'CSSR Calculation'!$L$14</definedName>
    <definedName name="V.COPYRIGHT">Parameters!$M$3</definedName>
    <definedName name="V.COUPON_FREQ">'Input Data &amp; Extrapolation'!$H$12</definedName>
    <definedName name="V.CRA">'Input Data &amp; Extrapolation'!$H$16</definedName>
    <definedName name="V.CSSR">'CSSR Calculation'!$L$16</definedName>
    <definedName name="V.CURRENCY_VA">'VA Term Structures'!$L$10</definedName>
    <definedName name="V.DTTA">'Input Data &amp; Extrapolation'!$L$12</definedName>
    <definedName name="V.EXTRAPOLATION_SELECTED">'Input Data &amp; Extrapolation'!$H$10</definedName>
    <definedName name="V.FSP">'Input Data &amp; Extrapolation'!$H$13</definedName>
    <definedName name="V.INPUT_LLFR">'Input Data &amp; Extrapolation'!$H$17</definedName>
    <definedName name="V.INSTRUMENT">'Input Data &amp; Extrapolation'!$H$11</definedName>
    <definedName name="V.LLFR">'Input Data &amp; Extrapolation'!$L$22</definedName>
    <definedName name="V.LLFR_IRR_DOWN">'IRR Down Shock'!$K$19</definedName>
    <definedName name="V.LLFR_IRR_UP">'IRR Up Shock'!$L$19</definedName>
    <definedName name="V.LLFR_STAR_IRR_DOWN">'IRR Down Shock'!$N$19</definedName>
    <definedName name="V.LLFR_STAR_IRR_UP">'IRR Up Shock'!$O$19</definedName>
    <definedName name="V.LLFR_SUM_ERROR">'Input Data &amp; Extrapolation'!$I$22</definedName>
    <definedName name="V.MACRO_VA">'VA Term Structures'!$L$12</definedName>
    <definedName name="V.MACROVA_SELECTED">'VA Term Structures'!$H$10</definedName>
    <definedName name="V.MVFI">'CSSR Calculation'!$L$10</definedName>
    <definedName name="V.MVFI_NOTIONAL">'CSSR Calculation'!$L$11</definedName>
    <definedName name="V.NOTIONAL_VA">'CSSR Calculation'!$H$10</definedName>
    <definedName name="V.NOTIONAL_VA_LLFR">'CSSR Calculation'!$K$20</definedName>
    <definedName name="V.PVBP_BEL">'CSSR Calculation'!$L$15</definedName>
    <definedName name="V.PVBP_MVFI">'CSSR Calculation'!$L$12</definedName>
    <definedName name="V.RCS_CO">'Input Data &amp; Extrapolation'!$L$11</definedName>
    <definedName name="V.RCS_CU">'Input Data &amp; Extrapolation'!$L$10</definedName>
    <definedName name="V.TOTAL_VA">'VA Term Structures'!$L$13</definedName>
    <definedName name="V.TOTAL_VA_LLFR">'VA Term Structures'!$K$20</definedName>
    <definedName name="V.UFR">'Input Data &amp; Extrapolation'!$H$14</definedName>
    <definedName name="V.UFR_DOWN">'IRR Down Shock'!$H$11</definedName>
    <definedName name="V.UFR_UP">'IRR Up Shock'!$H$11</definedName>
    <definedName name="V.USA">'VA Term Structures'!$H$12</definedName>
    <definedName name="V.USA_SELECTED">'VA Term Structures'!$H$11</definedName>
    <definedName name="V.W_CO">'VA Term Structures'!$L$11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3" i="6" l="1"/>
  <c r="H10" i="5"/>
  <c r="L11" i="6" l="1"/>
  <c r="J55" i="4" l="1"/>
  <c r="H11" i="12"/>
  <c r="H22" i="12" a="1"/>
  <c r="H22" i="12" s="1"/>
  <c r="H22" i="11" a="1"/>
  <c r="H22" i="11" s="1"/>
  <c r="H11" i="11"/>
  <c r="H10" i="11"/>
  <c r="H10" i="12"/>
  <c r="I22" i="12" a="1"/>
  <c r="I22" i="11" a="1"/>
  <c r="J35" i="12" l="1" a="1"/>
  <c r="J35" i="12" s="1"/>
  <c r="J50" i="12" a="1"/>
  <c r="J50" i="12" s="1"/>
  <c r="J66" i="12" a="1"/>
  <c r="J66" i="12" s="1"/>
  <c r="J82" i="12" a="1"/>
  <c r="J82" i="12" s="1"/>
  <c r="J98" i="12" a="1"/>
  <c r="J98" i="12" s="1"/>
  <c r="J114" i="12" a="1"/>
  <c r="J114" i="12" s="1"/>
  <c r="J130" i="12" a="1"/>
  <c r="J130" i="12" s="1"/>
  <c r="J116" i="12" a="1"/>
  <c r="J116" i="12" s="1"/>
  <c r="J23" i="12" a="1"/>
  <c r="J23" i="12" s="1"/>
  <c r="J36" i="12" a="1"/>
  <c r="J36" i="12" s="1"/>
  <c r="J51" i="12" a="1"/>
  <c r="J51" i="12" s="1"/>
  <c r="J67" i="12" a="1"/>
  <c r="J67" i="12" s="1"/>
  <c r="J83" i="12" a="1"/>
  <c r="J83" i="12" s="1"/>
  <c r="J99" i="12" a="1"/>
  <c r="J99" i="12" s="1"/>
  <c r="J115" i="12" a="1"/>
  <c r="J115" i="12" s="1"/>
  <c r="J131" i="12" a="1"/>
  <c r="J131" i="12" s="1"/>
  <c r="J147" i="12" a="1"/>
  <c r="J147" i="12" s="1"/>
  <c r="J163" i="12" a="1"/>
  <c r="J163" i="12" s="1"/>
  <c r="J118" i="12" a="1"/>
  <c r="J118" i="12" s="1"/>
  <c r="J24" i="12" a="1"/>
  <c r="J24" i="12" s="1"/>
  <c r="J37" i="12" a="1"/>
  <c r="J37" i="12" s="1"/>
  <c r="J52" i="12" a="1"/>
  <c r="J52" i="12" s="1"/>
  <c r="J68" i="12" a="1"/>
  <c r="J68" i="12" s="1"/>
  <c r="J148" i="12" a="1"/>
  <c r="J148" i="12" s="1"/>
  <c r="J89" i="12" a="1"/>
  <c r="J89" i="12" s="1"/>
  <c r="J38" i="12" a="1"/>
  <c r="J38" i="12" s="1"/>
  <c r="J53" i="12" a="1"/>
  <c r="J53" i="12" s="1"/>
  <c r="J69" i="12" a="1"/>
  <c r="J69" i="12" s="1"/>
  <c r="J85" i="12" a="1"/>
  <c r="J85" i="12" s="1"/>
  <c r="J101" i="12" a="1"/>
  <c r="J101" i="12" s="1"/>
  <c r="J117" i="12" a="1"/>
  <c r="J117" i="12" s="1"/>
  <c r="J133" i="12" a="1"/>
  <c r="J133" i="12" s="1"/>
  <c r="J149" i="12" a="1"/>
  <c r="J149" i="12" s="1"/>
  <c r="J165" i="12" a="1"/>
  <c r="J165" i="12" s="1"/>
  <c r="J25" i="12" a="1"/>
  <c r="J25" i="12" s="1"/>
  <c r="J26" i="12" a="1"/>
  <c r="J26" i="12" s="1"/>
  <c r="J40" i="12" a="1"/>
  <c r="J40" i="12" s="1"/>
  <c r="J55" i="12" a="1"/>
  <c r="J55" i="12" s="1"/>
  <c r="J71" i="12" a="1"/>
  <c r="J71" i="12" s="1"/>
  <c r="J87" i="12" a="1"/>
  <c r="J87" i="12" s="1"/>
  <c r="J103" i="12" a="1"/>
  <c r="J103" i="12" s="1"/>
  <c r="J119" i="12" a="1"/>
  <c r="J119" i="12" s="1"/>
  <c r="J135" i="12" a="1"/>
  <c r="J135" i="12" s="1"/>
  <c r="J151" i="12" a="1"/>
  <c r="J151" i="12" s="1"/>
  <c r="J167" i="12" a="1"/>
  <c r="J167" i="12" s="1"/>
  <c r="J27" i="12" a="1"/>
  <c r="J27" i="12" s="1"/>
  <c r="J56" i="12" a="1"/>
  <c r="J56" i="12" s="1"/>
  <c r="J72" i="12" a="1"/>
  <c r="J72" i="12" s="1"/>
  <c r="J88" i="12" a="1"/>
  <c r="J88" i="12" s="1"/>
  <c r="J104" i="12" a="1"/>
  <c r="J104" i="12" s="1"/>
  <c r="J120" i="12" a="1"/>
  <c r="J120" i="12" s="1"/>
  <c r="J136" i="12" a="1"/>
  <c r="J136" i="12" s="1"/>
  <c r="J152" i="12" a="1"/>
  <c r="J152" i="12" s="1"/>
  <c r="J168" i="12" a="1"/>
  <c r="J168" i="12" s="1"/>
  <c r="J28" i="12" a="1"/>
  <c r="J28" i="12" s="1"/>
  <c r="J42" i="12" a="1"/>
  <c r="J42" i="12" s="1"/>
  <c r="J58" i="12" a="1"/>
  <c r="J58" i="12" s="1"/>
  <c r="J74" i="12" a="1"/>
  <c r="J74" i="12" s="1"/>
  <c r="J90" i="12" a="1"/>
  <c r="J90" i="12" s="1"/>
  <c r="J106" i="12" a="1"/>
  <c r="J106" i="12" s="1"/>
  <c r="J122" i="12" a="1"/>
  <c r="J122" i="12" s="1"/>
  <c r="J138" i="12" a="1"/>
  <c r="J138" i="12" s="1"/>
  <c r="J154" i="12" a="1"/>
  <c r="J154" i="12" s="1"/>
  <c r="J170" i="12" a="1"/>
  <c r="J170" i="12" s="1"/>
  <c r="J97" i="12" a="1"/>
  <c r="J97" i="12" s="1"/>
  <c r="J161" i="12" a="1"/>
  <c r="J161" i="12" s="1"/>
  <c r="J132" i="12" a="1"/>
  <c r="J132" i="12" s="1"/>
  <c r="J134" i="12" a="1"/>
  <c r="J134" i="12" s="1"/>
  <c r="J73" i="12" a="1"/>
  <c r="J73" i="12" s="1"/>
  <c r="J29" i="12" a="1"/>
  <c r="J29" i="12" s="1"/>
  <c r="J43" i="12" a="1"/>
  <c r="J43" i="12" s="1"/>
  <c r="J59" i="12" a="1"/>
  <c r="J59" i="12" s="1"/>
  <c r="J75" i="12" a="1"/>
  <c r="J75" i="12" s="1"/>
  <c r="J91" i="12" a="1"/>
  <c r="J91" i="12" s="1"/>
  <c r="J107" i="12" a="1"/>
  <c r="J107" i="12" s="1"/>
  <c r="J123" i="12" a="1"/>
  <c r="J123" i="12" s="1"/>
  <c r="J139" i="12" a="1"/>
  <c r="J139" i="12" s="1"/>
  <c r="J155" i="12" a="1"/>
  <c r="J155" i="12" s="1"/>
  <c r="J171" i="12" a="1"/>
  <c r="J171" i="12" s="1"/>
  <c r="J145" i="12" a="1"/>
  <c r="J145" i="12" s="1"/>
  <c r="J100" i="12" a="1"/>
  <c r="J100" i="12" s="1"/>
  <c r="J150" i="12" a="1"/>
  <c r="J150" i="12" s="1"/>
  <c r="J41" i="12" a="1"/>
  <c r="J41" i="12" s="1"/>
  <c r="J30" i="12" a="1"/>
  <c r="J30" i="12" s="1"/>
  <c r="J44" i="12" a="1"/>
  <c r="J44" i="12" s="1"/>
  <c r="J60" i="12" a="1"/>
  <c r="J60" i="12" s="1"/>
  <c r="J76" i="12" a="1"/>
  <c r="J76" i="12" s="1"/>
  <c r="J92" i="12" a="1"/>
  <c r="J92" i="12" s="1"/>
  <c r="J108" i="12" a="1"/>
  <c r="J108" i="12" s="1"/>
  <c r="J124" i="12" a="1"/>
  <c r="J124" i="12" s="1"/>
  <c r="J140" i="12" a="1"/>
  <c r="J140" i="12" s="1"/>
  <c r="J156" i="12" a="1"/>
  <c r="J156" i="12" s="1"/>
  <c r="J146" i="12" a="1"/>
  <c r="J146" i="12" s="1"/>
  <c r="J102" i="12" a="1"/>
  <c r="J102" i="12" s="1"/>
  <c r="J153" i="12" a="1"/>
  <c r="J153" i="12" s="1"/>
  <c r="J31" i="12" a="1"/>
  <c r="J31" i="12" s="1"/>
  <c r="J45" i="12" a="1"/>
  <c r="J45" i="12" s="1"/>
  <c r="J61" i="12" a="1"/>
  <c r="J61" i="12" s="1"/>
  <c r="J77" i="12" a="1"/>
  <c r="J77" i="12" s="1"/>
  <c r="J93" i="12" a="1"/>
  <c r="J93" i="12" s="1"/>
  <c r="J109" i="12" a="1"/>
  <c r="J109" i="12" s="1"/>
  <c r="J125" i="12" a="1"/>
  <c r="J125" i="12" s="1"/>
  <c r="J141" i="12" a="1"/>
  <c r="J141" i="12" s="1"/>
  <c r="J157" i="12" a="1"/>
  <c r="J157" i="12" s="1"/>
  <c r="J113" i="12" a="1"/>
  <c r="J113" i="12" s="1"/>
  <c r="J39" i="12" a="1"/>
  <c r="J39" i="12" s="1"/>
  <c r="J137" i="12" a="1"/>
  <c r="J137" i="12" s="1"/>
  <c r="J32" i="12" a="1"/>
  <c r="J32" i="12" s="1"/>
  <c r="J46" i="12" a="1"/>
  <c r="J46" i="12" s="1"/>
  <c r="J62" i="12" a="1"/>
  <c r="J62" i="12" s="1"/>
  <c r="J78" i="12" a="1"/>
  <c r="J78" i="12" s="1"/>
  <c r="J94" i="12" a="1"/>
  <c r="J94" i="12" s="1"/>
  <c r="J110" i="12" a="1"/>
  <c r="J110" i="12" s="1"/>
  <c r="J126" i="12" a="1"/>
  <c r="J126" i="12" s="1"/>
  <c r="J142" i="12" a="1"/>
  <c r="J142" i="12" s="1"/>
  <c r="J158" i="12" a="1"/>
  <c r="J158" i="12" s="1"/>
  <c r="J129" i="12" a="1"/>
  <c r="J129" i="12" s="1"/>
  <c r="J164" i="12" a="1"/>
  <c r="J164" i="12" s="1"/>
  <c r="J166" i="12" a="1"/>
  <c r="J166" i="12" s="1"/>
  <c r="J121" i="12" a="1"/>
  <c r="J121" i="12" s="1"/>
  <c r="J47" i="12" a="1"/>
  <c r="J47" i="12" s="1"/>
  <c r="J63" i="12" a="1"/>
  <c r="J63" i="12" s="1"/>
  <c r="J79" i="12" a="1"/>
  <c r="J79" i="12" s="1"/>
  <c r="J95" i="12" a="1"/>
  <c r="J95" i="12" s="1"/>
  <c r="J111" i="12" a="1"/>
  <c r="J111" i="12" s="1"/>
  <c r="J127" i="12" a="1"/>
  <c r="J127" i="12" s="1"/>
  <c r="J143" i="12" a="1"/>
  <c r="J143" i="12" s="1"/>
  <c r="J159" i="12" a="1"/>
  <c r="J159" i="12" s="1"/>
  <c r="J162" i="12" a="1"/>
  <c r="J162" i="12" s="1"/>
  <c r="J86" i="12" a="1"/>
  <c r="J86" i="12" s="1"/>
  <c r="J169" i="12" a="1"/>
  <c r="J169" i="12" s="1"/>
  <c r="J33" i="12" a="1"/>
  <c r="J33" i="12" s="1"/>
  <c r="J48" i="12" a="1"/>
  <c r="J48" i="12" s="1"/>
  <c r="J64" i="12" a="1"/>
  <c r="J64" i="12" s="1"/>
  <c r="J80" i="12" a="1"/>
  <c r="J80" i="12" s="1"/>
  <c r="J96" i="12" a="1"/>
  <c r="J96" i="12" s="1"/>
  <c r="J112" i="12" a="1"/>
  <c r="J112" i="12" s="1"/>
  <c r="J128" i="12" a="1"/>
  <c r="J128" i="12" s="1"/>
  <c r="J144" i="12" a="1"/>
  <c r="J144" i="12" s="1"/>
  <c r="J160" i="12" a="1"/>
  <c r="J160" i="12" s="1"/>
  <c r="J65" i="12" a="1"/>
  <c r="J65" i="12" s="1"/>
  <c r="J84" i="12" a="1"/>
  <c r="J84" i="12" s="1"/>
  <c r="J70" i="12" a="1"/>
  <c r="J70" i="12" s="1"/>
  <c r="J57" i="12" a="1"/>
  <c r="J57" i="12" s="1"/>
  <c r="J34" i="12" a="1"/>
  <c r="J34" i="12" s="1"/>
  <c r="J49" i="12" a="1"/>
  <c r="J49" i="12" s="1"/>
  <c r="J81" i="12" a="1"/>
  <c r="J81" i="12" s="1"/>
  <c r="J54" i="12" a="1"/>
  <c r="J54" i="12" s="1"/>
  <c r="J105" i="12" a="1"/>
  <c r="J105" i="12" s="1"/>
  <c r="I22" i="12"/>
  <c r="J22" i="12" s="1" a="1"/>
  <c r="J22" i="12" s="1"/>
  <c r="I22" i="11"/>
  <c r="K68" i="10"/>
  <c r="K69" i="10"/>
  <c r="K70" i="10"/>
  <c r="K71" i="10"/>
  <c r="K72" i="10"/>
  <c r="K73" i="10"/>
  <c r="K74" i="10"/>
  <c r="K75" i="10"/>
  <c r="K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04" i="10"/>
  <c r="J105" i="10"/>
  <c r="J67" i="10"/>
  <c r="I68" i="10"/>
  <c r="I69" i="10"/>
  <c r="I70" i="10"/>
  <c r="I71" i="10"/>
  <c r="I72" i="10"/>
  <c r="I73" i="10"/>
  <c r="I74" i="10"/>
  <c r="I75" i="10"/>
  <c r="I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67" i="10"/>
  <c r="L25" i="10"/>
  <c r="L26" i="10"/>
  <c r="L27" i="10"/>
  <c r="L28" i="10"/>
  <c r="L29" i="10"/>
  <c r="L30" i="10"/>
  <c r="L31" i="10"/>
  <c r="L32" i="10"/>
  <c r="L33" i="10"/>
  <c r="L34" i="10"/>
  <c r="L35" i="10"/>
  <c r="L24" i="10"/>
  <c r="Q3" i="12"/>
  <c r="Q3" i="11"/>
  <c r="M3" i="1"/>
  <c r="M3" i="4"/>
  <c r="M3" i="5"/>
  <c r="M3" i="6"/>
  <c r="M3" i="7"/>
  <c r="J169" i="11" l="1" a="1"/>
  <c r="J169" i="11" s="1"/>
  <c r="K169" i="11" s="1"/>
  <c r="J165" i="11" a="1"/>
  <c r="J165" i="11" s="1"/>
  <c r="K165" i="11" s="1"/>
  <c r="J161" i="11" a="1"/>
  <c r="J161" i="11" s="1"/>
  <c r="K161" i="11" s="1"/>
  <c r="J157" i="11" a="1"/>
  <c r="J157" i="11" s="1"/>
  <c r="K157" i="11" s="1"/>
  <c r="J153" i="11" a="1"/>
  <c r="J153" i="11" s="1"/>
  <c r="K153" i="11" s="1"/>
  <c r="J149" i="11" a="1"/>
  <c r="J149" i="11" s="1"/>
  <c r="K149" i="11" s="1"/>
  <c r="J145" i="11" a="1"/>
  <c r="J145" i="11" s="1"/>
  <c r="K145" i="11" s="1"/>
  <c r="J141" i="11" a="1"/>
  <c r="J141" i="11" s="1"/>
  <c r="K141" i="11" s="1"/>
  <c r="J137" i="11" a="1"/>
  <c r="J137" i="11" s="1"/>
  <c r="K137" i="11" s="1"/>
  <c r="J133" i="11" a="1"/>
  <c r="J133" i="11" s="1"/>
  <c r="K133" i="11" s="1"/>
  <c r="J129" i="11" a="1"/>
  <c r="J129" i="11" s="1"/>
  <c r="K129" i="11" s="1"/>
  <c r="J125" i="11" a="1"/>
  <c r="J125" i="11" s="1"/>
  <c r="K125" i="11" s="1"/>
  <c r="J121" i="11" a="1"/>
  <c r="J121" i="11" s="1"/>
  <c r="K121" i="11" s="1"/>
  <c r="J70" i="11" a="1"/>
  <c r="J70" i="11" s="1"/>
  <c r="K70" i="11" s="1"/>
  <c r="J66" i="11" a="1"/>
  <c r="J66" i="11" s="1"/>
  <c r="K66" i="11" s="1"/>
  <c r="J62" i="11" a="1"/>
  <c r="J62" i="11" s="1"/>
  <c r="K62" i="11" s="1"/>
  <c r="J47" i="11" a="1"/>
  <c r="J47" i="11" s="1"/>
  <c r="K47" i="11" s="1"/>
  <c r="J40" i="11" a="1"/>
  <c r="J40" i="11" s="1"/>
  <c r="K40" i="11" s="1"/>
  <c r="J36" i="11" a="1"/>
  <c r="J36" i="11" s="1"/>
  <c r="K36" i="11" s="1"/>
  <c r="J33" i="11" a="1"/>
  <c r="J33" i="11" s="1"/>
  <c r="K33" i="11" s="1"/>
  <c r="J25" i="11" a="1"/>
  <c r="J25" i="11" s="1"/>
  <c r="K25" i="11" s="1"/>
  <c r="J170" i="11" a="1"/>
  <c r="J170" i="11" s="1"/>
  <c r="K170" i="11" s="1"/>
  <c r="J166" i="11" a="1"/>
  <c r="J166" i="11" s="1"/>
  <c r="K166" i="11" s="1"/>
  <c r="J162" i="11" a="1"/>
  <c r="J162" i="11" s="1"/>
  <c r="K162" i="11" s="1"/>
  <c r="J158" i="11" a="1"/>
  <c r="J158" i="11" s="1"/>
  <c r="K158" i="11" s="1"/>
  <c r="J154" i="11" a="1"/>
  <c r="J154" i="11" s="1"/>
  <c r="K154" i="11" s="1"/>
  <c r="J150" i="11" a="1"/>
  <c r="J150" i="11" s="1"/>
  <c r="K150" i="11" s="1"/>
  <c r="J146" i="11" a="1"/>
  <c r="J146" i="11" s="1"/>
  <c r="K146" i="11" s="1"/>
  <c r="J142" i="11" a="1"/>
  <c r="J142" i="11" s="1"/>
  <c r="K142" i="11" s="1"/>
  <c r="J138" i="11" a="1"/>
  <c r="J138" i="11" s="1"/>
  <c r="K138" i="11" s="1"/>
  <c r="J134" i="11" a="1"/>
  <c r="J134" i="11" s="1"/>
  <c r="K134" i="11" s="1"/>
  <c r="J130" i="11" a="1"/>
  <c r="J130" i="11" s="1"/>
  <c r="K130" i="11" s="1"/>
  <c r="J126" i="11" a="1"/>
  <c r="J126" i="11" s="1"/>
  <c r="K126" i="11" s="1"/>
  <c r="J122" i="11" a="1"/>
  <c r="J122" i="11" s="1"/>
  <c r="K122" i="11" s="1"/>
  <c r="J118" i="11" a="1"/>
  <c r="J118" i="11" s="1"/>
  <c r="K118" i="11" s="1"/>
  <c r="J114" i="11" a="1"/>
  <c r="J114" i="11" s="1"/>
  <c r="K114" i="11" s="1"/>
  <c r="J110" i="11" a="1"/>
  <c r="J110" i="11" s="1"/>
  <c r="K110" i="11" s="1"/>
  <c r="J106" i="11" a="1"/>
  <c r="J106" i="11" s="1"/>
  <c r="K106" i="11" s="1"/>
  <c r="J102" i="11" a="1"/>
  <c r="J102" i="11" s="1"/>
  <c r="K102" i="11" s="1"/>
  <c r="J98" i="11" a="1"/>
  <c r="J98" i="11" s="1"/>
  <c r="K98" i="11" s="1"/>
  <c r="J94" i="11" a="1"/>
  <c r="J94" i="11" s="1"/>
  <c r="K94" i="11" s="1"/>
  <c r="J90" i="11" a="1"/>
  <c r="J90" i="11" s="1"/>
  <c r="K90" i="11" s="1"/>
  <c r="J86" i="11" a="1"/>
  <c r="J86" i="11" s="1"/>
  <c r="K86" i="11" s="1"/>
  <c r="J82" i="11" a="1"/>
  <c r="J82" i="11" s="1"/>
  <c r="K82" i="11" s="1"/>
  <c r="J78" i="11" a="1"/>
  <c r="J78" i="11" s="1"/>
  <c r="K78" i="11" s="1"/>
  <c r="J74" i="11" a="1"/>
  <c r="J74" i="11" s="1"/>
  <c r="K74" i="11" s="1"/>
  <c r="J59" i="11" a="1"/>
  <c r="J59" i="11" s="1"/>
  <c r="K59" i="11" s="1"/>
  <c r="J55" i="11" a="1"/>
  <c r="J55" i="11" s="1"/>
  <c r="K55" i="11" s="1"/>
  <c r="J67" i="11" a="1"/>
  <c r="J67" i="11" s="1"/>
  <c r="K67" i="11" s="1"/>
  <c r="J63" i="11" a="1"/>
  <c r="J63" i="11" s="1"/>
  <c r="K63" i="11" s="1"/>
  <c r="J48" i="11" a="1"/>
  <c r="J48" i="11" s="1"/>
  <c r="K48" i="11" s="1"/>
  <c r="J37" i="11" a="1"/>
  <c r="J37" i="11" s="1"/>
  <c r="K37" i="11" s="1"/>
  <c r="J31" i="11" a="1"/>
  <c r="J31" i="11" s="1"/>
  <c r="K31" i="11" s="1"/>
  <c r="J23" i="11" a="1"/>
  <c r="J23" i="11" s="1"/>
  <c r="K23" i="11" s="1"/>
  <c r="J68" i="11" a="1"/>
  <c r="J68" i="11" s="1"/>
  <c r="K68" i="11" s="1"/>
  <c r="J64" i="11" a="1"/>
  <c r="J64" i="11" s="1"/>
  <c r="K64" i="11" s="1"/>
  <c r="J49" i="11" a="1"/>
  <c r="J49" i="11" s="1"/>
  <c r="K49" i="11" s="1"/>
  <c r="J38" i="11" a="1"/>
  <c r="J38" i="11" s="1"/>
  <c r="K38" i="11" s="1"/>
  <c r="J29" i="11" a="1"/>
  <c r="J29" i="11" s="1"/>
  <c r="K29" i="11" s="1"/>
  <c r="J168" i="11" a="1"/>
  <c r="J168" i="11" s="1"/>
  <c r="K168" i="11" s="1"/>
  <c r="J164" i="11" a="1"/>
  <c r="J164" i="11" s="1"/>
  <c r="K164" i="11" s="1"/>
  <c r="J160" i="11" a="1"/>
  <c r="J160" i="11" s="1"/>
  <c r="K160" i="11" s="1"/>
  <c r="J156" i="11" a="1"/>
  <c r="J156" i="11" s="1"/>
  <c r="K156" i="11" s="1"/>
  <c r="J152" i="11" a="1"/>
  <c r="J152" i="11" s="1"/>
  <c r="K152" i="11" s="1"/>
  <c r="J148" i="11" a="1"/>
  <c r="J148" i="11" s="1"/>
  <c r="K148" i="11" s="1"/>
  <c r="J144" i="11" a="1"/>
  <c r="J144" i="11" s="1"/>
  <c r="K144" i="11" s="1"/>
  <c r="J140" i="11" a="1"/>
  <c r="J140" i="11" s="1"/>
  <c r="K140" i="11" s="1"/>
  <c r="J136" i="11" a="1"/>
  <c r="J136" i="11" s="1"/>
  <c r="K136" i="11" s="1"/>
  <c r="J132" i="11" a="1"/>
  <c r="J132" i="11" s="1"/>
  <c r="K132" i="11" s="1"/>
  <c r="J128" i="11" a="1"/>
  <c r="J128" i="11" s="1"/>
  <c r="K128" i="11" s="1"/>
  <c r="J124" i="11" a="1"/>
  <c r="J124" i="11" s="1"/>
  <c r="K124" i="11" s="1"/>
  <c r="J120" i="11" a="1"/>
  <c r="J120" i="11" s="1"/>
  <c r="K120" i="11" s="1"/>
  <c r="J116" i="11" a="1"/>
  <c r="J116" i="11" s="1"/>
  <c r="K116" i="11" s="1"/>
  <c r="J112" i="11" a="1"/>
  <c r="J112" i="11" s="1"/>
  <c r="K112" i="11" s="1"/>
  <c r="J108" i="11" a="1"/>
  <c r="J108" i="11" s="1"/>
  <c r="K108" i="11" s="1"/>
  <c r="J104" i="11" a="1"/>
  <c r="J104" i="11" s="1"/>
  <c r="K104" i="11" s="1"/>
  <c r="J100" i="11" a="1"/>
  <c r="J100" i="11" s="1"/>
  <c r="K100" i="11" s="1"/>
  <c r="J96" i="11" a="1"/>
  <c r="J96" i="11" s="1"/>
  <c r="K96" i="11" s="1"/>
  <c r="J92" i="11" a="1"/>
  <c r="J92" i="11" s="1"/>
  <c r="K92" i="11" s="1"/>
  <c r="J88" i="11" a="1"/>
  <c r="J88" i="11" s="1"/>
  <c r="K88" i="11" s="1"/>
  <c r="J84" i="11" a="1"/>
  <c r="J84" i="11" s="1"/>
  <c r="K84" i="11" s="1"/>
  <c r="J80" i="11" a="1"/>
  <c r="J80" i="11" s="1"/>
  <c r="K80" i="11" s="1"/>
  <c r="J76" i="11" a="1"/>
  <c r="J76" i="11" s="1"/>
  <c r="K76" i="11" s="1"/>
  <c r="J171" i="11" a="1"/>
  <c r="J171" i="11" s="1"/>
  <c r="K171" i="11" s="1"/>
  <c r="J139" i="11" a="1"/>
  <c r="J139" i="11" s="1"/>
  <c r="K139" i="11" s="1"/>
  <c r="J115" i="11" a="1"/>
  <c r="J115" i="11" s="1"/>
  <c r="K115" i="11" s="1"/>
  <c r="J107" i="11" a="1"/>
  <c r="J107" i="11" s="1"/>
  <c r="K107" i="11" s="1"/>
  <c r="J99" i="11" a="1"/>
  <c r="J99" i="11" s="1"/>
  <c r="K99" i="11" s="1"/>
  <c r="M99" i="11" s="1"/>
  <c r="J91" i="11" a="1"/>
  <c r="J91" i="11" s="1"/>
  <c r="K91" i="11" s="1"/>
  <c r="J83" i="11" a="1"/>
  <c r="J83" i="11" s="1"/>
  <c r="K83" i="11" s="1"/>
  <c r="J75" i="11" a="1"/>
  <c r="J75" i="11" s="1"/>
  <c r="K75" i="11" s="1"/>
  <c r="J61" i="11" a="1"/>
  <c r="J61" i="11" s="1"/>
  <c r="K61" i="11" s="1"/>
  <c r="J26" i="11" a="1"/>
  <c r="J26" i="11" s="1"/>
  <c r="K26" i="11" s="1"/>
  <c r="J167" i="11" a="1"/>
  <c r="J167" i="11" s="1"/>
  <c r="K167" i="11" s="1"/>
  <c r="J135" i="11" a="1"/>
  <c r="J135" i="11" s="1"/>
  <c r="K135" i="11" s="1"/>
  <c r="J73" i="11" a="1"/>
  <c r="J73" i="11" s="1"/>
  <c r="K73" i="11" s="1"/>
  <c r="J56" i="11" a="1"/>
  <c r="J56" i="11" s="1"/>
  <c r="K56" i="11" s="1"/>
  <c r="J46" i="11" a="1"/>
  <c r="J46" i="11" s="1"/>
  <c r="K46" i="11" s="1"/>
  <c r="J44" i="11" a="1"/>
  <c r="J44" i="11" s="1"/>
  <c r="K44" i="11" s="1"/>
  <c r="J22" i="11" a="1"/>
  <c r="J22" i="11" s="1"/>
  <c r="K22" i="11" s="1"/>
  <c r="J34" i="11" a="1"/>
  <c r="J34" i="11" s="1"/>
  <c r="K34" i="11" s="1"/>
  <c r="J163" i="11" a="1"/>
  <c r="J163" i="11" s="1"/>
  <c r="K163" i="11" s="1"/>
  <c r="J131" i="11" a="1"/>
  <c r="J131" i="11" s="1"/>
  <c r="K131" i="11" s="1"/>
  <c r="J60" i="11" a="1"/>
  <c r="J60" i="11" s="1"/>
  <c r="K60" i="11" s="1"/>
  <c r="J54" i="11" a="1"/>
  <c r="J54" i="11" s="1"/>
  <c r="K54" i="11" s="1"/>
  <c r="J52" i="11" a="1"/>
  <c r="J52" i="11" s="1"/>
  <c r="K52" i="11" s="1"/>
  <c r="J50" i="11" a="1"/>
  <c r="J50" i="11" s="1"/>
  <c r="K50" i="11" s="1"/>
  <c r="J42" i="11" a="1"/>
  <c r="J42" i="11" s="1"/>
  <c r="K42" i="11" s="1"/>
  <c r="J28" i="11" a="1"/>
  <c r="J28" i="11" s="1"/>
  <c r="K28" i="11" s="1"/>
  <c r="J159" i="11" a="1"/>
  <c r="J159" i="11" s="1"/>
  <c r="K159" i="11" s="1"/>
  <c r="J127" i="11" a="1"/>
  <c r="J127" i="11" s="1"/>
  <c r="K127" i="11" s="1"/>
  <c r="J117" i="11" a="1"/>
  <c r="J117" i="11" s="1"/>
  <c r="K117" i="11" s="1"/>
  <c r="J109" i="11" a="1"/>
  <c r="J109" i="11" s="1"/>
  <c r="K109" i="11" s="1"/>
  <c r="J101" i="11" a="1"/>
  <c r="J101" i="11" s="1"/>
  <c r="K101" i="11" s="1"/>
  <c r="J93" i="11" a="1"/>
  <c r="J93" i="11" s="1"/>
  <c r="K93" i="11" s="1"/>
  <c r="J85" i="11" a="1"/>
  <c r="J85" i="11" s="1"/>
  <c r="K85" i="11" s="1"/>
  <c r="J77" i="11" a="1"/>
  <c r="J77" i="11" s="1"/>
  <c r="K77" i="11" s="1"/>
  <c r="J65" i="11" a="1"/>
  <c r="J65" i="11" s="1"/>
  <c r="K65" i="11" s="1"/>
  <c r="J58" i="11" a="1"/>
  <c r="J58" i="11" s="1"/>
  <c r="K58" i="11" s="1"/>
  <c r="J35" i="11" a="1"/>
  <c r="J35" i="11" s="1"/>
  <c r="K35" i="11" s="1"/>
  <c r="J113" i="11" a="1"/>
  <c r="J113" i="11" s="1"/>
  <c r="K113" i="11" s="1"/>
  <c r="J81" i="11" a="1"/>
  <c r="J81" i="11" s="1"/>
  <c r="K81" i="11" s="1"/>
  <c r="M81" i="11" s="1"/>
  <c r="J155" i="11" a="1"/>
  <c r="J155" i="11" s="1"/>
  <c r="K155" i="11" s="1"/>
  <c r="J123" i="11" a="1"/>
  <c r="J123" i="11" s="1"/>
  <c r="K123" i="11" s="1"/>
  <c r="J111" i="11" a="1"/>
  <c r="J111" i="11" s="1"/>
  <c r="K111" i="11" s="1"/>
  <c r="M111" i="11" s="1"/>
  <c r="J103" i="11" a="1"/>
  <c r="J103" i="11" s="1"/>
  <c r="K103" i="11" s="1"/>
  <c r="J95" i="11" a="1"/>
  <c r="J95" i="11" s="1"/>
  <c r="K95" i="11" s="1"/>
  <c r="J87" i="11" a="1"/>
  <c r="J87" i="11" s="1"/>
  <c r="K87" i="11" s="1"/>
  <c r="J79" i="11" a="1"/>
  <c r="J79" i="11" s="1"/>
  <c r="K79" i="11" s="1"/>
  <c r="J72" i="11" a="1"/>
  <c r="J72" i="11" s="1"/>
  <c r="K72" i="11" s="1"/>
  <c r="J45" i="11" a="1"/>
  <c r="J45" i="11" s="1"/>
  <c r="K45" i="11" s="1"/>
  <c r="M45" i="11" s="1"/>
  <c r="J30" i="11" a="1"/>
  <c r="J30" i="11" s="1"/>
  <c r="K30" i="11" s="1"/>
  <c r="J41" i="11" a="1"/>
  <c r="J41" i="11" s="1"/>
  <c r="K41" i="11" s="1"/>
  <c r="J143" i="11" a="1"/>
  <c r="J143" i="11" s="1"/>
  <c r="K143" i="11" s="1"/>
  <c r="J97" i="11" a="1"/>
  <c r="J97" i="11" s="1"/>
  <c r="K97" i="11" s="1"/>
  <c r="J89" i="11" a="1"/>
  <c r="J89" i="11" s="1"/>
  <c r="K89" i="11" s="1"/>
  <c r="J151" i="11" a="1"/>
  <c r="J151" i="11" s="1"/>
  <c r="K151" i="11" s="1"/>
  <c r="J119" i="11" a="1"/>
  <c r="J119" i="11" s="1"/>
  <c r="K119" i="11" s="1"/>
  <c r="J39" i="11" a="1"/>
  <c r="J39" i="11" s="1"/>
  <c r="K39" i="11" s="1"/>
  <c r="J32" i="11" a="1"/>
  <c r="J32" i="11" s="1"/>
  <c r="K32" i="11" s="1"/>
  <c r="J27" i="11" a="1"/>
  <c r="J27" i="11" s="1"/>
  <c r="K27" i="11" s="1"/>
  <c r="M27" i="11" s="1"/>
  <c r="J53" i="11" a="1"/>
  <c r="J53" i="11" s="1"/>
  <c r="K53" i="11" s="1"/>
  <c r="J43" i="11" a="1"/>
  <c r="J43" i="11" s="1"/>
  <c r="K43" i="11" s="1"/>
  <c r="J24" i="11" a="1"/>
  <c r="J24" i="11" s="1"/>
  <c r="K24" i="11" s="1"/>
  <c r="J105" i="11" a="1"/>
  <c r="J105" i="11" s="1"/>
  <c r="K105" i="11" s="1"/>
  <c r="J71" i="11" a="1"/>
  <c r="J71" i="11" s="1"/>
  <c r="K71" i="11" s="1"/>
  <c r="J51" i="11" a="1"/>
  <c r="J51" i="11" s="1"/>
  <c r="K51" i="11" s="1"/>
  <c r="J147" i="11" a="1"/>
  <c r="J147" i="11" s="1"/>
  <c r="K147" i="11" s="1"/>
  <c r="J69" i="11" a="1"/>
  <c r="J69" i="11" s="1"/>
  <c r="K69" i="11" s="1"/>
  <c r="J57" i="11" a="1"/>
  <c r="J57" i="11" s="1"/>
  <c r="K57" i="11" s="1"/>
  <c r="L19" i="11" a="1"/>
  <c r="M135" i="11" l="1"/>
  <c r="M26" i="11"/>
  <c r="M147" i="11"/>
  <c r="M107" i="11"/>
  <c r="M89" i="11"/>
  <c r="M97" i="11"/>
  <c r="M51" i="11"/>
  <c r="M41" i="11"/>
  <c r="M105" i="11"/>
  <c r="M34" i="11"/>
  <c r="M83" i="11"/>
  <c r="M24" i="11"/>
  <c r="M139" i="11"/>
  <c r="M171" i="11"/>
  <c r="M75" i="11"/>
  <c r="M150" i="11"/>
  <c r="M71" i="11"/>
  <c r="M123" i="11"/>
  <c r="M39" i="11"/>
  <c r="M155" i="11"/>
  <c r="M113" i="11"/>
  <c r="M91" i="11"/>
  <c r="M126" i="11"/>
  <c r="M158" i="11"/>
  <c r="M35" i="11"/>
  <c r="M64" i="11"/>
  <c r="M43" i="11"/>
  <c r="M134" i="11"/>
  <c r="M166" i="11"/>
  <c r="M53" i="11"/>
  <c r="M115" i="11"/>
  <c r="M151" i="11"/>
  <c r="M109" i="11"/>
  <c r="M49" i="11"/>
  <c r="M87" i="11"/>
  <c r="M73" i="11"/>
  <c r="M130" i="11"/>
  <c r="M162" i="11"/>
  <c r="M77" i="11"/>
  <c r="M30" i="11"/>
  <c r="M37" i="11"/>
  <c r="M119" i="11"/>
  <c r="M117" i="11"/>
  <c r="M95" i="11"/>
  <c r="M127" i="11"/>
  <c r="M68" i="11"/>
  <c r="M159" i="11"/>
  <c r="M138" i="11"/>
  <c r="M170" i="11"/>
  <c r="M57" i="11"/>
  <c r="M85" i="11"/>
  <c r="M50" i="11"/>
  <c r="M48" i="11"/>
  <c r="M60" i="11"/>
  <c r="M120" i="11"/>
  <c r="M152" i="11"/>
  <c r="M55" i="11"/>
  <c r="M98" i="11"/>
  <c r="M62" i="11"/>
  <c r="M141" i="11"/>
  <c r="M38" i="11"/>
  <c r="M92" i="11"/>
  <c r="M58" i="11"/>
  <c r="M124" i="11"/>
  <c r="M156" i="11"/>
  <c r="M102" i="11"/>
  <c r="M66" i="11"/>
  <c r="M145" i="11"/>
  <c r="M143" i="11"/>
  <c r="M32" i="11"/>
  <c r="M101" i="11"/>
  <c r="M122" i="11"/>
  <c r="M154" i="11"/>
  <c r="M79" i="11"/>
  <c r="L19" i="11"/>
  <c r="M103" i="11"/>
  <c r="M65" i="11"/>
  <c r="M163" i="11"/>
  <c r="M167" i="11"/>
  <c r="M96" i="11"/>
  <c r="M128" i="11"/>
  <c r="M160" i="11"/>
  <c r="M23" i="11"/>
  <c r="M74" i="11"/>
  <c r="M106" i="11"/>
  <c r="M70" i="11"/>
  <c r="M149" i="11"/>
  <c r="M28" i="11"/>
  <c r="M100" i="11"/>
  <c r="M132" i="11"/>
  <c r="M164" i="11"/>
  <c r="M31" i="11"/>
  <c r="M78" i="11"/>
  <c r="M110" i="11"/>
  <c r="M142" i="11"/>
  <c r="M25" i="11"/>
  <c r="M121" i="11"/>
  <c r="M153" i="11"/>
  <c r="M131" i="11"/>
  <c r="M42" i="11"/>
  <c r="M22" i="11"/>
  <c r="M61" i="11"/>
  <c r="M104" i="11"/>
  <c r="M136" i="11"/>
  <c r="M168" i="11"/>
  <c r="M82" i="11"/>
  <c r="M114" i="11"/>
  <c r="M146" i="11"/>
  <c r="M33" i="11"/>
  <c r="M125" i="11"/>
  <c r="M157" i="11"/>
  <c r="M69" i="11"/>
  <c r="M93" i="11"/>
  <c r="M44" i="11"/>
  <c r="M76" i="11"/>
  <c r="M108" i="11"/>
  <c r="M140" i="11"/>
  <c r="M29" i="11"/>
  <c r="M86" i="11"/>
  <c r="M118" i="11"/>
  <c r="M36" i="11"/>
  <c r="M129" i="11"/>
  <c r="M161" i="11"/>
  <c r="M59" i="11"/>
  <c r="M72" i="11"/>
  <c r="M52" i="11"/>
  <c r="M46" i="11"/>
  <c r="M80" i="11"/>
  <c r="M112" i="11"/>
  <c r="M144" i="11"/>
  <c r="M63" i="11"/>
  <c r="M90" i="11"/>
  <c r="M40" i="11"/>
  <c r="M133" i="11"/>
  <c r="M165" i="11"/>
  <c r="M88" i="11"/>
  <c r="M54" i="11"/>
  <c r="M56" i="11"/>
  <c r="M84" i="11"/>
  <c r="M116" i="11"/>
  <c r="M148" i="11"/>
  <c r="M67" i="11"/>
  <c r="M94" i="11"/>
  <c r="M47" i="11"/>
  <c r="M137" i="11"/>
  <c r="M169" i="11"/>
  <c r="L22" i="11" a="1"/>
  <c r="L22" i="11" l="1"/>
  <c r="H13" i="4" a="1"/>
  <c r="H13" i="4" s="1"/>
  <c r="I22" i="4"/>
  <c r="K25" i="4" a="1"/>
  <c r="K25" i="4" l="1"/>
  <c r="J24" i="4"/>
  <c r="L24"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83" i="4"/>
  <c r="J82" i="4"/>
  <c r="J81" i="4"/>
  <c r="J80" i="4"/>
  <c r="J79" i="4"/>
  <c r="J78" i="4"/>
  <c r="J77" i="4"/>
  <c r="J76" i="4"/>
  <c r="J75" i="4"/>
  <c r="J73" i="4"/>
  <c r="J72" i="4"/>
  <c r="J71" i="4"/>
  <c r="J70" i="4"/>
  <c r="J69" i="4"/>
  <c r="J68" i="4"/>
  <c r="J67" i="4"/>
  <c r="J66" i="4"/>
  <c r="J65" i="4"/>
  <c r="J59" i="4"/>
  <c r="J60" i="4"/>
  <c r="J61" i="4"/>
  <c r="J62" i="4"/>
  <c r="J63" i="4"/>
  <c r="J57" i="4"/>
  <c r="J58" i="4"/>
  <c r="J56" i="4"/>
  <c r="L22" i="4" a="1"/>
  <c r="L22" i="4" l="1"/>
  <c r="L25" i="4" a="1"/>
  <c r="L25" i="4" l="1"/>
  <c r="L15" i="5"/>
  <c r="L12" i="5"/>
  <c r="L16" i="5" l="1"/>
  <c r="L10" i="6" s="1"/>
  <c r="K22" i="12" l="1"/>
  <c r="K23" i="12"/>
  <c r="K34" i="12"/>
  <c r="K39" i="12"/>
  <c r="K57" i="12"/>
  <c r="K63" i="12"/>
  <c r="K70" i="12"/>
  <c r="K76" i="12"/>
  <c r="K89" i="12"/>
  <c r="K95" i="12"/>
  <c r="K102" i="12"/>
  <c r="K108" i="12"/>
  <c r="K121" i="12"/>
  <c r="K127" i="12"/>
  <c r="K134" i="12"/>
  <c r="K140" i="12"/>
  <c r="K153" i="12"/>
  <c r="K159" i="12"/>
  <c r="K166" i="12"/>
  <c r="K62" i="12"/>
  <c r="K126" i="12"/>
  <c r="K158" i="12"/>
  <c r="K50" i="12"/>
  <c r="K114" i="12"/>
  <c r="K165" i="12"/>
  <c r="K24" i="12"/>
  <c r="M24" i="12" s="1"/>
  <c r="K29" i="12"/>
  <c r="K40" i="12"/>
  <c r="M40" i="12" s="1"/>
  <c r="K45" i="12"/>
  <c r="K51" i="12"/>
  <c r="K58" i="12"/>
  <c r="K64" i="12"/>
  <c r="K77" i="12"/>
  <c r="K83" i="12"/>
  <c r="K90" i="12"/>
  <c r="K96" i="12"/>
  <c r="K109" i="12"/>
  <c r="K115" i="12"/>
  <c r="K122" i="12"/>
  <c r="K128" i="12"/>
  <c r="K141" i="12"/>
  <c r="K147" i="12"/>
  <c r="K154" i="12"/>
  <c r="K160" i="12"/>
  <c r="K27" i="12"/>
  <c r="K68" i="12"/>
  <c r="K113" i="12"/>
  <c r="K28" i="12"/>
  <c r="K82" i="12"/>
  <c r="K120" i="12"/>
  <c r="K171" i="12"/>
  <c r="K30" i="12"/>
  <c r="K35" i="12"/>
  <c r="M35" i="12" s="1"/>
  <c r="K46" i="12"/>
  <c r="K52" i="12"/>
  <c r="K65" i="12"/>
  <c r="K71" i="12"/>
  <c r="K78" i="12"/>
  <c r="K84" i="12"/>
  <c r="K97" i="12"/>
  <c r="M97" i="12" s="1"/>
  <c r="K103" i="12"/>
  <c r="M103" i="12" s="1"/>
  <c r="K110" i="12"/>
  <c r="K116" i="12"/>
  <c r="K129" i="12"/>
  <c r="M129" i="12" s="1"/>
  <c r="K135" i="12"/>
  <c r="K142" i="12"/>
  <c r="K148" i="12"/>
  <c r="K161" i="12"/>
  <c r="K167" i="12"/>
  <c r="M167" i="12" s="1"/>
  <c r="K38" i="12"/>
  <c r="K87" i="12"/>
  <c r="K145" i="12"/>
  <c r="K44" i="12"/>
  <c r="K88" i="12"/>
  <c r="K133" i="12"/>
  <c r="K25" i="12"/>
  <c r="K36" i="12"/>
  <c r="M36" i="12" s="1"/>
  <c r="K41" i="12"/>
  <c r="K53" i="12"/>
  <c r="M53" i="12" s="1"/>
  <c r="K59" i="12"/>
  <c r="K66" i="12"/>
  <c r="K72" i="12"/>
  <c r="K85" i="12"/>
  <c r="K91" i="12"/>
  <c r="M91" i="12" s="1"/>
  <c r="K98" i="12"/>
  <c r="K104" i="12"/>
  <c r="K117" i="12"/>
  <c r="K123" i="12"/>
  <c r="K130" i="12"/>
  <c r="K136" i="12"/>
  <c r="K149" i="12"/>
  <c r="M149" i="12" s="1"/>
  <c r="K155" i="12"/>
  <c r="K162" i="12"/>
  <c r="K168" i="12"/>
  <c r="K43" i="12"/>
  <c r="K94" i="12"/>
  <c r="K132" i="12"/>
  <c r="K164" i="12"/>
  <c r="K56" i="12"/>
  <c r="K101" i="12"/>
  <c r="K152" i="12"/>
  <c r="K26" i="12"/>
  <c r="K31" i="12"/>
  <c r="K42" i="12"/>
  <c r="K47" i="12"/>
  <c r="K54" i="12"/>
  <c r="K60" i="12"/>
  <c r="K73" i="12"/>
  <c r="K79" i="12"/>
  <c r="K86" i="12"/>
  <c r="M86" i="12" s="1"/>
  <c r="K92" i="12"/>
  <c r="K105" i="12"/>
  <c r="K111" i="12"/>
  <c r="K118" i="12"/>
  <c r="K124" i="12"/>
  <c r="K137" i="12"/>
  <c r="K143" i="12"/>
  <c r="K150" i="12"/>
  <c r="K156" i="12"/>
  <c r="K169" i="12"/>
  <c r="K55" i="12"/>
  <c r="K100" i="12"/>
  <c r="K151" i="12"/>
  <c r="K69" i="12"/>
  <c r="K107" i="12"/>
  <c r="K146" i="12"/>
  <c r="K32" i="12"/>
  <c r="M32" i="12" s="1"/>
  <c r="K37" i="12"/>
  <c r="K48" i="12"/>
  <c r="K61" i="12"/>
  <c r="K67" i="12"/>
  <c r="K74" i="12"/>
  <c r="K80" i="12"/>
  <c r="K93" i="12"/>
  <c r="K99" i="12"/>
  <c r="K106" i="12"/>
  <c r="K112" i="12"/>
  <c r="K125" i="12"/>
  <c r="K131" i="12"/>
  <c r="K138" i="12"/>
  <c r="M138" i="12" s="1"/>
  <c r="K144" i="12"/>
  <c r="M144" i="12" s="1"/>
  <c r="K157" i="12"/>
  <c r="K163" i="12"/>
  <c r="K170" i="12"/>
  <c r="M170" i="12" s="1"/>
  <c r="K49" i="12"/>
  <c r="K81" i="12"/>
  <c r="K119" i="12"/>
  <c r="K33" i="12"/>
  <c r="K75" i="12"/>
  <c r="K139" i="12"/>
  <c r="L12" i="6"/>
  <c r="H23" i="6" a="1"/>
  <c r="H23" i="6" s="1"/>
  <c r="I23" i="6" s="1"/>
  <c r="J23" i="6" s="1"/>
  <c r="H24" i="5" a="1"/>
  <c r="K19" i="12" a="1"/>
  <c r="M31" i="12" l="1"/>
  <c r="M116" i="12"/>
  <c r="M25" i="12"/>
  <c r="M160" i="12"/>
  <c r="M125" i="12"/>
  <c r="H24" i="5"/>
  <c r="I40" i="5"/>
  <c r="I56" i="5"/>
  <c r="I72" i="5"/>
  <c r="I88" i="5"/>
  <c r="I104" i="5"/>
  <c r="I120" i="5"/>
  <c r="I136" i="5"/>
  <c r="I152" i="5"/>
  <c r="I168" i="5"/>
  <c r="I69" i="5"/>
  <c r="I149" i="5"/>
  <c r="I86" i="5"/>
  <c r="I134" i="5"/>
  <c r="I71" i="5"/>
  <c r="I25" i="5"/>
  <c r="I41" i="5"/>
  <c r="I57" i="5"/>
  <c r="I73" i="5"/>
  <c r="I89" i="5"/>
  <c r="I105" i="5"/>
  <c r="I121" i="5"/>
  <c r="I137" i="5"/>
  <c r="I153" i="5"/>
  <c r="I169" i="5"/>
  <c r="I126" i="5"/>
  <c r="I31" i="5"/>
  <c r="I95" i="5"/>
  <c r="I159" i="5"/>
  <c r="I96" i="5"/>
  <c r="I144" i="5"/>
  <c r="I33" i="5"/>
  <c r="I129" i="5"/>
  <c r="I50" i="5"/>
  <c r="I98" i="5"/>
  <c r="I162" i="5"/>
  <c r="I83" i="5"/>
  <c r="I147" i="5"/>
  <c r="I68" i="5"/>
  <c r="I132" i="5"/>
  <c r="I37" i="5"/>
  <c r="I101" i="5"/>
  <c r="I165" i="5"/>
  <c r="I102" i="5"/>
  <c r="I118" i="5"/>
  <c r="I39" i="5"/>
  <c r="I103" i="5"/>
  <c r="I167" i="5"/>
  <c r="I26" i="5"/>
  <c r="I42" i="5"/>
  <c r="I58" i="5"/>
  <c r="I74" i="5"/>
  <c r="I90" i="5"/>
  <c r="I106" i="5"/>
  <c r="I122" i="5"/>
  <c r="I138" i="5"/>
  <c r="I154" i="5"/>
  <c r="I170" i="5"/>
  <c r="I61" i="5"/>
  <c r="I109" i="5"/>
  <c r="I157" i="5"/>
  <c r="I62" i="5"/>
  <c r="I78" i="5"/>
  <c r="I158" i="5"/>
  <c r="I47" i="5"/>
  <c r="I111" i="5"/>
  <c r="I32" i="5"/>
  <c r="I64" i="5"/>
  <c r="I112" i="5"/>
  <c r="I81" i="5"/>
  <c r="I145" i="5"/>
  <c r="I66" i="5"/>
  <c r="I146" i="5"/>
  <c r="I67" i="5"/>
  <c r="I99" i="5"/>
  <c r="I36" i="5"/>
  <c r="I116" i="5"/>
  <c r="I53" i="5"/>
  <c r="I133" i="5"/>
  <c r="I70" i="5"/>
  <c r="I166" i="5"/>
  <c r="I119" i="5"/>
  <c r="I27" i="5"/>
  <c r="I43" i="5"/>
  <c r="I59" i="5"/>
  <c r="I75" i="5"/>
  <c r="I91" i="5"/>
  <c r="I107" i="5"/>
  <c r="I123" i="5"/>
  <c r="I139" i="5"/>
  <c r="I155" i="5"/>
  <c r="I171" i="5"/>
  <c r="I29" i="5"/>
  <c r="I77" i="5"/>
  <c r="I125" i="5"/>
  <c r="I173" i="5"/>
  <c r="I30" i="5"/>
  <c r="I110" i="5"/>
  <c r="I142" i="5"/>
  <c r="I79" i="5"/>
  <c r="I143" i="5"/>
  <c r="I80" i="5"/>
  <c r="I160" i="5"/>
  <c r="I49" i="5"/>
  <c r="I113" i="5"/>
  <c r="I34" i="5"/>
  <c r="I82" i="5"/>
  <c r="I130" i="5"/>
  <c r="I51" i="5"/>
  <c r="I115" i="5"/>
  <c r="I163" i="5"/>
  <c r="I52" i="5"/>
  <c r="I100" i="5"/>
  <c r="I164" i="5"/>
  <c r="I117" i="5"/>
  <c r="J118" i="5" s="1"/>
  <c r="K118" i="5" s="1"/>
  <c r="I54" i="5"/>
  <c r="I55" i="5"/>
  <c r="I135" i="5"/>
  <c r="I28" i="5"/>
  <c r="I44" i="5"/>
  <c r="I60" i="5"/>
  <c r="I76" i="5"/>
  <c r="I92" i="5"/>
  <c r="I108" i="5"/>
  <c r="I124" i="5"/>
  <c r="I140" i="5"/>
  <c r="I156" i="5"/>
  <c r="I172" i="5"/>
  <c r="I45" i="5"/>
  <c r="I93" i="5"/>
  <c r="I141" i="5"/>
  <c r="I46" i="5"/>
  <c r="I94" i="5"/>
  <c r="I63" i="5"/>
  <c r="I127" i="5"/>
  <c r="I48" i="5"/>
  <c r="I128" i="5"/>
  <c r="I65" i="5"/>
  <c r="I97" i="5"/>
  <c r="I161" i="5"/>
  <c r="I114" i="5"/>
  <c r="I35" i="5"/>
  <c r="I131" i="5"/>
  <c r="I84" i="5"/>
  <c r="I148" i="5"/>
  <c r="I85" i="5"/>
  <c r="I38" i="5"/>
  <c r="I150" i="5"/>
  <c r="I87" i="5"/>
  <c r="I151" i="5"/>
  <c r="M155" i="12"/>
  <c r="M106" i="12"/>
  <c r="M65" i="12"/>
  <c r="M52" i="12"/>
  <c r="M150" i="12"/>
  <c r="M80" i="12"/>
  <c r="M74" i="12"/>
  <c r="M161" i="12"/>
  <c r="M30" i="12"/>
  <c r="M96" i="12"/>
  <c r="M117" i="12"/>
  <c r="M85" i="12"/>
  <c r="M61" i="12"/>
  <c r="M48" i="12"/>
  <c r="K19" i="12"/>
  <c r="M92" i="12"/>
  <c r="M156" i="12"/>
  <c r="M112" i="12"/>
  <c r="M136" i="12"/>
  <c r="M49" i="12"/>
  <c r="M37" i="12"/>
  <c r="M28" i="12"/>
  <c r="M41" i="12"/>
  <c r="M143" i="12"/>
  <c r="M79" i="12"/>
  <c r="M73" i="12"/>
  <c r="M137" i="12"/>
  <c r="M131" i="12"/>
  <c r="M67" i="12"/>
  <c r="M26" i="12"/>
  <c r="M154" i="12"/>
  <c r="M90" i="12"/>
  <c r="M166" i="12"/>
  <c r="M72" i="12"/>
  <c r="M142" i="12"/>
  <c r="M78" i="12"/>
  <c r="M23" i="12"/>
  <c r="M139" i="12"/>
  <c r="M163" i="12"/>
  <c r="M99" i="12"/>
  <c r="M122" i="12"/>
  <c r="M58" i="12"/>
  <c r="M168" i="12"/>
  <c r="M104" i="12"/>
  <c r="M110" i="12"/>
  <c r="M46" i="12"/>
  <c r="M127" i="12"/>
  <c r="M81" i="12"/>
  <c r="M43" i="12"/>
  <c r="M87" i="12"/>
  <c r="M113" i="12"/>
  <c r="M50" i="12"/>
  <c r="M134" i="12"/>
  <c r="M70" i="12"/>
  <c r="M38" i="12"/>
  <c r="M68" i="12"/>
  <c r="M115" i="12"/>
  <c r="M63" i="12"/>
  <c r="M124" i="12"/>
  <c r="M60" i="12"/>
  <c r="M83" i="12"/>
  <c r="M146" i="12"/>
  <c r="M77" i="12"/>
  <c r="M169" i="12"/>
  <c r="M105" i="12"/>
  <c r="M42" i="12"/>
  <c r="M94" i="12"/>
  <c r="M123" i="12"/>
  <c r="M59" i="12"/>
  <c r="M145" i="12"/>
  <c r="M128" i="12"/>
  <c r="M64" i="12"/>
  <c r="M114" i="12"/>
  <c r="M140" i="12"/>
  <c r="M76" i="12"/>
  <c r="M158" i="12"/>
  <c r="M75" i="12"/>
  <c r="M107" i="12"/>
  <c r="M152" i="12"/>
  <c r="M162" i="12"/>
  <c r="M98" i="12"/>
  <c r="M27" i="12"/>
  <c r="M109" i="12"/>
  <c r="M45" i="12"/>
  <c r="M126" i="12"/>
  <c r="M121" i="12"/>
  <c r="M57" i="12"/>
  <c r="M93" i="12"/>
  <c r="M69" i="12"/>
  <c r="M101" i="12"/>
  <c r="N101" i="12" s="1"/>
  <c r="M62" i="12"/>
  <c r="M108" i="12"/>
  <c r="M39" i="12"/>
  <c r="M157" i="12"/>
  <c r="M33" i="12"/>
  <c r="M119" i="12"/>
  <c r="M151" i="12"/>
  <c r="M56" i="12"/>
  <c r="M133" i="12"/>
  <c r="M148" i="12"/>
  <c r="M84" i="12"/>
  <c r="M171" i="12"/>
  <c r="M29" i="12"/>
  <c r="M102" i="12"/>
  <c r="M34" i="12"/>
  <c r="N34" i="12" s="1"/>
  <c r="M118" i="12"/>
  <c r="M164" i="12"/>
  <c r="M88" i="12"/>
  <c r="M120" i="12"/>
  <c r="M147" i="12"/>
  <c r="M159" i="12"/>
  <c r="M95" i="12"/>
  <c r="M51" i="12"/>
  <c r="M100" i="12"/>
  <c r="M54" i="12"/>
  <c r="M55" i="12"/>
  <c r="M111" i="12"/>
  <c r="M47" i="12"/>
  <c r="M132" i="12"/>
  <c r="N132" i="12" s="1"/>
  <c r="M130" i="12"/>
  <c r="M66" i="12"/>
  <c r="M44" i="12"/>
  <c r="N44" i="12" s="1"/>
  <c r="M135" i="12"/>
  <c r="M71" i="12"/>
  <c r="M82" i="12"/>
  <c r="M141" i="12"/>
  <c r="M165" i="12"/>
  <c r="M153" i="12"/>
  <c r="M89" i="12"/>
  <c r="M22" i="12"/>
  <c r="I41" i="6"/>
  <c r="I64" i="6"/>
  <c r="I75" i="6"/>
  <c r="I61" i="6"/>
  <c r="I34" i="6"/>
  <c r="I72" i="6"/>
  <c r="I139" i="6"/>
  <c r="I27" i="6"/>
  <c r="I76" i="6"/>
  <c r="I44" i="6"/>
  <c r="I29" i="6"/>
  <c r="I88" i="6"/>
  <c r="I63" i="6"/>
  <c r="I172" i="6"/>
  <c r="I162" i="6"/>
  <c r="I152" i="6"/>
  <c r="I163" i="6"/>
  <c r="I123" i="6"/>
  <c r="I35" i="6"/>
  <c r="I125" i="6"/>
  <c r="I98" i="6"/>
  <c r="I137" i="6"/>
  <c r="I24" i="6"/>
  <c r="J24" i="6" s="1"/>
  <c r="I42" i="6"/>
  <c r="I121" i="6"/>
  <c r="I90" i="6"/>
  <c r="I107" i="6"/>
  <c r="I96" i="6"/>
  <c r="I36" i="6"/>
  <c r="I33" i="6"/>
  <c r="I102" i="6"/>
  <c r="I77" i="6"/>
  <c r="I134" i="6"/>
  <c r="I155" i="6"/>
  <c r="I101" i="6"/>
  <c r="I160" i="6"/>
  <c r="I147" i="6"/>
  <c r="I135" i="6"/>
  <c r="I165" i="6"/>
  <c r="I60" i="6"/>
  <c r="I156" i="6"/>
  <c r="I48" i="6"/>
  <c r="I116" i="6"/>
  <c r="I132" i="6"/>
  <c r="I113" i="6"/>
  <c r="I80" i="6"/>
  <c r="I67" i="6"/>
  <c r="I69" i="6"/>
  <c r="I70" i="6"/>
  <c r="I124" i="6"/>
  <c r="I171" i="6"/>
  <c r="I55" i="6"/>
  <c r="I168" i="6"/>
  <c r="I108" i="6"/>
  <c r="I170" i="6"/>
  <c r="I78" i="6"/>
  <c r="I128" i="6"/>
  <c r="I65" i="6"/>
  <c r="I91" i="6"/>
  <c r="I151" i="6"/>
  <c r="I31" i="6"/>
  <c r="I79" i="6"/>
  <c r="I93" i="6"/>
  <c r="I58" i="6"/>
  <c r="I117" i="6"/>
  <c r="I47" i="6"/>
  <c r="I148" i="6"/>
  <c r="I167" i="6"/>
  <c r="I51" i="6"/>
  <c r="I81" i="6"/>
  <c r="I112" i="6"/>
  <c r="I56" i="6"/>
  <c r="I106" i="6"/>
  <c r="I38" i="6"/>
  <c r="I133" i="6"/>
  <c r="I94" i="6"/>
  <c r="I74" i="6"/>
  <c r="I111" i="6"/>
  <c r="I87" i="6"/>
  <c r="I144" i="6"/>
  <c r="I115" i="6"/>
  <c r="I59" i="6"/>
  <c r="I153" i="6"/>
  <c r="I120" i="6"/>
  <c r="I85" i="6"/>
  <c r="I157" i="6"/>
  <c r="I46" i="6"/>
  <c r="I30" i="6"/>
  <c r="I150" i="6"/>
  <c r="I130" i="6"/>
  <c r="I66" i="6"/>
  <c r="I45" i="6"/>
  <c r="I26" i="6"/>
  <c r="I71" i="6"/>
  <c r="I39" i="6"/>
  <c r="I129" i="6"/>
  <c r="I169" i="6"/>
  <c r="I68" i="6"/>
  <c r="I119" i="6"/>
  <c r="I28" i="6"/>
  <c r="I40" i="6"/>
  <c r="I100" i="6"/>
  <c r="I25" i="6"/>
  <c r="I105" i="6"/>
  <c r="I97" i="6"/>
  <c r="I149" i="6"/>
  <c r="I166" i="6"/>
  <c r="I50" i="6"/>
  <c r="I37" i="6"/>
  <c r="I141" i="6"/>
  <c r="I158" i="6"/>
  <c r="I109" i="6"/>
  <c r="I127" i="6"/>
  <c r="I140" i="6"/>
  <c r="I43" i="6"/>
  <c r="I83" i="6"/>
  <c r="I103" i="6"/>
  <c r="I32" i="6"/>
  <c r="I92" i="6"/>
  <c r="I104" i="6"/>
  <c r="I164" i="6"/>
  <c r="I89" i="6"/>
  <c r="I136" i="6"/>
  <c r="I161" i="6"/>
  <c r="I126" i="6"/>
  <c r="I146" i="6"/>
  <c r="I110" i="6"/>
  <c r="I114" i="6"/>
  <c r="I118" i="6"/>
  <c r="I138" i="6"/>
  <c r="I86" i="6"/>
  <c r="I142" i="6"/>
  <c r="I95" i="6"/>
  <c r="I84" i="6"/>
  <c r="I159" i="6"/>
  <c r="I57" i="6"/>
  <c r="I73" i="6"/>
  <c r="I49" i="6"/>
  <c r="I145" i="6"/>
  <c r="I99" i="6"/>
  <c r="I131" i="6"/>
  <c r="I143" i="6"/>
  <c r="I52" i="6"/>
  <c r="I62" i="6"/>
  <c r="I82" i="6"/>
  <c r="I122" i="6"/>
  <c r="I154" i="6"/>
  <c r="I54" i="6"/>
  <c r="I53" i="6"/>
  <c r="L22" i="12" a="1"/>
  <c r="L22" i="12" l="1"/>
  <c r="N19" i="12" a="1"/>
  <c r="N19" i="12" s="1"/>
  <c r="J62" i="6"/>
  <c r="K62" i="6" s="1"/>
  <c r="J114" i="5"/>
  <c r="K114" i="5" s="1"/>
  <c r="J141" i="5"/>
  <c r="K141" i="5" s="1"/>
  <c r="J62" i="5"/>
  <c r="K62" i="5" s="1"/>
  <c r="J119" i="5"/>
  <c r="K119" i="5" s="1"/>
  <c r="N57" i="12"/>
  <c r="N63" i="12"/>
  <c r="N58" i="12"/>
  <c r="N163" i="12"/>
  <c r="N121" i="12"/>
  <c r="N122" i="12"/>
  <c r="N139" i="12"/>
  <c r="N102" i="12"/>
  <c r="N64" i="12"/>
  <c r="N99" i="12"/>
  <c r="N165" i="12"/>
  <c r="N159" i="12"/>
  <c r="N88" i="12"/>
  <c r="N60" i="12"/>
  <c r="N135" i="12"/>
  <c r="N124" i="12"/>
  <c r="N168" i="12"/>
  <c r="N117" i="12"/>
  <c r="I24" i="5"/>
  <c r="J25" i="5" s="1"/>
  <c r="K25" i="5" s="1"/>
  <c r="N123" i="12"/>
  <c r="N52" i="12"/>
  <c r="H12" i="12"/>
  <c r="H12" i="11"/>
  <c r="O19" i="11" s="1" a="1"/>
  <c r="O19" i="11" s="1"/>
  <c r="N94" i="12"/>
  <c r="N65" i="12"/>
  <c r="N87" i="12"/>
  <c r="N98" i="12"/>
  <c r="N166" i="12"/>
  <c r="N162" i="12"/>
  <c r="N169" i="12"/>
  <c r="N35" i="12"/>
  <c r="N86" i="12"/>
  <c r="N53" i="12"/>
  <c r="N75" i="12"/>
  <c r="N116" i="12"/>
  <c r="J61" i="6"/>
  <c r="K61" i="6" s="1"/>
  <c r="J102" i="5"/>
  <c r="K102" i="5" s="1"/>
  <c r="J90" i="5"/>
  <c r="K90" i="5" s="1"/>
  <c r="J94" i="6"/>
  <c r="K94" i="6" s="1"/>
  <c r="J52" i="5"/>
  <c r="K52" i="5" s="1"/>
  <c r="N143" i="12"/>
  <c r="N139" i="11"/>
  <c r="N24" i="11"/>
  <c r="N95" i="12"/>
  <c r="N170" i="12"/>
  <c r="N103" i="12"/>
  <c r="N90" i="12"/>
  <c r="N75" i="11"/>
  <c r="N89" i="11"/>
  <c r="N81" i="11"/>
  <c r="N131" i="12"/>
  <c r="N48" i="12"/>
  <c r="N140" i="12"/>
  <c r="N150" i="11"/>
  <c r="N111" i="11"/>
  <c r="N76" i="12"/>
  <c r="N72" i="12"/>
  <c r="N108" i="12"/>
  <c r="N154" i="12"/>
  <c r="N99" i="11"/>
  <c r="N97" i="11"/>
  <c r="N71" i="11"/>
  <c r="N150" i="12"/>
  <c r="N147" i="11"/>
  <c r="N67" i="12"/>
  <c r="N41" i="11"/>
  <c r="N135" i="11"/>
  <c r="N106" i="12"/>
  <c r="N171" i="11"/>
  <c r="N51" i="11"/>
  <c r="N34" i="11"/>
  <c r="N26" i="11"/>
  <c r="N27" i="12"/>
  <c r="N107" i="11"/>
  <c r="N45" i="11"/>
  <c r="N158" i="12"/>
  <c r="N71" i="12"/>
  <c r="N105" i="11"/>
  <c r="N83" i="11"/>
  <c r="N79" i="12"/>
  <c r="N27" i="11"/>
  <c r="N46" i="11"/>
  <c r="N58" i="11"/>
  <c r="N37" i="11"/>
  <c r="N115" i="11"/>
  <c r="N133" i="11"/>
  <c r="N32" i="11"/>
  <c r="N119" i="11"/>
  <c r="N84" i="12"/>
  <c r="N148" i="11"/>
  <c r="N65" i="11"/>
  <c r="N38" i="12"/>
  <c r="N123" i="11"/>
  <c r="N90" i="11"/>
  <c r="N145" i="11"/>
  <c r="N91" i="12"/>
  <c r="N69" i="12"/>
  <c r="N23" i="11"/>
  <c r="N51" i="12"/>
  <c r="N56" i="12"/>
  <c r="N84" i="11"/>
  <c r="N153" i="11"/>
  <c r="N43" i="12"/>
  <c r="N81" i="12"/>
  <c r="N126" i="11"/>
  <c r="N168" i="11"/>
  <c r="N50" i="11"/>
  <c r="N134" i="12"/>
  <c r="N100" i="11"/>
  <c r="N142" i="11"/>
  <c r="N129" i="12"/>
  <c r="N88" i="11"/>
  <c r="N86" i="11"/>
  <c r="N120" i="11"/>
  <c r="N130" i="11"/>
  <c r="N134" i="11"/>
  <c r="N52" i="11"/>
  <c r="N92" i="11"/>
  <c r="N30" i="11"/>
  <c r="N53" i="11"/>
  <c r="N40" i="11"/>
  <c r="N143" i="11"/>
  <c r="N87" i="11"/>
  <c r="N118" i="11"/>
  <c r="N59" i="11"/>
  <c r="N141" i="11"/>
  <c r="N115" i="12"/>
  <c r="N47" i="11"/>
  <c r="N66" i="11"/>
  <c r="N117" i="11"/>
  <c r="N26" i="12"/>
  <c r="N161" i="11"/>
  <c r="N132" i="11"/>
  <c r="N57" i="11"/>
  <c r="N156" i="12"/>
  <c r="N136" i="11"/>
  <c r="N121" i="11"/>
  <c r="N40" i="12"/>
  <c r="N45" i="12"/>
  <c r="N169" i="11"/>
  <c r="N146" i="12"/>
  <c r="N85" i="11"/>
  <c r="N66" i="12"/>
  <c r="N144" i="12"/>
  <c r="N95" i="11"/>
  <c r="N42" i="11"/>
  <c r="N70" i="12"/>
  <c r="N76" i="11"/>
  <c r="N158" i="11"/>
  <c r="N144" i="11"/>
  <c r="N102" i="11"/>
  <c r="N167" i="12"/>
  <c r="N154" i="11"/>
  <c r="N30" i="12"/>
  <c r="N164" i="11"/>
  <c r="N48" i="11"/>
  <c r="N33" i="12"/>
  <c r="N28" i="11"/>
  <c r="N157" i="11"/>
  <c r="N114" i="12"/>
  <c r="N151" i="11"/>
  <c r="N39" i="11"/>
  <c r="N29" i="11"/>
  <c r="N60" i="11"/>
  <c r="N73" i="11"/>
  <c r="N69" i="11"/>
  <c r="N72" i="11"/>
  <c r="N38" i="11"/>
  <c r="N151" i="12"/>
  <c r="N25" i="11"/>
  <c r="N108" i="11"/>
  <c r="N137" i="12"/>
  <c r="N145" i="12"/>
  <c r="N122" i="11"/>
  <c r="N62" i="11"/>
  <c r="N160" i="12"/>
  <c r="N43" i="11"/>
  <c r="N160" i="11"/>
  <c r="N138" i="11"/>
  <c r="N68" i="12"/>
  <c r="N159" i="11"/>
  <c r="N161" i="12"/>
  <c r="N49" i="12"/>
  <c r="N46" i="12"/>
  <c r="N77" i="11"/>
  <c r="N141" i="12"/>
  <c r="N54" i="11"/>
  <c r="N109" i="12"/>
  <c r="N74" i="12"/>
  <c r="N170" i="11"/>
  <c r="N54" i="12"/>
  <c r="N157" i="12"/>
  <c r="N104" i="11"/>
  <c r="N133" i="12"/>
  <c r="N142" i="12"/>
  <c r="N80" i="11"/>
  <c r="N125" i="11"/>
  <c r="N82" i="12"/>
  <c r="N37" i="12"/>
  <c r="N124" i="11"/>
  <c r="N140" i="11"/>
  <c r="N97" i="12"/>
  <c r="N78" i="12"/>
  <c r="N152" i="11"/>
  <c r="N146" i="11"/>
  <c r="N25" i="12"/>
  <c r="N119" i="12"/>
  <c r="N63" i="11"/>
  <c r="N105" i="12"/>
  <c r="N83" i="12"/>
  <c r="N35" i="11"/>
  <c r="N56" i="11"/>
  <c r="N79" i="11"/>
  <c r="N68" i="11"/>
  <c r="N24" i="12"/>
  <c r="N137" i="11"/>
  <c r="N128" i="11"/>
  <c r="N127" i="11"/>
  <c r="N100" i="12"/>
  <c r="N162" i="11"/>
  <c r="N171" i="12"/>
  <c r="N61" i="11"/>
  <c r="N110" i="12"/>
  <c r="N77" i="12"/>
  <c r="N33" i="11"/>
  <c r="N109" i="11"/>
  <c r="N93" i="11"/>
  <c r="N39" i="12"/>
  <c r="N149" i="11"/>
  <c r="N125" i="12"/>
  <c r="N111" i="12"/>
  <c r="N28" i="12"/>
  <c r="N110" i="11"/>
  <c r="N93" i="12"/>
  <c r="N107" i="12"/>
  <c r="N92" i="12"/>
  <c r="N22" i="11"/>
  <c r="N62" i="12"/>
  <c r="N50" i="12"/>
  <c r="N59" i="12"/>
  <c r="N31" i="11"/>
  <c r="N29" i="12"/>
  <c r="N112" i="12"/>
  <c r="N114" i="11"/>
  <c r="N31" i="12"/>
  <c r="N113" i="12"/>
  <c r="N96" i="11"/>
  <c r="N129" i="11"/>
  <c r="N98" i="11"/>
  <c r="N128" i="12"/>
  <c r="N164" i="12"/>
  <c r="N112" i="11"/>
  <c r="N156" i="11"/>
  <c r="N96" i="12"/>
  <c r="N91" i="11"/>
  <c r="N101" i="11"/>
  <c r="N36" i="12"/>
  <c r="N163" i="11"/>
  <c r="N104" i="12"/>
  <c r="N106" i="11"/>
  <c r="N82" i="11"/>
  <c r="N49" i="11"/>
  <c r="N94" i="11"/>
  <c r="N167" i="11"/>
  <c r="N149" i="12"/>
  <c r="N136" i="12"/>
  <c r="N138" i="12"/>
  <c r="N70" i="11"/>
  <c r="N89" i="12"/>
  <c r="N148" i="12"/>
  <c r="N126" i="12"/>
  <c r="N78" i="11"/>
  <c r="N85" i="12"/>
  <c r="N118" i="12"/>
  <c r="N166" i="11"/>
  <c r="N74" i="11"/>
  <c r="N55" i="12"/>
  <c r="N130" i="12"/>
  <c r="N131" i="11"/>
  <c r="N41" i="12"/>
  <c r="N61" i="12"/>
  <c r="N153" i="12"/>
  <c r="N44" i="11"/>
  <c r="N73" i="12"/>
  <c r="N152" i="12"/>
  <c r="N32" i="12"/>
  <c r="N36" i="11"/>
  <c r="N55" i="11"/>
  <c r="N120" i="12"/>
  <c r="N155" i="11"/>
  <c r="N165" i="11"/>
  <c r="N42" i="12"/>
  <c r="N67" i="11"/>
  <c r="N155" i="12"/>
  <c r="N113" i="11"/>
  <c r="N64" i="11"/>
  <c r="N116" i="11"/>
  <c r="N103" i="11"/>
  <c r="N47" i="12"/>
  <c r="N80" i="12"/>
  <c r="N127" i="12"/>
  <c r="N147" i="12"/>
  <c r="N22" i="12"/>
  <c r="N23" i="12"/>
  <c r="J152" i="5"/>
  <c r="K152" i="5" s="1"/>
  <c r="J61" i="5"/>
  <c r="K61" i="5" s="1"/>
  <c r="J37" i="5"/>
  <c r="K37" i="5" s="1"/>
  <c r="J148" i="6"/>
  <c r="K148" i="6" s="1"/>
  <c r="J47" i="5"/>
  <c r="K47" i="5" s="1"/>
  <c r="J155" i="5"/>
  <c r="K155" i="5" s="1"/>
  <c r="J98" i="5"/>
  <c r="K98" i="5" s="1"/>
  <c r="J76" i="6"/>
  <c r="K76" i="6" s="1"/>
  <c r="J103" i="5"/>
  <c r="K103" i="5" s="1"/>
  <c r="J159" i="5"/>
  <c r="K159" i="5" s="1"/>
  <c r="J156" i="5"/>
  <c r="K156" i="5" s="1"/>
  <c r="J173" i="5"/>
  <c r="K173" i="5" s="1"/>
  <c r="J139" i="5"/>
  <c r="K139" i="5" s="1"/>
  <c r="J160" i="5"/>
  <c r="K160" i="5" s="1"/>
  <c r="J99" i="5"/>
  <c r="K99" i="5" s="1"/>
  <c r="J28" i="5"/>
  <c r="K28" i="5" s="1"/>
  <c r="J68" i="5"/>
  <c r="K68" i="5" s="1"/>
  <c r="J133" i="5"/>
  <c r="K133" i="5" s="1"/>
  <c r="J45" i="6"/>
  <c r="K45" i="6" s="1"/>
  <c r="J81" i="5"/>
  <c r="K81" i="5" s="1"/>
  <c r="J45" i="5"/>
  <c r="K45" i="5" s="1"/>
  <c r="J123" i="5"/>
  <c r="K123" i="5" s="1"/>
  <c r="J82" i="5"/>
  <c r="K82" i="5" s="1"/>
  <c r="J138" i="5"/>
  <c r="K138" i="5" s="1"/>
  <c r="J134" i="5"/>
  <c r="K134" i="5" s="1"/>
  <c r="J65" i="5"/>
  <c r="K65" i="5" s="1"/>
  <c r="J95" i="5"/>
  <c r="K95" i="5" s="1"/>
  <c r="J36" i="5"/>
  <c r="K36" i="5" s="1"/>
  <c r="J64" i="5"/>
  <c r="K64" i="5" s="1"/>
  <c r="J27" i="5"/>
  <c r="K27" i="5" s="1"/>
  <c r="J118" i="6"/>
  <c r="K118" i="6" s="1"/>
  <c r="J100" i="5"/>
  <c r="K100" i="5" s="1"/>
  <c r="J48" i="5"/>
  <c r="K48" i="5" s="1"/>
  <c r="J49" i="5"/>
  <c r="K49" i="5" s="1"/>
  <c r="J43" i="5"/>
  <c r="K43" i="5" s="1"/>
  <c r="K20" i="5" s="1" a="1"/>
  <c r="K20" i="5" s="1"/>
  <c r="J42" i="5"/>
  <c r="K42" i="5" s="1"/>
  <c r="J125" i="5"/>
  <c r="K125" i="5" s="1"/>
  <c r="J63" i="5"/>
  <c r="K63" i="5" s="1"/>
  <c r="J150" i="6"/>
  <c r="K150" i="6" s="1"/>
  <c r="J122" i="5"/>
  <c r="K122" i="5" s="1"/>
  <c r="J35" i="6"/>
  <c r="K35" i="6" s="1"/>
  <c r="J80" i="6"/>
  <c r="K80" i="6" s="1"/>
  <c r="J131" i="5"/>
  <c r="K131" i="5" s="1"/>
  <c r="J151" i="5"/>
  <c r="K151" i="5" s="1"/>
  <c r="J147" i="5"/>
  <c r="K147" i="5" s="1"/>
  <c r="J135" i="6"/>
  <c r="K135" i="6" s="1"/>
  <c r="J128" i="5"/>
  <c r="K128" i="5" s="1"/>
  <c r="J81" i="6"/>
  <c r="K81" i="6" s="1"/>
  <c r="J55" i="5"/>
  <c r="K55" i="5" s="1"/>
  <c r="J33" i="5"/>
  <c r="K33" i="5" s="1"/>
  <c r="J158" i="5"/>
  <c r="K158" i="5" s="1"/>
  <c r="J156" i="6"/>
  <c r="K156" i="6" s="1"/>
  <c r="J70" i="5"/>
  <c r="K70" i="5" s="1"/>
  <c r="J59" i="6"/>
  <c r="K59" i="6" s="1"/>
  <c r="J31" i="5"/>
  <c r="K31" i="5" s="1"/>
  <c r="J54" i="5"/>
  <c r="K54" i="5" s="1"/>
  <c r="J71" i="5"/>
  <c r="K71" i="5" s="1"/>
  <c r="J49" i="6"/>
  <c r="K49" i="6" s="1"/>
  <c r="J137" i="5"/>
  <c r="K137" i="5" s="1"/>
  <c r="J142" i="5"/>
  <c r="K142" i="5" s="1"/>
  <c r="J26" i="5"/>
  <c r="K26" i="5" s="1"/>
  <c r="J35" i="5"/>
  <c r="K35" i="5" s="1"/>
  <c r="J111" i="5"/>
  <c r="K111" i="5" s="1"/>
  <c r="J157" i="5"/>
  <c r="K157" i="5" s="1"/>
  <c r="J96" i="5"/>
  <c r="K96" i="5" s="1"/>
  <c r="J41" i="5"/>
  <c r="K41" i="5" s="1"/>
  <c r="J25" i="6"/>
  <c r="K25" i="6" s="1"/>
  <c r="J117" i="6"/>
  <c r="K117" i="6" s="1"/>
  <c r="J71" i="6"/>
  <c r="K71" i="6" s="1"/>
  <c r="J134" i="6"/>
  <c r="K134" i="6" s="1"/>
  <c r="J168" i="6"/>
  <c r="K168" i="6" s="1"/>
  <c r="J124" i="6"/>
  <c r="K124" i="6" s="1"/>
  <c r="J65" i="6"/>
  <c r="K65" i="6" s="1"/>
  <c r="J39" i="5"/>
  <c r="K39" i="5" s="1"/>
  <c r="J66" i="5"/>
  <c r="K66" i="5" s="1"/>
  <c r="J72" i="5"/>
  <c r="K72" i="5" s="1"/>
  <c r="J85" i="5"/>
  <c r="K85" i="5" s="1"/>
  <c r="J60" i="5"/>
  <c r="K60" i="5" s="1"/>
  <c r="K24" i="6"/>
  <c r="K23" i="6"/>
  <c r="J48" i="6"/>
  <c r="K48" i="6" s="1"/>
  <c r="J163" i="6"/>
  <c r="K163" i="6" s="1"/>
  <c r="J153" i="5"/>
  <c r="K153" i="5" s="1"/>
  <c r="J112" i="5"/>
  <c r="K112" i="5" s="1"/>
  <c r="J92" i="5"/>
  <c r="K92" i="5" s="1"/>
  <c r="J108" i="6"/>
  <c r="K108" i="6" s="1"/>
  <c r="J107" i="5"/>
  <c r="K107" i="5" s="1"/>
  <c r="J32" i="5"/>
  <c r="K32" i="5" s="1"/>
  <c r="J93" i="5"/>
  <c r="K93" i="5" s="1"/>
  <c r="J157" i="6"/>
  <c r="K157" i="6" s="1"/>
  <c r="J70" i="6"/>
  <c r="K70" i="6" s="1"/>
  <c r="J110" i="5"/>
  <c r="K110" i="5" s="1"/>
  <c r="J40" i="5"/>
  <c r="K40" i="5" s="1"/>
  <c r="J148" i="5"/>
  <c r="K148" i="5" s="1"/>
  <c r="J149" i="5"/>
  <c r="K149" i="5" s="1"/>
  <c r="J29" i="6"/>
  <c r="K29" i="6" s="1"/>
  <c r="J116" i="5"/>
  <c r="K116" i="5" s="1"/>
  <c r="J88" i="6"/>
  <c r="K88" i="6" s="1"/>
  <c r="J155" i="6"/>
  <c r="K155" i="6" s="1"/>
  <c r="J138" i="6"/>
  <c r="K138" i="6" s="1"/>
  <c r="J89" i="6"/>
  <c r="K89" i="6" s="1"/>
  <c r="J161" i="5"/>
  <c r="K161" i="5" s="1"/>
  <c r="J30" i="6"/>
  <c r="K30" i="6" s="1"/>
  <c r="J120" i="5"/>
  <c r="K120" i="5" s="1"/>
  <c r="J140" i="6"/>
  <c r="K140" i="6" s="1"/>
  <c r="J42" i="6"/>
  <c r="J59" i="5"/>
  <c r="K59" i="5" s="1"/>
  <c r="J56" i="6"/>
  <c r="K56" i="6" s="1"/>
  <c r="J91" i="6"/>
  <c r="K91" i="6" s="1"/>
  <c r="J133" i="6"/>
  <c r="K133" i="6" s="1"/>
  <c r="J171" i="5"/>
  <c r="K171" i="5" s="1"/>
  <c r="J114" i="6"/>
  <c r="K114" i="6" s="1"/>
  <c r="J113" i="6"/>
  <c r="K113" i="6" s="1"/>
  <c r="J168" i="5"/>
  <c r="K168" i="5" s="1"/>
  <c r="J75" i="5"/>
  <c r="K75" i="5" s="1"/>
  <c r="J84" i="5"/>
  <c r="K84" i="5" s="1"/>
  <c r="J136" i="5"/>
  <c r="K136" i="5" s="1"/>
  <c r="J89" i="5"/>
  <c r="K89" i="5" s="1"/>
  <c r="J72" i="6"/>
  <c r="K72" i="6" s="1"/>
  <c r="J37" i="6"/>
  <c r="K37" i="6" s="1"/>
  <c r="J67" i="5"/>
  <c r="K67" i="5" s="1"/>
  <c r="J147" i="6"/>
  <c r="K147" i="6" s="1"/>
  <c r="J30" i="5"/>
  <c r="K30" i="5" s="1"/>
  <c r="J169" i="6"/>
  <c r="K169" i="6" s="1"/>
  <c r="J46" i="5"/>
  <c r="K46" i="5" s="1"/>
  <c r="J132" i="5"/>
  <c r="K132" i="5" s="1"/>
  <c r="J55" i="6"/>
  <c r="K55" i="6" s="1"/>
  <c r="J34" i="5"/>
  <c r="K34" i="5" s="1"/>
  <c r="J41" i="6"/>
  <c r="K41" i="6" s="1"/>
  <c r="J44" i="5"/>
  <c r="K44" i="5" s="1"/>
  <c r="J38" i="5"/>
  <c r="K38" i="5" s="1"/>
  <c r="J64" i="6"/>
  <c r="K64" i="6" s="1"/>
  <c r="J84" i="6"/>
  <c r="K84" i="6" s="1"/>
  <c r="J29" i="5"/>
  <c r="K29" i="5" s="1"/>
  <c r="J31" i="6"/>
  <c r="K31" i="6" s="1"/>
  <c r="J78" i="5"/>
  <c r="K78" i="5" s="1"/>
  <c r="J161" i="6"/>
  <c r="K161" i="6" s="1"/>
  <c r="J124" i="5"/>
  <c r="K124" i="5" s="1"/>
  <c r="J122" i="6"/>
  <c r="K122" i="6" s="1"/>
  <c r="J170" i="5"/>
  <c r="K170" i="5" s="1"/>
  <c r="J43" i="6"/>
  <c r="K43" i="6" s="1"/>
  <c r="J69" i="5"/>
  <c r="K69" i="5" s="1"/>
  <c r="J121" i="6"/>
  <c r="K121" i="6" s="1"/>
  <c r="J115" i="5"/>
  <c r="K115" i="5" s="1"/>
  <c r="J97" i="6"/>
  <c r="K97" i="6" s="1"/>
  <c r="J73" i="6"/>
  <c r="K73" i="6" s="1"/>
  <c r="J101" i="6"/>
  <c r="K101" i="6" s="1"/>
  <c r="J73" i="5"/>
  <c r="K73" i="5" s="1"/>
  <c r="J153" i="6"/>
  <c r="K153" i="6" s="1"/>
  <c r="J56" i="5"/>
  <c r="K56" i="5" s="1"/>
  <c r="J146" i="5"/>
  <c r="K146" i="5" s="1"/>
  <c r="J105" i="5"/>
  <c r="K105" i="5" s="1"/>
  <c r="J57" i="5"/>
  <c r="K57" i="5" s="1"/>
  <c r="J167" i="5"/>
  <c r="K167" i="5" s="1"/>
  <c r="J102" i="6"/>
  <c r="K102" i="6" s="1"/>
  <c r="J51" i="5"/>
  <c r="K51" i="5" s="1"/>
  <c r="J125" i="6"/>
  <c r="K125" i="6" s="1"/>
  <c r="J34" i="6"/>
  <c r="K34" i="6" s="1"/>
  <c r="J97" i="5"/>
  <c r="K97" i="5" s="1"/>
  <c r="J53" i="5"/>
  <c r="K53" i="5" s="1"/>
  <c r="J143" i="5"/>
  <c r="K143" i="5" s="1"/>
  <c r="J149" i="6"/>
  <c r="K149" i="6" s="1"/>
  <c r="J79" i="5"/>
  <c r="K79" i="5" s="1"/>
  <c r="J36" i="6"/>
  <c r="K36" i="6" s="1"/>
  <c r="J106" i="5"/>
  <c r="K106" i="5" s="1"/>
  <c r="J135" i="5"/>
  <c r="K135" i="5" s="1"/>
  <c r="J121" i="5"/>
  <c r="K121" i="5" s="1"/>
  <c r="J87" i="5"/>
  <c r="K87" i="5" s="1"/>
  <c r="J145" i="5"/>
  <c r="K145" i="5" s="1"/>
  <c r="J74" i="5"/>
  <c r="K74" i="5" s="1"/>
  <c r="J126" i="5"/>
  <c r="K126" i="5" s="1"/>
  <c r="J50" i="6"/>
  <c r="K50" i="6" s="1"/>
  <c r="J154" i="5"/>
  <c r="K154" i="5" s="1"/>
  <c r="J88" i="5"/>
  <c r="K88" i="5" s="1"/>
  <c r="J103" i="6"/>
  <c r="K103" i="6" s="1"/>
  <c r="J94" i="5"/>
  <c r="K94" i="5" s="1"/>
  <c r="J58" i="5"/>
  <c r="K58" i="5" s="1"/>
  <c r="J136" i="6"/>
  <c r="K136" i="6" s="1"/>
  <c r="J126" i="6"/>
  <c r="K126" i="6" s="1"/>
  <c r="J166" i="6"/>
  <c r="K166" i="6" s="1"/>
  <c r="J109" i="6"/>
  <c r="K109" i="6" s="1"/>
  <c r="J77" i="6"/>
  <c r="K77" i="6" s="1"/>
  <c r="J78" i="6"/>
  <c r="K78" i="6" s="1"/>
  <c r="J68" i="6"/>
  <c r="K68" i="6" s="1"/>
  <c r="J67" i="6"/>
  <c r="K67" i="6" s="1"/>
  <c r="J112" i="6"/>
  <c r="K112" i="6" s="1"/>
  <c r="J28" i="6"/>
  <c r="K28" i="6" s="1"/>
  <c r="J104" i="5"/>
  <c r="K104" i="5" s="1"/>
  <c r="J74" i="6"/>
  <c r="K74" i="6" s="1"/>
  <c r="J50" i="5"/>
  <c r="K50" i="5" s="1"/>
  <c r="J46" i="6"/>
  <c r="K46" i="6" s="1"/>
  <c r="J165" i="6"/>
  <c r="K165" i="6" s="1"/>
  <c r="J39" i="6"/>
  <c r="K39" i="6" s="1"/>
  <c r="J171" i="6"/>
  <c r="K171" i="6" s="1"/>
  <c r="J116" i="6"/>
  <c r="K116" i="6" s="1"/>
  <c r="J99" i="6"/>
  <c r="K99" i="6" s="1"/>
  <c r="J145" i="6"/>
  <c r="K145" i="6" s="1"/>
  <c r="J172" i="6"/>
  <c r="K172" i="6" s="1"/>
  <c r="J109" i="5"/>
  <c r="K109" i="5" s="1"/>
  <c r="J60" i="6"/>
  <c r="K60" i="6" s="1"/>
  <c r="J100" i="6"/>
  <c r="K100" i="6" s="1"/>
  <c r="J79" i="6"/>
  <c r="K79" i="6" s="1"/>
  <c r="J107" i="6"/>
  <c r="K107" i="6" s="1"/>
  <c r="J140" i="5"/>
  <c r="K140" i="5" s="1"/>
  <c r="J152" i="6"/>
  <c r="K152" i="6" s="1"/>
  <c r="J128" i="6"/>
  <c r="K128" i="6" s="1"/>
  <c r="J85" i="6"/>
  <c r="K85" i="6" s="1"/>
  <c r="J165" i="5"/>
  <c r="K165" i="5" s="1"/>
  <c r="J77" i="5"/>
  <c r="K77" i="5" s="1"/>
  <c r="J130" i="5"/>
  <c r="K130" i="5" s="1"/>
  <c r="J108" i="5"/>
  <c r="K108" i="5" s="1"/>
  <c r="J51" i="6"/>
  <c r="K51" i="6" s="1"/>
  <c r="J86" i="5"/>
  <c r="K86" i="5" s="1"/>
  <c r="J120" i="6"/>
  <c r="K120" i="6" s="1"/>
  <c r="J57" i="6"/>
  <c r="K57" i="6" s="1"/>
  <c r="J91" i="5"/>
  <c r="K91" i="5" s="1"/>
  <c r="J159" i="6"/>
  <c r="K159" i="6" s="1"/>
  <c r="J162" i="5"/>
  <c r="K162" i="5" s="1"/>
  <c r="J86" i="6"/>
  <c r="K86" i="6" s="1"/>
  <c r="J76" i="5"/>
  <c r="K76" i="5" s="1"/>
  <c r="J150" i="5"/>
  <c r="K150" i="5" s="1"/>
  <c r="J131" i="6"/>
  <c r="K131" i="6" s="1"/>
  <c r="J130" i="6"/>
  <c r="K130" i="6" s="1"/>
  <c r="J158" i="6"/>
  <c r="K158" i="6" s="1"/>
  <c r="J40" i="6"/>
  <c r="K40" i="6" s="1"/>
  <c r="J162" i="6"/>
  <c r="K162" i="6" s="1"/>
  <c r="J111" i="6"/>
  <c r="K111" i="6" s="1"/>
  <c r="J92" i="6"/>
  <c r="K92" i="6" s="1"/>
  <c r="J26" i="6"/>
  <c r="K26" i="6" s="1"/>
  <c r="J166" i="5"/>
  <c r="K166" i="5" s="1"/>
  <c r="J151" i="6"/>
  <c r="K151" i="6" s="1"/>
  <c r="J75" i="6"/>
  <c r="K75" i="6" s="1"/>
  <c r="J113" i="5"/>
  <c r="K113" i="5" s="1"/>
  <c r="J32" i="6"/>
  <c r="K32" i="6" s="1"/>
  <c r="J144" i="6"/>
  <c r="K144" i="6" s="1"/>
  <c r="J38" i="6"/>
  <c r="K38" i="6" s="1"/>
  <c r="J69" i="6"/>
  <c r="K69" i="6" s="1"/>
  <c r="J83" i="5"/>
  <c r="K83" i="5" s="1"/>
  <c r="J82" i="6"/>
  <c r="K82" i="6" s="1"/>
  <c r="J44" i="6"/>
  <c r="K44" i="6" s="1"/>
  <c r="J154" i="6"/>
  <c r="K154" i="6" s="1"/>
  <c r="J87" i="6"/>
  <c r="K87" i="6" s="1"/>
  <c r="J167" i="6"/>
  <c r="K167" i="6" s="1"/>
  <c r="J33" i="6"/>
  <c r="K33" i="6" s="1"/>
  <c r="J93" i="6"/>
  <c r="K93" i="6" s="1"/>
  <c r="J27" i="6"/>
  <c r="K27" i="6" s="1"/>
  <c r="J52" i="6"/>
  <c r="K52" i="6" s="1"/>
  <c r="J137" i="6"/>
  <c r="K137" i="6" s="1"/>
  <c r="J80" i="5"/>
  <c r="K80" i="5" s="1"/>
  <c r="J169" i="5"/>
  <c r="K169" i="5" s="1"/>
  <c r="J47" i="6"/>
  <c r="K47" i="6" s="1"/>
  <c r="J95" i="6"/>
  <c r="K95" i="6" s="1"/>
  <c r="J129" i="5"/>
  <c r="K129" i="5" s="1"/>
  <c r="J141" i="6"/>
  <c r="K141" i="6" s="1"/>
  <c r="J105" i="6"/>
  <c r="K105" i="6" s="1"/>
  <c r="J123" i="6"/>
  <c r="K123" i="6" s="1"/>
  <c r="J142" i="6"/>
  <c r="K142" i="6" s="1"/>
  <c r="J164" i="6"/>
  <c r="K164" i="6" s="1"/>
  <c r="J66" i="6"/>
  <c r="K66" i="6" s="1"/>
  <c r="J115" i="6"/>
  <c r="K115" i="6" s="1"/>
  <c r="J83" i="6"/>
  <c r="K83" i="6" s="1"/>
  <c r="J163" i="5"/>
  <c r="K163" i="5" s="1"/>
  <c r="J119" i="6"/>
  <c r="K119" i="6" s="1"/>
  <c r="J90" i="6"/>
  <c r="K90" i="6" s="1"/>
  <c r="J164" i="5"/>
  <c r="K164" i="5" s="1"/>
  <c r="J143" i="6"/>
  <c r="K143" i="6" s="1"/>
  <c r="J144" i="5"/>
  <c r="K144" i="5" s="1"/>
  <c r="J170" i="6"/>
  <c r="K170" i="6" s="1"/>
  <c r="J63" i="6"/>
  <c r="K63" i="6" s="1"/>
  <c r="J54" i="6"/>
  <c r="K54" i="6" s="1"/>
  <c r="J127" i="6"/>
  <c r="K127" i="6" s="1"/>
  <c r="J132" i="6"/>
  <c r="K132" i="6" s="1"/>
  <c r="J53" i="6"/>
  <c r="K53" i="6" s="1"/>
  <c r="J160" i="6"/>
  <c r="K160" i="6" s="1"/>
  <c r="J98" i="6"/>
  <c r="K98" i="6" s="1"/>
  <c r="J127" i="5"/>
  <c r="K127" i="5" s="1"/>
  <c r="J101" i="5"/>
  <c r="K101" i="5" s="1"/>
  <c r="J104" i="6"/>
  <c r="K104" i="6" s="1"/>
  <c r="J129" i="6"/>
  <c r="K129" i="6" s="1"/>
  <c r="J117" i="5"/>
  <c r="K117" i="5" s="1"/>
  <c r="J106" i="6"/>
  <c r="K106" i="6" s="1"/>
  <c r="J110" i="6"/>
  <c r="K110" i="6" s="1"/>
  <c r="J58" i="6"/>
  <c r="K58" i="6" s="1"/>
  <c r="J139" i="6"/>
  <c r="K139" i="6" s="1"/>
  <c r="J96" i="6"/>
  <c r="K96" i="6" s="1"/>
  <c r="J146" i="6"/>
  <c r="K146" i="6" s="1"/>
  <c r="J172" i="5"/>
  <c r="K172" i="5" s="1"/>
  <c r="O22" i="12" a="1"/>
  <c r="O22" i="11" a="1"/>
  <c r="O22" i="12" l="1"/>
  <c r="O22" i="11"/>
  <c r="J24" i="5"/>
  <c r="K24" i="5" s="1"/>
  <c r="K42" i="6"/>
  <c r="L24" i="5" a="1"/>
  <c r="L24" i="5" l="1"/>
  <c r="K20" i="6" a="1"/>
  <c r="K20" i="6" s="1"/>
  <c r="L23" i="6" a="1"/>
  <c r="L23" i="6"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<sst xmlns="http://schemas.openxmlformats.org/spreadsheetml/2006/main" count="169" uniqueCount="135">
  <si>
    <t>Version</t>
  </si>
  <si>
    <t>Last Change</t>
  </si>
  <si>
    <t>Disclaimer</t>
  </si>
  <si>
    <t>Curve Parameters</t>
  </si>
  <si>
    <t>FSP</t>
  </si>
  <si>
    <t>UFR</t>
  </si>
  <si>
    <t>Convergence</t>
  </si>
  <si>
    <t>DLT</t>
  </si>
  <si>
    <t>VA Parameters</t>
  </si>
  <si>
    <t>Currency RCS</t>
  </si>
  <si>
    <t>Country RCS</t>
  </si>
  <si>
    <t>Debt to Total Assets</t>
  </si>
  <si>
    <t>Legend</t>
  </si>
  <si>
    <t>Maturity [Y]</t>
  </si>
  <si>
    <t>Credit Spread Sensitivity Ratio Calculation</t>
  </si>
  <si>
    <t>Parameters</t>
  </si>
  <si>
    <t>Notional VA</t>
  </si>
  <si>
    <t>CSSR Curve</t>
  </si>
  <si>
    <t>Sensitivity Ratio</t>
  </si>
  <si>
    <t>CSSR</t>
  </si>
  <si>
    <t>Settings</t>
  </si>
  <si>
    <t>Macro VA?</t>
  </si>
  <si>
    <t>Boolean</t>
  </si>
  <si>
    <t>VA Calculation</t>
  </si>
  <si>
    <t>Currency VA</t>
  </si>
  <si>
    <t>Macro VA</t>
  </si>
  <si>
    <t>Total VA</t>
  </si>
  <si>
    <t>VA Curve</t>
  </si>
  <si>
    <t>USA?</t>
  </si>
  <si>
    <t>USA</t>
  </si>
  <si>
    <t>Parameter not applicable</t>
  </si>
  <si>
    <t>Usage Guide</t>
  </si>
  <si>
    <t>LLFR</t>
  </si>
  <si>
    <t>Instrument</t>
  </si>
  <si>
    <t>SWP</t>
  </si>
  <si>
    <t>GVT</t>
  </si>
  <si>
    <t>CRA</t>
  </si>
  <si>
    <t>Coupon Frequency</t>
  </si>
  <si>
    <t>Bootstrapped Zero Rate CC</t>
  </si>
  <si>
    <t>LLFR Weight</t>
  </si>
  <si>
    <t>Input Data &amp; Extrapolation</t>
  </si>
  <si>
    <t>Abbreviations</t>
  </si>
  <si>
    <t>VA</t>
  </si>
  <si>
    <t>RFR</t>
  </si>
  <si>
    <t>RCS</t>
  </si>
  <si>
    <t>PVBP</t>
  </si>
  <si>
    <t>AC</t>
  </si>
  <si>
    <t>CC</t>
  </si>
  <si>
    <t>MV</t>
  </si>
  <si>
    <t>BEL</t>
  </si>
  <si>
    <t>annually compounded</t>
  </si>
  <si>
    <t>best estimate liabilities</t>
  </si>
  <si>
    <t>continuously compounded</t>
  </si>
  <si>
    <t>credit risk adjustment</t>
  </si>
  <si>
    <t>credit spread sensitivity ratio</t>
  </si>
  <si>
    <t>first smoothing point</t>
  </si>
  <si>
    <t>government bond</t>
  </si>
  <si>
    <t>last liquid forward rate</t>
  </si>
  <si>
    <t>market value</t>
  </si>
  <si>
    <t>risk-corrected spread</t>
  </si>
  <si>
    <t>risk-free rate</t>
  </si>
  <si>
    <t>interest rate swap</t>
  </si>
  <si>
    <t>ultimate forward rate</t>
  </si>
  <si>
    <t>volatility adjustment</t>
  </si>
  <si>
    <t>deep, liquid and transparent</t>
  </si>
  <si>
    <t>LLP</t>
  </si>
  <si>
    <t>last liquid point</t>
  </si>
  <si>
    <t>price value of a basis point</t>
  </si>
  <si>
    <t>Credit Spread Sensitivity Calculation</t>
  </si>
  <si>
    <t>Term Structure with Notional VA</t>
  </si>
  <si>
    <t>Voltatility Adjustment Term Structures</t>
  </si>
  <si>
    <t>Implementation Details</t>
  </si>
  <si>
    <t>This tool is structured into three sections:
 1. The worksheet titled 'Input Data &amp; Extrapolation' manages VA-relevant input data and the extrapolation of the basic risk-free interest rate term structure.
 2. The worksheet named 'CSSR Calculation' addresses the computation of the credit spread sensitivity ratio, including its underlying components, along with the necessary risk-free interest rate term structure.
 3. The worksheet called 'VA Term Structures' extrapolates the final risk-free interest rate term structure, incorporating the volatility adjustment.</t>
  </si>
  <si>
    <t>The calculation of the volatility adjustment relies on three key input parameters located at the top right of the worksheet. It is necessary to input the risk-corrected spreads at both the currency and country levels (only relevant for the euro) in this section. These values are utilised within the "CSSR Calculation" and "VA Term Structures" worksheets.</t>
  </si>
  <si>
    <t xml:space="preserve">To calculate the credit spread sensitivity, utilise the term structure provided in the "CSSR Curve" column. This term structure is essential for determining the price value of basis points for both assets and best estimate liabilities.
</t>
  </si>
  <si>
    <t>Input data</t>
  </si>
  <si>
    <t>Intermediary calculation</t>
  </si>
  <si>
    <t>Output data</t>
  </si>
  <si>
    <t>Instrument Type</t>
  </si>
  <si>
    <t>Once the parameters are configured, the risk-free interest rate term structure with volatility adjustment can be found in the "VA curve" column. This curve can then be used in the calculation of the technical provisions.</t>
  </si>
  <si>
    <t>Named ranges have been employed throughout the formulas to enhance the transparency of the calculations. The naming convention used is as follows:
- Prefix with "R" for ranges
- Prefix with "V" for (scalar) values
- Prefix with "L" for validation lists
The calculation of the bootstrapped curve, the last liquid forward rates as well as the extrapolation of the curve itself are implemented using VBA. To access the VBA code, navigate to the "Developer" tab or use the shortcut ALT + F11. All functions are organised in the module named  "mExtrapolation".</t>
  </si>
  <si>
    <t>Extrapolation?</t>
  </si>
  <si>
    <t>For the inter- and extrapolation of the basic risk-free interest rate term structure, it is necessary to input the fundamental parameters at the top of the worksheet. These parameters include:
 1. Extrapolation?: To extrapolate the basic risk-free interest rate term structure based on market data, set the option to "TRUE." Otherwise, set the option to "FALSE" to use an already extrapolated term structure. In that case the other parameters can be ignored.
 2. Instrument Type: Indicate either interest rate swaps ('SWP') or zero-coupon government bonds ('GVT').
 3. Coupon Frequency: Specify the frequency of the coupon payments for swaps, if applicable.
 4. FSP: Enter the first smoothing point of the term structure.
 5. UFR: Provide the ultimate forward rate for the extrapolation.
 6. Convergence: Input the convergence (alpha) parameter.
 7. CRA: Specify the credit risk adjustment in basis points.
It is essential that all required fields are accurately completed to ensure the correct extrapolation of the term structure.</t>
  </si>
  <si>
    <t>Basic Risk-Free Interest Rate Term Structure</t>
  </si>
  <si>
    <t>Risk-free Interest Rate Term Structure with Volatility Adjustment</t>
  </si>
  <si>
    <t>Risk-Free Interest Rate Term Structures with Volatility Adjustment</t>
  </si>
  <si>
    <t>LLFR Weights Check</t>
  </si>
  <si>
    <t>Above the "LLFR Weight" column is an indicator that shows whether the LLFR weights are summing up to 1. If the "ERROR" message appears, the weights must be corrected.</t>
  </si>
  <si>
    <t>undertaking-specific adjustment</t>
  </si>
  <si>
    <t>RFR CC</t>
  </si>
  <si>
    <t>Fwd RFR CC + VA*</t>
  </si>
  <si>
    <t>Fwd RFR CC + VA</t>
  </si>
  <si>
    <t>Input LLFR</t>
  </si>
  <si>
    <t>Fwd RFR CC</t>
  </si>
  <si>
    <t>FWD</t>
  </si>
  <si>
    <t>forward rate</t>
  </si>
  <si>
    <t>In the section titled "Sensitivity Ratio" at the top right of the worksheet, enter the market values of assets and best estimate liabilities for both the base case and the calculation using the CSSR curve. This section will automatically calculate the price value of a basis point (PVBP) and the credit spread sensitivity ratio (CSSR), which can be reviewed in the same area.</t>
  </si>
  <si>
    <t>If the "Extrapolation?" parameter is set to the option "TRUE", then, the deep, liquid and transparent (DLT) points of the term structure must be identified in the "DLT" column by entering a "1" for DLT points and a "0" for non-DLT points. In the "LLFR Weight" column, input weights for the last liquid forward rate (LLFR) that sum to 1. For instance, if there is one DLT point after the first smoothing point (FSP), a weight has to be entered for the FSP and this point. Lastly, the market interest rates should be entered in the "Input Rate" column. The annually discretly compounded extrapolated curve is displayed in the "Extrapolated Zero Rate AC" column.</t>
  </si>
  <si>
    <t>©EIOPA, 2026.</t>
  </si>
  <si>
    <t xml:space="preserve">The content of this workbook is made available by EIOPA for public information purposes only. It is not intended to be used for any other purpose. EIOPA shall not be liable for any error or inaccuracy in the content of this workbook, for any action taken in reliance thereon. EIOPA expressly disclaims all warranties, expressed or implied, as to the accuracy of any of the content provided or as to the merchantability or fitness of the content provided.
© EIOPA - European Insurance and Occupational Pensions Authority, 2026.
Reproduction is authorised provided that you acknowledge EIOPA as the source: "Source: EIOPA - European Insurance and Occupational Pensions Authority".
</t>
  </si>
  <si>
    <t>Interest Rate Risk</t>
  </si>
  <si>
    <r>
      <t>s</t>
    </r>
    <r>
      <rPr>
        <b/>
        <vertAlign val="subscript"/>
        <sz val="11"/>
        <color theme="1"/>
        <rFont val="Calibri"/>
        <family val="2"/>
      </rPr>
      <t>m</t>
    </r>
    <r>
      <rPr>
        <b/>
        <vertAlign val="superscript"/>
        <sz val="11"/>
        <color theme="1"/>
        <rFont val="Calibri"/>
        <family val="2"/>
      </rPr>
      <t>up</t>
    </r>
  </si>
  <si>
    <r>
      <t>b</t>
    </r>
    <r>
      <rPr>
        <b/>
        <vertAlign val="subscript"/>
        <sz val="11"/>
        <color theme="1"/>
        <rFont val="Calibri"/>
        <family val="2"/>
      </rPr>
      <t>m</t>
    </r>
    <r>
      <rPr>
        <b/>
        <vertAlign val="superscript"/>
        <sz val="11"/>
        <color theme="1"/>
        <rFont val="Calibri"/>
        <family val="2"/>
      </rPr>
      <t>up</t>
    </r>
  </si>
  <si>
    <r>
      <t>s</t>
    </r>
    <r>
      <rPr>
        <b/>
        <vertAlign val="subscript"/>
        <sz val="11"/>
        <color theme="1"/>
        <rFont val="Calibri"/>
        <family val="2"/>
      </rPr>
      <t>m</t>
    </r>
    <r>
      <rPr>
        <b/>
        <vertAlign val="superscript"/>
        <sz val="11"/>
        <color theme="1"/>
        <rFont val="Calibri"/>
        <family val="2"/>
      </rPr>
      <t>down</t>
    </r>
  </si>
  <si>
    <r>
      <t>b</t>
    </r>
    <r>
      <rPr>
        <b/>
        <vertAlign val="subscript"/>
        <sz val="11"/>
        <color theme="1"/>
        <rFont val="Calibri"/>
        <family val="2"/>
      </rPr>
      <t>m</t>
    </r>
    <r>
      <rPr>
        <b/>
        <vertAlign val="superscript"/>
        <sz val="11"/>
        <color theme="1"/>
        <rFont val="Calibri"/>
        <family val="2"/>
      </rPr>
      <t>down</t>
    </r>
  </si>
  <si>
    <t>Interest Rate Risk Up Shock</t>
  </si>
  <si>
    <t>Up Shock Risk-Free Interest Rate Term Structure</t>
  </si>
  <si>
    <t>IRR Shock Up AC</t>
  </si>
  <si>
    <t>IRR Shock Up CC</t>
  </si>
  <si>
    <t>IRR Up RFR</t>
  </si>
  <si>
    <t>Fwd IRR Shock Up CC</t>
  </si>
  <si>
    <t>Fwd + VA CC</t>
  </si>
  <si>
    <t>IRR Up with VA</t>
  </si>
  <si>
    <t>IRR Shock Down AC</t>
  </si>
  <si>
    <t>IRR Shock Down CC</t>
  </si>
  <si>
    <t>IRR Down RFR</t>
  </si>
  <si>
    <t>Fwd IRR Shock Down CC</t>
  </si>
  <si>
    <t>IRR Down with VA</t>
  </si>
  <si>
    <t>IRR</t>
  </si>
  <si>
    <t>interest rate risk</t>
  </si>
  <si>
    <t>Down Shock Risk-Free Interest Rate Term Structure</t>
  </si>
  <si>
    <t>Interest Rate Risk Down Shock</t>
  </si>
  <si>
    <r>
      <t>r</t>
    </r>
    <r>
      <rPr>
        <b/>
        <vertAlign val="subscript"/>
        <sz val="11"/>
        <color theme="1"/>
        <rFont val="Calibri"/>
        <family val="2"/>
      </rPr>
      <t>m</t>
    </r>
    <r>
      <rPr>
        <b/>
        <vertAlign val="superscript"/>
        <sz val="11"/>
        <color theme="1"/>
        <rFont val="Calibri"/>
        <family val="2"/>
      </rPr>
      <t>floor</t>
    </r>
  </si>
  <si>
    <t>Maturity m [years]</t>
  </si>
  <si>
    <r>
      <t>LLFR</t>
    </r>
    <r>
      <rPr>
        <vertAlign val="subscript"/>
        <sz val="11"/>
        <color theme="1"/>
        <rFont val="Calibri"/>
        <family val="2"/>
      </rPr>
      <t>IRR Down</t>
    </r>
  </si>
  <si>
    <r>
      <t>LLFR</t>
    </r>
    <r>
      <rPr>
        <vertAlign val="superscript"/>
        <sz val="11"/>
        <color theme="1"/>
        <rFont val="Calibri"/>
        <family val="2"/>
      </rPr>
      <t>*</t>
    </r>
    <r>
      <rPr>
        <vertAlign val="subscript"/>
        <sz val="11"/>
        <color theme="1"/>
        <rFont val="Calibri"/>
        <family val="2"/>
      </rPr>
      <t>IRR Down</t>
    </r>
  </si>
  <si>
    <r>
      <t>LLFR</t>
    </r>
    <r>
      <rPr>
        <vertAlign val="subscript"/>
        <sz val="11"/>
        <color theme="1"/>
        <rFont val="Calibri"/>
        <family val="2"/>
      </rPr>
      <t>IRR Up</t>
    </r>
  </si>
  <si>
    <r>
      <t>LLFR</t>
    </r>
    <r>
      <rPr>
        <vertAlign val="superscript"/>
        <sz val="11"/>
        <color theme="1"/>
        <rFont val="Calibri"/>
        <family val="2"/>
      </rPr>
      <t>*</t>
    </r>
    <r>
      <rPr>
        <vertAlign val="subscript"/>
        <sz val="11"/>
        <color theme="1"/>
        <rFont val="Calibri"/>
        <family val="2"/>
      </rPr>
      <t>IRR Up</t>
    </r>
  </si>
  <si>
    <t>Input Rate</t>
  </si>
  <si>
    <t>Bootstrapped Zero Rate AC</t>
  </si>
  <si>
    <t xml:space="preserve">The "IRR Up Shock" and "IRR Down Shock" worksheets demonstrate the computation of the interest rate risk shocked term structures without and with volatility adjustment. 
No data has to be entered in both worksheets, as all data from the worksheet "Input Data &amp; Extrapolation" as well as the total VA from the "VA Term Structures" worksheet is used. Care has to be taken that market data and not RFR term structures are entered in the "Input Data &amp; Extrapolation" worksheet as this is required for the LLFR calculation.
</t>
  </si>
  <si>
    <t>If the "Extrapolation?" parameter is set to the option "FALSE", then the correct DLT, LLFR weight, UFR, convergence, and LLFR parameters still have to be entered, but the basic risk-free rate term structure has to be put in the column 'Input RFR". Note: the correct DLT, LLFR weight, UFR, convergence, and LLFR parameters are the ones which were used for the construction of the basic risk-free rate term structure in this case.</t>
  </si>
  <si>
    <t>Finally, the term structure with the volatility adjustment can be calculated in the "VA Term Structures" worksheet. Up to three parameters need to be configured:
 1. Macro VA?: To calculate the volatility adjustment for a eurozone country, set the "Macro VA?" option to "TRUE." For other calculations, set it to "FALSE."
 2. USA?: If an undertaking-specific adjustment is to be included in the VA calculation, set the "USA?" option to "TRUE." Otherwise, set it to "FALSE."
 3. USA: If the "USA?" option is set to "TRUE," enter the specific adjustment value in the "USA" parameter field.
Ensure these parameters are correctly configured to accurately calculate the term structure with volatility adjustment.</t>
  </si>
  <si>
    <t>RFR Extrapolation &amp; Volatility Adjustment Tool</t>
  </si>
  <si>
    <t>This workbook demonstrates the extrapolation of the risk-free interest rate term structures and the calculation of the volatility adjustment.
It supports the RFR technical documentation sections 8-10 and annex D.
The workbook is based on the amendments to the Solvency II provisions set out in Directive (EU) 2025/2 and Commission Delegated Regulation (EU) 2026/269.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</si>
</sst>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 #,##0.00_-;_-* &quot;-&quot;??_-;_-@_-"/>
    <numFmt numFmtId="165" formatCode="0.0000"/>
    <numFmt numFmtId="166" formatCode="\ #,##0.00;\-#,##0;\-"/>
    <numFmt numFmtId="167" formatCode="0.000%"/>
    <numFmt numFmtId="168" formatCode="0&quot;Y&quot;"/>
    <numFmt numFmtId="169" formatCode="0&quot;bp&quot;"/>
    <numFmt numFmtId="170" formatCode="0.00000"/>
    <numFmt numFmtId="171" formatCode="0.000"/>
    <numFmt numFmtId="172" formatCode="0.0"/>
  </numFmts>
  <fonts count="19" x14ac:knownFonts="1">
    <font>
      <sz val="11"/>
      <color theme="1"/>
      <name val="Calibri"/>
      <family val="2"/>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Calibri"/>
      <family val="2"/>
    </font>
    <font>
      <sz val="11"/>
      <color theme="0" tint="-4.9989318521683403E-2"/>
      <name val="Calibri"/>
      <family val="2"/>
    </font>
    <font>
      <b/>
      <sz val="15"/>
      <color theme="3"/>
      <name val="Calibri"/>
      <family val="2"/>
    </font>
    <font>
      <b/>
      <sz val="11"/>
      <color theme="1"/>
      <name val="Calibri"/>
      <family val="2"/>
    </font>
    <font>
      <b/>
      <u/>
      <sz val="11"/>
      <color theme="1"/>
      <name val="Calibri"/>
      <family val="2"/>
    </font>
    <font>
      <u/>
      <sz val="11"/>
      <color theme="1"/>
      <name val="Calibri"/>
      <family val="2"/>
    </font>
    <font>
      <i/>
      <sz val="11"/>
      <color theme="1"/>
      <name val="Calibri"/>
      <family val="2"/>
    </font>
    <font>
      <b/>
      <sz val="13"/>
      <color theme="3"/>
      <name val="Calibri"/>
      <family val="2"/>
    </font>
    <font>
      <b/>
      <sz val="11"/>
      <color theme="3"/>
      <name val="Calibri"/>
      <family val="2"/>
    </font>
    <font>
      <b/>
      <vertAlign val="subscript"/>
      <sz val="11"/>
      <color theme="1"/>
      <name val="Calibri"/>
      <family val="2"/>
    </font>
    <font>
      <b/>
      <vertAlign val="superscript"/>
      <sz val="11"/>
      <color theme="1"/>
      <name val="Calibri"/>
      <family val="2"/>
    </font>
    <font>
      <vertAlign val="subscript"/>
      <sz val="11"/>
      <color theme="1"/>
      <name val="Calibri"/>
      <family val="2"/>
    </font>
    <font>
      <vertAlign val="superscript"/>
      <sz val="11"/>
      <color theme="1"/>
      <name val="Calibri"/>
      <family val="2"/>
    </font>
    <font>
      <b/>
      <sz val="11"/>
      <name val="Calibri"/>
      <family val="2"/>
    </font>
    <font>
      <sz val="11"/>
      <name val="Calibri"/>
      <family val="2"/>
    </font>
  </fonts>
  <fills count="9">
    <fill>
      <patternFill patternType="none"/>
    </fill>
    <fill>
      <patternFill patternType="gray125"/>
    </fill>
    <fill>
      <patternFill patternType="solid">
        <fgColor theme="0"/>
        <bgColor indexed="64"/>
      </patternFill>
    </fill>
    <fill>
      <patternFill patternType="solid">
        <fgColor rgb="FF2A4D69"/>
        <bgColor indexed="64"/>
      </patternFill>
    </fill>
    <fill>
      <patternFill patternType="solid">
        <fgColor rgb="FF98B6D6"/>
        <bgColor indexed="64"/>
      </patternFill>
    </fill>
    <fill>
      <patternFill patternType="solid">
        <fgColor rgb="FFB5CAE1"/>
        <bgColor indexed="64"/>
      </patternFill>
    </fill>
    <fill>
      <patternFill patternType="solid">
        <fgColor rgb="FFD3DFED"/>
        <bgColor indexed="64"/>
      </patternFill>
    </fill>
    <fill>
      <patternFill patternType="solid">
        <fgColor rgb="FFE1EAF3"/>
        <bgColor indexed="64"/>
      </patternFill>
    </fill>
    <fill>
      <patternFill patternType="lightUp">
        <bgColor theme="0"/>
      </patternFill>
    </fill>
  </fills>
  <borders count="15">
    <border>
      <left/>
      <right/>
      <top/>
      <bottom/>
      <diagonal/>
    </border>
    <border>
      <left/>
      <right/>
      <top/>
      <bottom style="thick">
        <color theme="4"/>
      </bottom>
      <diagonal/>
    </border>
    <border>
      <left/>
      <right/>
      <top/>
      <bottom style="thin">
        <color indexed="64"/>
      </bottom>
      <diagonal/>
    </border>
    <border>
      <left style="thin">
        <color rgb="FF98B6D6"/>
      </left>
      <right style="thin">
        <color rgb="FF98B6D6"/>
      </right>
      <top style="thin">
        <color rgb="FF98B6D6"/>
      </top>
      <bottom style="thin">
        <color rgb="FF98B6D6"/>
      </bottom>
      <diagonal/>
    </border>
    <border>
      <left style="thin">
        <color rgb="FFE1EAF3"/>
      </left>
      <right style="thin">
        <color rgb="FFE1EAF3"/>
      </right>
      <top style="thin">
        <color rgb="FFE1EAF3"/>
      </top>
      <bottom style="thin">
        <color rgb="FFE1EAF3"/>
      </bottom>
      <diagonal/>
    </border>
    <border>
      <left style="thin">
        <color rgb="FFE1EAF3"/>
      </left>
      <right/>
      <top style="thin">
        <color rgb="FFE1EAF3"/>
      </top>
      <bottom style="thin">
        <color rgb="FFE1EAF3"/>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thin">
        <color rgb="FFE1EAF3"/>
      </left>
      <right style="thin">
        <color rgb="FFE1EAF3"/>
      </right>
      <top style="thin">
        <color rgb="FFE1EAF3"/>
      </top>
      <bottom/>
      <diagonal/>
    </border>
    <border>
      <left/>
      <right/>
      <top/>
      <bottom style="medium">
        <color theme="4" tint="0.39997558519241921"/>
      </bottom>
      <diagonal/>
    </border>
  </borders>
  <cellStyleXfs count="14">
    <xf numFmtId="0" fontId="0" fillId="0" borderId="0"/>
    <xf numFmtId="164" fontId="3" fillId="0" borderId="0" applyFont="0" applyFill="0" applyBorder="0" applyAlignment="0" applyProtection="0"/>
    <xf numFmtId="9" fontId="3" fillId="0" borderId="0" applyFont="0" applyFill="0" applyBorder="0" applyAlignment="0" applyProtection="0"/>
    <xf numFmtId="0" fontId="6" fillId="0" borderId="1" applyNumberFormat="0" applyFill="0" applyAlignment="0" applyProtection="0"/>
    <xf numFmtId="0" fontId="4" fillId="4" borderId="3" applyNumberFormat="0" applyAlignment="0" applyProtection="0"/>
    <xf numFmtId="0" fontId="4" fillId="7" borderId="4" applyNumberFormat="0" applyAlignment="0" applyProtection="0"/>
    <xf numFmtId="0" fontId="4" fillId="6" borderId="0" applyNumberFormat="0" applyBorder="0" applyAlignment="0" applyProtection="0"/>
    <xf numFmtId="0" fontId="2" fillId="5" borderId="0" applyNumberFormat="0" applyBorder="0" applyAlignment="0" applyProtection="0"/>
    <xf numFmtId="0" fontId="11" fillId="0" borderId="1" applyNumberFormat="0" applyFill="0" applyAlignment="0" applyProtection="0"/>
    <xf numFmtId="0" fontId="4" fillId="6" borderId="0" applyBorder="0" applyAlignment="0" applyProtection="0"/>
    <xf numFmtId="0" fontId="4" fillId="7" borderId="4" applyAlignment="0" applyProtection="0"/>
    <xf numFmtId="0" fontId="4" fillId="4" borderId="3" applyAlignment="0" applyProtection="0"/>
    <xf numFmtId="0" fontId="12" fillId="0" borderId="14" applyNumberFormat="0" applyFill="0" applyAlignment="0" applyProtection="0"/>
    <xf numFmtId="9" fontId="1" fillId="0" borderId="0" applyFont="0" applyFill="0" applyBorder="0" applyAlignment="0" applyProtection="0"/>
  </cellStyleXfs>
  <cellXfs count="93">
    <xf numFmtId="0" fontId="0" fillId="0" borderId="0" xfId="0"/>
    <xf numFmtId="0" fontId="4" fillId="2" borderId="0" xfId="0" applyFont="1" applyFill="1"/>
    <xf numFmtId="0" fontId="0" fillId="2" borderId="0" xfId="0" applyFill="1"/>
    <xf numFmtId="0" fontId="4" fillId="3" borderId="0" xfId="0" applyFont="1" applyFill="1"/>
    <xf numFmtId="0" fontId="0" fillId="3" borderId="0" xfId="0" applyFill="1"/>
    <xf numFmtId="0" fontId="5" fillId="3" borderId="0" xfId="0" applyFont="1" applyFill="1"/>
    <xf numFmtId="0" fontId="6" fillId="2" borderId="1" xfId="3" applyFill="1"/>
    <xf numFmtId="0" fontId="0" fillId="2" borderId="0" xfId="0" applyFill="1" applyAlignment="1">
      <alignment vertical="top"/>
    </xf>
    <xf numFmtId="0" fontId="7" fillId="2" borderId="2" xfId="0" applyFont="1" applyFill="1" applyBorder="1"/>
    <xf numFmtId="0" fontId="0" fillId="2" borderId="0" xfId="0" applyFill="1" applyAlignment="1">
      <alignment horizontal="left"/>
    </xf>
    <xf numFmtId="0" fontId="8" fillId="2" borderId="0" xfId="0" applyFont="1" applyFill="1" applyAlignment="1">
      <alignment horizontal="right" vertical="top"/>
    </xf>
    <xf numFmtId="0" fontId="7" fillId="2" borderId="0" xfId="0" applyFont="1" applyFill="1" applyAlignment="1">
      <alignment horizontal="right"/>
    </xf>
    <xf numFmtId="0" fontId="0" fillId="2" borderId="0" xfId="0" applyFill="1" applyAlignment="1">
      <alignment horizontal="right" vertical="top"/>
    </xf>
    <xf numFmtId="0" fontId="8" fillId="2" borderId="0" xfId="0" applyFont="1" applyFill="1"/>
    <xf numFmtId="0" fontId="8" fillId="2" borderId="0" xfId="0" applyFont="1" applyFill="1" applyAlignment="1">
      <alignment horizontal="left"/>
    </xf>
    <xf numFmtId="14" fontId="0" fillId="2" borderId="0" xfId="0" applyNumberFormat="1" applyFill="1" applyAlignment="1">
      <alignment horizontal="left"/>
    </xf>
    <xf numFmtId="0" fontId="0" fillId="2" borderId="0" xfId="0" applyFill="1" applyAlignment="1">
      <alignment horizontal="right"/>
    </xf>
    <xf numFmtId="0" fontId="0" fillId="2" borderId="2" xfId="0" applyFill="1" applyBorder="1"/>
    <xf numFmtId="0" fontId="4" fillId="4" borderId="3" xfId="4"/>
    <xf numFmtId="0" fontId="4" fillId="7" borderId="4" xfId="5"/>
    <xf numFmtId="0" fontId="4" fillId="6" borderId="0" xfId="6"/>
    <xf numFmtId="10" fontId="4" fillId="4" borderId="3" xfId="4" applyNumberFormat="1" applyAlignment="1">
      <alignment vertical="top"/>
    </xf>
    <xf numFmtId="9" fontId="4" fillId="4" borderId="3" xfId="4" applyNumberFormat="1" applyAlignment="1">
      <alignment vertical="top"/>
    </xf>
    <xf numFmtId="0" fontId="9" fillId="2" borderId="0" xfId="0" applyFont="1" applyFill="1" applyAlignment="1">
      <alignment horizontal="right" vertical="top"/>
    </xf>
    <xf numFmtId="167" fontId="4" fillId="7" borderId="5" xfId="5" applyNumberFormat="1" applyBorder="1" applyAlignment="1">
      <alignment vertical="top"/>
    </xf>
    <xf numFmtId="167" fontId="4" fillId="7" borderId="5" xfId="5" applyNumberFormat="1" applyBorder="1"/>
    <xf numFmtId="164" fontId="4" fillId="4" borderId="3" xfId="1" applyFont="1" applyFill="1" applyBorder="1" applyAlignment="1">
      <alignment vertical="top"/>
    </xf>
    <xf numFmtId="0" fontId="0" fillId="8" borderId="0" xfId="0" applyFill="1"/>
    <xf numFmtId="0" fontId="11" fillId="2" borderId="1" xfId="8" applyFill="1"/>
    <xf numFmtId="167" fontId="4" fillId="7" borderId="0" xfId="5" applyNumberFormat="1" applyBorder="1" applyAlignment="1">
      <alignment vertical="top"/>
    </xf>
    <xf numFmtId="167" fontId="4" fillId="6" borderId="6" xfId="2" applyNumberFormat="1" applyFont="1" applyFill="1" applyBorder="1" applyAlignment="1">
      <alignment horizontal="right" vertical="top"/>
    </xf>
    <xf numFmtId="167" fontId="4" fillId="6" borderId="7" xfId="2" applyNumberFormat="1" applyFont="1" applyFill="1" applyBorder="1" applyAlignment="1">
      <alignment horizontal="right" vertical="top"/>
    </xf>
    <xf numFmtId="167" fontId="4" fillId="6" borderId="8" xfId="2" applyNumberFormat="1" applyFont="1" applyFill="1" applyBorder="1" applyAlignment="1">
      <alignment horizontal="right" vertical="top"/>
    </xf>
    <xf numFmtId="165" fontId="4" fillId="7" borderId="4" xfId="5" applyNumberFormat="1" applyAlignment="1">
      <alignment horizontal="right" vertical="top"/>
    </xf>
    <xf numFmtId="167" fontId="4" fillId="7" borderId="4" xfId="2" applyNumberFormat="1" applyFont="1" applyFill="1" applyBorder="1" applyAlignment="1">
      <alignment horizontal="right" vertical="top"/>
    </xf>
    <xf numFmtId="169" fontId="4" fillId="4" borderId="3" xfId="4" applyNumberFormat="1" applyAlignment="1">
      <alignment vertical="top"/>
    </xf>
    <xf numFmtId="1" fontId="4" fillId="4" borderId="3" xfId="4" applyNumberFormat="1" applyAlignment="1">
      <alignment horizontal="right" vertical="top"/>
    </xf>
    <xf numFmtId="0" fontId="7" fillId="2" borderId="0" xfId="0" applyFont="1" applyFill="1" applyAlignment="1">
      <alignment horizontal="right" wrapText="1"/>
    </xf>
    <xf numFmtId="0" fontId="7" fillId="2" borderId="0" xfId="0" applyFont="1" applyFill="1" applyAlignment="1">
      <alignment horizontal="center" wrapText="1"/>
    </xf>
    <xf numFmtId="0" fontId="4" fillId="4" borderId="3" xfId="11" applyAlignment="1">
      <alignment horizontal="center" vertical="top"/>
    </xf>
    <xf numFmtId="0" fontId="4" fillId="4" borderId="3" xfId="11" applyAlignment="1">
      <alignment horizontal="center"/>
    </xf>
    <xf numFmtId="167" fontId="4" fillId="4" borderId="3" xfId="2" applyNumberFormat="1" applyFont="1" applyFill="1" applyBorder="1"/>
    <xf numFmtId="167" fontId="4" fillId="4" borderId="3" xfId="2" applyNumberFormat="1" applyFont="1" applyFill="1" applyBorder="1" applyAlignment="1">
      <alignment horizontal="right"/>
    </xf>
    <xf numFmtId="166" fontId="4" fillId="4" borderId="3" xfId="11" applyNumberFormat="1" applyAlignment="1">
      <alignment horizontal="center" vertical="top"/>
    </xf>
    <xf numFmtId="166" fontId="4" fillId="4" borderId="3" xfId="11" applyNumberFormat="1" applyAlignment="1">
      <alignment horizontal="center"/>
    </xf>
    <xf numFmtId="168" fontId="4" fillId="4" borderId="3" xfId="4" applyNumberFormat="1" applyAlignment="1">
      <alignment horizontal="center" vertical="top"/>
    </xf>
    <xf numFmtId="167" fontId="4" fillId="7" borderId="4" xfId="2" applyNumberFormat="1" applyFont="1" applyFill="1" applyBorder="1" applyAlignment="1">
      <alignment vertical="top"/>
    </xf>
    <xf numFmtId="167" fontId="4" fillId="7" borderId="5" xfId="2" applyNumberFormat="1" applyFont="1" applyFill="1" applyBorder="1"/>
    <xf numFmtId="167" fontId="4" fillId="6" borderId="10" xfId="2" applyNumberFormat="1" applyFont="1" applyFill="1" applyBorder="1"/>
    <xf numFmtId="167" fontId="4" fillId="6" borderId="11" xfId="2" applyNumberFormat="1" applyFont="1" applyFill="1" applyBorder="1"/>
    <xf numFmtId="167" fontId="4" fillId="6" borderId="12" xfId="2" applyNumberFormat="1" applyFont="1" applyFill="1" applyBorder="1"/>
    <xf numFmtId="164" fontId="4" fillId="7" borderId="4" xfId="1" applyFont="1" applyFill="1" applyBorder="1" applyAlignment="1">
      <alignment vertical="top"/>
    </xf>
    <xf numFmtId="164" fontId="4" fillId="7" borderId="13" xfId="1" applyFont="1" applyFill="1" applyBorder="1" applyAlignment="1">
      <alignment vertical="top"/>
    </xf>
    <xf numFmtId="2" fontId="4" fillId="6" borderId="9" xfId="6" applyNumberFormat="1" applyBorder="1" applyAlignment="1">
      <alignment vertical="top"/>
    </xf>
    <xf numFmtId="0" fontId="0" fillId="2" borderId="0" xfId="0" applyFill="1" applyAlignment="1">
      <alignment horizontal="justify" vertical="top" wrapText="1"/>
    </xf>
    <xf numFmtId="0" fontId="10" fillId="2" borderId="0" xfId="0" applyFont="1" applyFill="1"/>
    <xf numFmtId="0" fontId="10" fillId="2" borderId="0" xfId="0" applyFont="1" applyFill="1" applyAlignment="1">
      <alignment horizontal="left"/>
    </xf>
    <xf numFmtId="167" fontId="4" fillId="7" borderId="5" xfId="2" applyNumberFormat="1" applyFont="1" applyFill="1" applyBorder="1" applyAlignment="1">
      <alignment horizontal="right"/>
    </xf>
    <xf numFmtId="0" fontId="12" fillId="2" borderId="14" xfId="12" applyFill="1"/>
    <xf numFmtId="0" fontId="0" fillId="2" borderId="0" xfId="0" applyFill="1" applyAlignment="1">
      <alignment horizontal="left" wrapText="1"/>
    </xf>
    <xf numFmtId="0" fontId="4" fillId="4" borderId="3" xfId="4" applyAlignment="1">
      <alignment horizontal="center" vertical="top"/>
    </xf>
    <xf numFmtId="0" fontId="0" fillId="2" borderId="0" xfId="0" applyFill="1" applyAlignment="1">
      <alignment vertical="top" wrapText="1"/>
    </xf>
    <xf numFmtId="0" fontId="12" fillId="2" borderId="14" xfId="12" applyFill="1" applyAlignment="1">
      <alignment horizontal="right" vertical="top"/>
    </xf>
    <xf numFmtId="0" fontId="12" fillId="2" borderId="14" xfId="12" applyFill="1" applyAlignment="1">
      <alignment vertical="top"/>
    </xf>
    <xf numFmtId="0" fontId="12" fillId="0" borderId="14" xfId="12"/>
    <xf numFmtId="0" fontId="12" fillId="0" borderId="14" xfId="12" applyAlignment="1">
      <alignment horizontal="right"/>
    </xf>
    <xf numFmtId="0" fontId="0" fillId="2" borderId="0" xfId="0" applyFill="1" applyAlignment="1">
      <alignment horizontal="center" vertical="top"/>
    </xf>
    <xf numFmtId="9" fontId="0" fillId="2" borderId="0" xfId="0" applyNumberFormat="1" applyFill="1" applyAlignment="1">
      <alignment vertical="top"/>
    </xf>
    <xf numFmtId="167" fontId="4" fillId="4" borderId="3" xfId="2" applyNumberFormat="1" applyFont="1" applyFill="1" applyBorder="1" applyAlignment="1">
      <alignment vertical="top"/>
    </xf>
    <xf numFmtId="168" fontId="4" fillId="7" borderId="4" xfId="10" applyNumberFormat="1" applyAlignment="1">
      <alignment vertical="top"/>
    </xf>
    <xf numFmtId="0" fontId="7" fillId="2" borderId="0" xfId="0" applyFont="1" applyFill="1" applyAlignment="1">
      <alignment horizontal="right" vertical="top"/>
    </xf>
    <xf numFmtId="10" fontId="0" fillId="2" borderId="0" xfId="0" applyNumberFormat="1" applyFill="1"/>
    <xf numFmtId="9" fontId="0" fillId="2" borderId="0" xfId="0" applyNumberFormat="1" applyFill="1"/>
    <xf numFmtId="0" fontId="5" fillId="3" borderId="0" xfId="0" applyFont="1" applyFill="1" applyAlignment="1">
      <alignment horizontal="right"/>
    </xf>
    <xf numFmtId="167" fontId="4" fillId="7" borderId="4" xfId="13" applyNumberFormat="1" applyFont="1" applyFill="1" applyBorder="1" applyAlignment="1">
      <alignment vertical="top"/>
    </xf>
    <xf numFmtId="167" fontId="4" fillId="7" borderId="0" xfId="13" applyNumberFormat="1" applyFont="1" applyFill="1" applyBorder="1"/>
    <xf numFmtId="167" fontId="4" fillId="6" borderId="10" xfId="13" applyNumberFormat="1" applyFont="1" applyFill="1" applyBorder="1"/>
    <xf numFmtId="167" fontId="4" fillId="6" borderId="11" xfId="13" applyNumberFormat="1" applyFont="1" applyFill="1" applyBorder="1"/>
    <xf numFmtId="167" fontId="4" fillId="6" borderId="12" xfId="13" applyNumberFormat="1" applyFont="1" applyFill="1" applyBorder="1"/>
    <xf numFmtId="167" fontId="0" fillId="2" borderId="0" xfId="0" applyNumberFormat="1" applyFill="1"/>
    <xf numFmtId="0" fontId="4" fillId="7" borderId="4" xfId="10" applyAlignment="1">
      <alignment vertical="top"/>
    </xf>
    <xf numFmtId="10" fontId="4" fillId="7" borderId="4" xfId="2" applyNumberFormat="1" applyFont="1" applyFill="1" applyBorder="1" applyAlignment="1">
      <alignment vertical="top"/>
    </xf>
    <xf numFmtId="170" fontId="4" fillId="7" borderId="4" xfId="5" applyNumberFormat="1" applyAlignment="1">
      <alignment vertical="top"/>
    </xf>
    <xf numFmtId="170" fontId="4" fillId="7" borderId="4" xfId="5" applyNumberFormat="1" applyAlignment="1">
      <alignment horizontal="right" vertical="top"/>
    </xf>
    <xf numFmtId="171" fontId="4" fillId="4" borderId="3" xfId="4" applyNumberFormat="1" applyAlignment="1">
      <alignment vertical="top"/>
    </xf>
    <xf numFmtId="0" fontId="17" fillId="2" borderId="0" xfId="0" applyFont="1" applyFill="1" applyAlignment="1">
      <alignment horizontal="right" wrapText="1"/>
    </xf>
    <xf numFmtId="0" fontId="17" fillId="2" borderId="0" xfId="0" applyFont="1" applyFill="1" applyAlignment="1">
      <alignment horizontal="right"/>
    </xf>
    <xf numFmtId="172" fontId="0" fillId="2" borderId="0" xfId="0" applyNumberFormat="1" applyFill="1" applyAlignment="1">
      <alignment horizontal="left"/>
    </xf>
    <xf numFmtId="165" fontId="4" fillId="7" borderId="4" xfId="5" applyNumberFormat="1" applyAlignment="1">
      <alignment vertical="top"/>
    </xf>
    <xf numFmtId="0" fontId="0" fillId="2" borderId="0" xfId="0" applyFill="1" applyAlignment="1">
      <alignment horizontal="justify" vertical="top" wrapText="1"/>
    </xf>
    <xf numFmtId="0" fontId="18" fillId="2" borderId="0" xfId="0" applyFont="1" applyFill="1" applyAlignment="1">
      <alignment horizontal="justify" vertical="center" wrapText="1"/>
    </xf>
    <xf numFmtId="0" fontId="0" fillId="2" borderId="0" xfId="0" applyFill="1" applyAlignment="1">
      <alignment horizontal="justify" vertical="center" wrapText="1"/>
    </xf>
    <xf numFmtId="0" fontId="18" fillId="2" borderId="0" xfId="0" applyFont="1" applyFill="1" applyAlignment="1">
      <alignment horizontal="justify" vertical="top" wrapText="1"/>
    </xf>
  </cellXfs>
  <cellStyles count="14">
    <cellStyle name="20% - Accent1" xfId="5" builtinId="30" customBuiltin="1"/>
    <cellStyle name="40% - Accent1" xfId="6" builtinId="31" customBuiltin="1"/>
    <cellStyle name="60% - Accent1" xfId="7" builtinId="32" customBuiltin="1"/>
    <cellStyle name="Accent1" xfId="4" builtinId="29" customBuiltin="1"/>
    <cellStyle name="Comma" xfId="1" builtinId="3"/>
    <cellStyle name="Heading 1" xfId="3" builtinId="16" customBuiltin="1"/>
    <cellStyle name="Heading 2" xfId="8" builtinId="17" customBuiltin="1"/>
    <cellStyle name="Heading 3" xfId="12" builtinId="18" customBuiltin="1"/>
    <cellStyle name="Input Data" xfId="11" xr:uid="{C43C42A8-763B-4674-99BF-62444C9955E1}"/>
    <cellStyle name="Intermediary Calculation" xfId="10" xr:uid="{F15DD69E-1FF6-4225-AF4A-47F32D324030}"/>
    <cellStyle name="Normal" xfId="0" builtinId="0" customBuiltin="1"/>
    <cellStyle name="Output Data" xfId="9" xr:uid="{5983A2CC-5219-4CF9-98ED-46A26B5FB809}"/>
    <cellStyle name="Percent" xfId="2" builtinId="5"/>
    <cellStyle name="Percent 2" xfId="13" xr:uid="{E56A2419-191E-4AAF-9678-3D38EB3A7850}"/>
  </cellStyles>
  <dxfs count="9">
    <dxf>
      <fill>
        <patternFill patternType="lightUp">
          <bgColor auto="1"/>
        </patternFill>
      </fill>
    </dxf>
    <dxf>
      <font>
        <color rgb="FFC00000"/>
      </font>
      <fill>
        <patternFill>
          <bgColor rgb="FFFF9999"/>
        </patternFill>
      </fill>
    </dxf>
    <dxf>
      <font>
        <color theme="9" tint="-0.24994659260841701"/>
      </font>
      <fill>
        <patternFill>
          <bgColor theme="9" tint="0.79998168889431442"/>
        </patternFill>
      </fill>
    </dxf>
    <dxf>
      <fill>
        <patternFill patternType="lightUp">
          <bgColor theme="0"/>
        </patternFill>
      </fill>
    </dxf>
    <dxf>
      <fill>
        <patternFill patternType="lightUp">
          <bgColor auto="1"/>
        </patternFill>
      </fill>
    </dxf>
    <dxf>
      <font>
        <b/>
        <i val="0"/>
      </font>
    </dxf>
    <dxf>
      <fill>
        <patternFill patternType="lightUp">
          <bgColor theme="0"/>
        </patternFill>
      </fill>
    </dxf>
    <dxf>
      <font>
        <strike val="0"/>
      </font>
      <fill>
        <patternFill patternType="lightUp"/>
      </fill>
    </dxf>
    <dxf>
      <fill>
        <patternFill patternType="lightUp"/>
      </fill>
    </dxf>
  </dxfs>
  <tableStyles count="0" defaultTableStyle="TableStyleMedium2" defaultPivotStyle="PivotStyleLight16"/>
  <colors>
    <mruColors>
      <color rgb="FF5C87B1"/>
      <color rgb="FF2A4D69"/>
      <color rgb="FFFF9999"/>
      <color rgb="FFE1EAF3"/>
      <color rgb="FF98B6D6"/>
      <color rgb="FFD3DFED"/>
      <color rgb="FFB5CA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18" Type="http://schemas.openxmlformats.org/officeDocument/2006/relationships/customXml" Target="../customXml/item4.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png"/><Relationship Id="rId18" Type="http://schemas.openxmlformats.org/officeDocument/2006/relationships/hyperlink" Target="#'IRR Up Shock'!A1"/><Relationship Id="rId3" Type="http://schemas.openxmlformats.org/officeDocument/2006/relationships/hyperlink" Target="#'CSSR Calculation'!A1"/><Relationship Id="rId7" Type="http://schemas.openxmlformats.org/officeDocument/2006/relationships/image" Target="../media/image3.png"/><Relationship Id="rId12" Type="http://schemas.openxmlformats.org/officeDocument/2006/relationships/image" Target="../media/image8.png"/><Relationship Id="rId17" Type="http://schemas.openxmlformats.org/officeDocument/2006/relationships/image" Target="../media/image13.png"/><Relationship Id="rId2" Type="http://schemas.openxmlformats.org/officeDocument/2006/relationships/hyperlink" Target="#'Input Data &amp; Extrapolation'!A1"/><Relationship Id="rId16"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image" Target="../media/image2.png"/><Relationship Id="rId11" Type="http://schemas.openxmlformats.org/officeDocument/2006/relationships/image" Target="../media/image7.png"/><Relationship Id="rId5" Type="http://schemas.openxmlformats.org/officeDocument/2006/relationships/hyperlink" Target="#Disclaimer!A1"/><Relationship Id="rId15" Type="http://schemas.openxmlformats.org/officeDocument/2006/relationships/image" Target="../media/image11.png"/><Relationship Id="rId10" Type="http://schemas.openxmlformats.org/officeDocument/2006/relationships/image" Target="../media/image6.png"/><Relationship Id="rId4" Type="http://schemas.openxmlformats.org/officeDocument/2006/relationships/hyperlink" Target="#'VA Term Structures'!A1"/><Relationship Id="rId9" Type="http://schemas.openxmlformats.org/officeDocument/2006/relationships/image" Target="../media/image5.png"/><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3" Type="http://schemas.openxmlformats.org/officeDocument/2006/relationships/hyperlink" Target="#'CSSR Calcu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VA Term Structures'!A1"/></Relationships>
</file>

<file path=xl/drawings/_rels/drawing3.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VA Term Structures'!A1"/></Relationships>
</file>

<file path=xl/drawings/_rels/drawing4.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CSSR Calculation'!A1"/></Relationships>
</file>

<file path=xl/drawings/_rels/drawing5.xml.rels><?xml version="1.0" encoding="UTF-8" standalone="yes"?>
<Relationships xmlns="http://schemas.openxmlformats.org/package/2006/relationships"><Relationship Id="rId8" Type="http://schemas.openxmlformats.org/officeDocument/2006/relationships/hyperlink" Target="#'IRR Down Shock'!A1"/><Relationship Id="rId3" Type="http://schemas.openxmlformats.org/officeDocument/2006/relationships/hyperlink" Target="#'Input Data &amp; Extrapolation'!A1"/><Relationship Id="rId7" Type="http://schemas.openxmlformats.org/officeDocument/2006/relationships/hyperlink" Target="#'IRR Up Shock'!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Disclaimer!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6.xml.rels><?xml version="1.0" encoding="UTF-8" standalone="yes"?>
<Relationships xmlns="http://schemas.openxmlformats.org/package/2006/relationships"><Relationship Id="rId8" Type="http://schemas.openxmlformats.org/officeDocument/2006/relationships/hyperlink" Target="#'IRR Down Shock'!A1"/><Relationship Id="rId3" Type="http://schemas.openxmlformats.org/officeDocument/2006/relationships/hyperlink" Target="#'Input Data &amp; Extrapolation'!A1"/><Relationship Id="rId7" Type="http://schemas.openxmlformats.org/officeDocument/2006/relationships/hyperlink" Target="#'IRR Up Shock'!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Disclaimer!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7.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8.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VA Term Structures'!A1"/><Relationship Id="rId4" Type="http://schemas.openxmlformats.org/officeDocument/2006/relationships/hyperlink" Target="#'CSSR Calculation'!A1"/></Relationships>
</file>

<file path=xl/drawings/drawing1.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5" name="Picture 4">
          <a:extLst>
            <a:ext uri="{FF2B5EF4-FFF2-40B4-BE49-F238E27FC236}">
              <a16:creationId xmlns:a16="http://schemas.microsoft.com/office/drawing/2014/main" id="{7548C0C8-69C7-0B56-DD1B-58D2D1D1A8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40576</xdr:rowOff>
    </xdr:to>
    <xdr:sp macro="" textlink="">
      <xdr:nvSpPr>
        <xdr:cNvPr id="6" name="Rectangle 5">
          <a:extLst>
            <a:ext uri="{FF2B5EF4-FFF2-40B4-BE49-F238E27FC236}">
              <a16:creationId xmlns:a16="http://schemas.microsoft.com/office/drawing/2014/main" id="{7A6D8C11-FF2B-0232-9F49-C697EDAD5E91}"/>
            </a:ext>
          </a:extLst>
        </xdr:cNvPr>
        <xdr:cNvSpPr/>
      </xdr:nvSpPr>
      <xdr:spPr>
        <a:xfrm>
          <a:off x="190500" y="971551"/>
          <a:ext cx="2219325" cy="326325"/>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168526</xdr:rowOff>
    </xdr:from>
    <xdr:to>
      <xdr:col>3</xdr:col>
      <xdr:colOff>581025</xdr:colOff>
      <xdr:row>8</xdr:row>
      <xdr:rowOff>115126</xdr:rowOff>
    </xdr:to>
    <xdr:sp macro="" textlink="">
      <xdr:nvSpPr>
        <xdr:cNvPr id="7" name="Rectangle 6">
          <a:hlinkClick xmlns:r="http://schemas.openxmlformats.org/officeDocument/2006/relationships" r:id="rId2"/>
          <a:extLst>
            <a:ext uri="{FF2B5EF4-FFF2-40B4-BE49-F238E27FC236}">
              <a16:creationId xmlns:a16="http://schemas.microsoft.com/office/drawing/2014/main" id="{F8164374-BA09-4F16-A485-DF58888B2C97}"/>
            </a:ext>
          </a:extLst>
        </xdr:cNvPr>
        <xdr:cNvSpPr/>
      </xdr:nvSpPr>
      <xdr:spPr>
        <a:xfrm>
          <a:off x="190500" y="142582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190500</xdr:colOff>
      <xdr:row>9</xdr:row>
      <xdr:rowOff>52576</xdr:rowOff>
    </xdr:from>
    <xdr:to>
      <xdr:col>3</xdr:col>
      <xdr:colOff>581025</xdr:colOff>
      <xdr:row>10</xdr:row>
      <xdr:rowOff>189676</xdr:rowOff>
    </xdr:to>
    <xdr:sp macro="" textlink="">
      <xdr:nvSpPr>
        <xdr:cNvPr id="9" name="Rectangle 8">
          <a:hlinkClick xmlns:r="http://schemas.openxmlformats.org/officeDocument/2006/relationships" r:id="rId3"/>
          <a:extLst>
            <a:ext uri="{FF2B5EF4-FFF2-40B4-BE49-F238E27FC236}">
              <a16:creationId xmlns:a16="http://schemas.microsoft.com/office/drawing/2014/main" id="{E7412742-2F7B-49F4-BE85-157FB211913B}"/>
            </a:ext>
          </a:extLst>
        </xdr:cNvPr>
        <xdr:cNvSpPr/>
      </xdr:nvSpPr>
      <xdr:spPr>
        <a:xfrm>
          <a:off x="190500" y="188137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127126</xdr:rowOff>
    </xdr:from>
    <xdr:to>
      <xdr:col>3</xdr:col>
      <xdr:colOff>581025</xdr:colOff>
      <xdr:row>13</xdr:row>
      <xdr:rowOff>73726</xdr:rowOff>
    </xdr:to>
    <xdr:sp macro="" textlink="">
      <xdr:nvSpPr>
        <xdr:cNvPr id="10" name="Rectangle 9">
          <a:hlinkClick xmlns:r="http://schemas.openxmlformats.org/officeDocument/2006/relationships" r:id="rId4"/>
          <a:extLst>
            <a:ext uri="{FF2B5EF4-FFF2-40B4-BE49-F238E27FC236}">
              <a16:creationId xmlns:a16="http://schemas.microsoft.com/office/drawing/2014/main" id="{0A005682-A2A6-42A5-805F-DFF9C01A2657}"/>
            </a:ext>
          </a:extLst>
        </xdr:cNvPr>
        <xdr:cNvSpPr/>
      </xdr:nvSpPr>
      <xdr:spPr>
        <a:xfrm>
          <a:off x="190500" y="233692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85725</xdr:rowOff>
    </xdr:from>
    <xdr:to>
      <xdr:col>3</xdr:col>
      <xdr:colOff>581025</xdr:colOff>
      <xdr:row>18</xdr:row>
      <xdr:rowOff>32325</xdr:rowOff>
    </xdr:to>
    <xdr:sp macro="" textlink="">
      <xdr:nvSpPr>
        <xdr:cNvPr id="11" name="Rectangle 10">
          <a:hlinkClick xmlns:r="http://schemas.openxmlformats.org/officeDocument/2006/relationships" r:id="rId5"/>
          <a:extLst>
            <a:ext uri="{FF2B5EF4-FFF2-40B4-BE49-F238E27FC236}">
              <a16:creationId xmlns:a16="http://schemas.microsoft.com/office/drawing/2014/main" id="{5A028B44-CEF7-4FE5-AD3E-C5058C8D3D5F}"/>
            </a:ext>
          </a:extLst>
        </xdr:cNvPr>
        <xdr:cNvSpPr/>
      </xdr:nvSpPr>
      <xdr:spPr>
        <a:xfrm>
          <a:off x="190500" y="32480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editAs="oneCell">
    <xdr:from>
      <xdr:col>0</xdr:col>
      <xdr:colOff>247518</xdr:colOff>
      <xdr:row>47</xdr:row>
      <xdr:rowOff>44450</xdr:rowOff>
    </xdr:from>
    <xdr:to>
      <xdr:col>4</xdr:col>
      <xdr:colOff>380200</xdr:colOff>
      <xdr:row>47</xdr:row>
      <xdr:rowOff>1244170</xdr:rowOff>
    </xdr:to>
    <xdr:pic>
      <xdr:nvPicPr>
        <xdr:cNvPr id="4" name="Picture 3">
          <a:extLst>
            <a:ext uri="{FF2B5EF4-FFF2-40B4-BE49-F238E27FC236}">
              <a16:creationId xmlns:a16="http://schemas.microsoft.com/office/drawing/2014/main" id="{3891584E-EB3E-8545-0A6A-B68DD9C56BBC}"/>
            </a:ext>
          </a:extLst>
        </xdr:cNvPr>
        <xdr:cNvPicPr>
          <a:picLocks noChangeAspect="1"/>
        </xdr:cNvPicPr>
      </xdr:nvPicPr>
      <xdr:blipFill>
        <a:blip xmlns:r="http://schemas.openxmlformats.org/officeDocument/2006/relationships" r:embed="rId6"/>
        <a:stretch>
          <a:fillRect/>
        </a:stretch>
      </xdr:blipFill>
      <xdr:spPr>
        <a:xfrm>
          <a:off x="247518" y="14655800"/>
          <a:ext cx="2698082" cy="119972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361639</xdr:colOff>
      <xdr:row>56</xdr:row>
      <xdr:rowOff>114301</xdr:rowOff>
    </xdr:from>
    <xdr:to>
      <xdr:col>4</xdr:col>
      <xdr:colOff>380200</xdr:colOff>
      <xdr:row>58</xdr:row>
      <xdr:rowOff>44451</xdr:rowOff>
    </xdr:to>
    <xdr:pic>
      <xdr:nvPicPr>
        <xdr:cNvPr id="12" name="Picture 11">
          <a:extLst>
            <a:ext uri="{FF2B5EF4-FFF2-40B4-BE49-F238E27FC236}">
              <a16:creationId xmlns:a16="http://schemas.microsoft.com/office/drawing/2014/main" id="{2BEC91B2-D6D1-1599-79B3-B21A246D3310}"/>
            </a:ext>
          </a:extLst>
        </xdr:cNvPr>
        <xdr:cNvPicPr>
          <a:picLocks noChangeAspect="1"/>
        </xdr:cNvPicPr>
      </xdr:nvPicPr>
      <xdr:blipFill>
        <a:blip xmlns:r="http://schemas.openxmlformats.org/officeDocument/2006/relationships" r:embed="rId7"/>
        <a:stretch>
          <a:fillRect/>
        </a:stretch>
      </xdr:blipFill>
      <xdr:spPr>
        <a:xfrm>
          <a:off x="361639" y="15976601"/>
          <a:ext cx="2583961" cy="6985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145250</xdr:colOff>
      <xdr:row>58</xdr:row>
      <xdr:rowOff>165101</xdr:rowOff>
    </xdr:from>
    <xdr:to>
      <xdr:col>4</xdr:col>
      <xdr:colOff>380200</xdr:colOff>
      <xdr:row>61</xdr:row>
      <xdr:rowOff>155557</xdr:rowOff>
    </xdr:to>
    <xdr:pic>
      <xdr:nvPicPr>
        <xdr:cNvPr id="13" name="Picture 12">
          <a:extLst>
            <a:ext uri="{FF2B5EF4-FFF2-40B4-BE49-F238E27FC236}">
              <a16:creationId xmlns:a16="http://schemas.microsoft.com/office/drawing/2014/main" id="{6A652DDA-A174-6CF7-DB6F-BF63E03D7A97}"/>
            </a:ext>
          </a:extLst>
        </xdr:cNvPr>
        <xdr:cNvPicPr>
          <a:picLocks noChangeAspect="1"/>
        </xdr:cNvPicPr>
      </xdr:nvPicPr>
      <xdr:blipFill>
        <a:blip xmlns:r="http://schemas.openxmlformats.org/officeDocument/2006/relationships" r:embed="rId8"/>
        <a:stretch>
          <a:fillRect/>
        </a:stretch>
      </xdr:blipFill>
      <xdr:spPr>
        <a:xfrm>
          <a:off x="1427950" y="16795751"/>
          <a:ext cx="1517650" cy="125410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561085</xdr:colOff>
      <xdr:row>53</xdr:row>
      <xdr:rowOff>44450</xdr:rowOff>
    </xdr:from>
    <xdr:to>
      <xdr:col>4</xdr:col>
      <xdr:colOff>380200</xdr:colOff>
      <xdr:row>53</xdr:row>
      <xdr:rowOff>737916</xdr:rowOff>
    </xdr:to>
    <xdr:pic>
      <xdr:nvPicPr>
        <xdr:cNvPr id="14" name="Picture 13">
          <a:extLst>
            <a:ext uri="{FF2B5EF4-FFF2-40B4-BE49-F238E27FC236}">
              <a16:creationId xmlns:a16="http://schemas.microsoft.com/office/drawing/2014/main" id="{02DF84CB-DC38-DF7B-FF8C-A45AA07239B5}"/>
            </a:ext>
          </a:extLst>
        </xdr:cNvPr>
        <xdr:cNvPicPr>
          <a:picLocks noChangeAspect="1"/>
        </xdr:cNvPicPr>
      </xdr:nvPicPr>
      <xdr:blipFill>
        <a:blip xmlns:r="http://schemas.openxmlformats.org/officeDocument/2006/relationships" r:embed="rId9"/>
        <a:stretch>
          <a:fillRect/>
        </a:stretch>
      </xdr:blipFill>
      <xdr:spPr>
        <a:xfrm>
          <a:off x="1202435" y="14700250"/>
          <a:ext cx="1743165" cy="69346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142783</xdr:colOff>
      <xdr:row>66</xdr:row>
      <xdr:rowOff>793750</xdr:rowOff>
    </xdr:from>
    <xdr:to>
      <xdr:col>4</xdr:col>
      <xdr:colOff>380200</xdr:colOff>
      <xdr:row>66</xdr:row>
      <xdr:rowOff>1708150</xdr:rowOff>
    </xdr:to>
    <xdr:pic>
      <xdr:nvPicPr>
        <xdr:cNvPr id="16" name="Picture 15">
          <a:extLst>
            <a:ext uri="{FF2B5EF4-FFF2-40B4-BE49-F238E27FC236}">
              <a16:creationId xmlns:a16="http://schemas.microsoft.com/office/drawing/2014/main" id="{882C1D31-02C1-BDC9-8866-DC5D874699B0}"/>
            </a:ext>
          </a:extLst>
        </xdr:cNvPr>
        <xdr:cNvPicPr>
          <a:picLocks noChangeAspect="1"/>
        </xdr:cNvPicPr>
      </xdr:nvPicPr>
      <xdr:blipFill>
        <a:blip xmlns:r="http://schemas.openxmlformats.org/officeDocument/2006/relationships" r:embed="rId10"/>
        <a:stretch>
          <a:fillRect/>
        </a:stretch>
      </xdr:blipFill>
      <xdr:spPr>
        <a:xfrm>
          <a:off x="1425483" y="19615150"/>
          <a:ext cx="1520117" cy="9144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630171</xdr:colOff>
      <xdr:row>67</xdr:row>
      <xdr:rowOff>95250</xdr:rowOff>
    </xdr:from>
    <xdr:to>
      <xdr:col>4</xdr:col>
      <xdr:colOff>380200</xdr:colOff>
      <xdr:row>68</xdr:row>
      <xdr:rowOff>476250</xdr:rowOff>
    </xdr:to>
    <xdr:pic>
      <xdr:nvPicPr>
        <xdr:cNvPr id="17" name="Picture 16">
          <a:extLst>
            <a:ext uri="{FF2B5EF4-FFF2-40B4-BE49-F238E27FC236}">
              <a16:creationId xmlns:a16="http://schemas.microsoft.com/office/drawing/2014/main" id="{8F1394F0-64A2-8AA5-77BF-B7BB81AA0D6F}"/>
            </a:ext>
          </a:extLst>
        </xdr:cNvPr>
        <xdr:cNvPicPr>
          <a:picLocks noChangeAspect="1"/>
        </xdr:cNvPicPr>
      </xdr:nvPicPr>
      <xdr:blipFill>
        <a:blip xmlns:r="http://schemas.openxmlformats.org/officeDocument/2006/relationships" r:embed="rId11"/>
        <a:stretch>
          <a:fillRect/>
        </a:stretch>
      </xdr:blipFill>
      <xdr:spPr>
        <a:xfrm>
          <a:off x="630171" y="21729700"/>
          <a:ext cx="2315429" cy="56515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507200</xdr:colOff>
      <xdr:row>74</xdr:row>
      <xdr:rowOff>12700</xdr:rowOff>
    </xdr:from>
    <xdr:to>
      <xdr:col>4</xdr:col>
      <xdr:colOff>380200</xdr:colOff>
      <xdr:row>74</xdr:row>
      <xdr:rowOff>975016</xdr:rowOff>
    </xdr:to>
    <xdr:pic>
      <xdr:nvPicPr>
        <xdr:cNvPr id="18" name="Picture 17">
          <a:extLst>
            <a:ext uri="{FF2B5EF4-FFF2-40B4-BE49-F238E27FC236}">
              <a16:creationId xmlns:a16="http://schemas.microsoft.com/office/drawing/2014/main" id="{7CD6863F-6ED6-F27E-4620-461F420D0A4A}"/>
            </a:ext>
          </a:extLst>
        </xdr:cNvPr>
        <xdr:cNvPicPr>
          <a:picLocks noChangeAspect="1"/>
        </xdr:cNvPicPr>
      </xdr:nvPicPr>
      <xdr:blipFill>
        <a:blip xmlns:r="http://schemas.openxmlformats.org/officeDocument/2006/relationships" r:embed="rId12"/>
        <a:stretch>
          <a:fillRect/>
        </a:stretch>
      </xdr:blipFill>
      <xdr:spPr>
        <a:xfrm>
          <a:off x="1789900" y="23152100"/>
          <a:ext cx="1155700" cy="96231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146050</xdr:colOff>
      <xdr:row>74</xdr:row>
      <xdr:rowOff>1122740</xdr:rowOff>
    </xdr:from>
    <xdr:to>
      <xdr:col>4</xdr:col>
      <xdr:colOff>380200</xdr:colOff>
      <xdr:row>74</xdr:row>
      <xdr:rowOff>2304611</xdr:rowOff>
    </xdr:to>
    <xdr:pic>
      <xdr:nvPicPr>
        <xdr:cNvPr id="19" name="Picture 18">
          <a:extLst>
            <a:ext uri="{FF2B5EF4-FFF2-40B4-BE49-F238E27FC236}">
              <a16:creationId xmlns:a16="http://schemas.microsoft.com/office/drawing/2014/main" id="{26E4451D-7AEF-66CA-DED9-1C3EB13D6B1F}"/>
            </a:ext>
          </a:extLst>
        </xdr:cNvPr>
        <xdr:cNvPicPr>
          <a:picLocks noChangeAspect="1"/>
        </xdr:cNvPicPr>
      </xdr:nvPicPr>
      <xdr:blipFill>
        <a:blip xmlns:r="http://schemas.openxmlformats.org/officeDocument/2006/relationships" r:embed="rId13"/>
        <a:stretch>
          <a:fillRect/>
        </a:stretch>
      </xdr:blipFill>
      <xdr:spPr>
        <a:xfrm>
          <a:off x="787400" y="24262140"/>
          <a:ext cx="2158200" cy="1181871"/>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6350</xdr:colOff>
      <xdr:row>44</xdr:row>
      <xdr:rowOff>1315190</xdr:rowOff>
    </xdr:from>
    <xdr:to>
      <xdr:col>4</xdr:col>
      <xdr:colOff>409725</xdr:colOff>
      <xdr:row>44</xdr:row>
      <xdr:rowOff>2571750</xdr:rowOff>
    </xdr:to>
    <xdr:pic>
      <xdr:nvPicPr>
        <xdr:cNvPr id="3" name="Picture 2">
          <a:extLst>
            <a:ext uri="{FF2B5EF4-FFF2-40B4-BE49-F238E27FC236}">
              <a16:creationId xmlns:a16="http://schemas.microsoft.com/office/drawing/2014/main" id="{F5C678F0-2458-64F9-ED8C-ADC94ED184F3}"/>
            </a:ext>
          </a:extLst>
        </xdr:cNvPr>
        <xdr:cNvPicPr>
          <a:picLocks noChangeAspect="1"/>
        </xdr:cNvPicPr>
      </xdr:nvPicPr>
      <xdr:blipFill>
        <a:blip xmlns:r="http://schemas.openxmlformats.org/officeDocument/2006/relationships" r:embed="rId14"/>
        <a:stretch>
          <a:fillRect/>
        </a:stretch>
      </xdr:blipFill>
      <xdr:spPr>
        <a:xfrm>
          <a:off x="1289050" y="11475190"/>
          <a:ext cx="1686075" cy="125656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9525</xdr:colOff>
      <xdr:row>48</xdr:row>
      <xdr:rowOff>342900</xdr:rowOff>
    </xdr:from>
    <xdr:to>
      <xdr:col>4</xdr:col>
      <xdr:colOff>381000</xdr:colOff>
      <xdr:row>48</xdr:row>
      <xdr:rowOff>596574</xdr:rowOff>
    </xdr:to>
    <xdr:pic>
      <xdr:nvPicPr>
        <xdr:cNvPr id="20" name="Picture 19">
          <a:extLst>
            <a:ext uri="{FF2B5EF4-FFF2-40B4-BE49-F238E27FC236}">
              <a16:creationId xmlns:a16="http://schemas.microsoft.com/office/drawing/2014/main" id="{A0872FEB-8D04-C05B-B7AC-9DF58B19BC5C}"/>
            </a:ext>
          </a:extLst>
        </xdr:cNvPr>
        <xdr:cNvPicPr>
          <a:picLocks noChangeAspect="1"/>
        </xdr:cNvPicPr>
      </xdr:nvPicPr>
      <xdr:blipFill rotWithShape="1">
        <a:blip xmlns:r="http://schemas.openxmlformats.org/officeDocument/2006/relationships" r:embed="rId15"/>
        <a:srcRect l="5036" t="1945"/>
        <a:stretch>
          <a:fillRect/>
        </a:stretch>
      </xdr:blipFill>
      <xdr:spPr>
        <a:xfrm>
          <a:off x="1228725" y="16716375"/>
          <a:ext cx="1590675" cy="253674"/>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3175</xdr:colOff>
      <xdr:row>48</xdr:row>
      <xdr:rowOff>647700</xdr:rowOff>
    </xdr:from>
    <xdr:to>
      <xdr:col>4</xdr:col>
      <xdr:colOff>381000</xdr:colOff>
      <xdr:row>48</xdr:row>
      <xdr:rowOff>894593</xdr:rowOff>
    </xdr:to>
    <xdr:pic>
      <xdr:nvPicPr>
        <xdr:cNvPr id="21" name="Picture 20">
          <a:extLst>
            <a:ext uri="{FF2B5EF4-FFF2-40B4-BE49-F238E27FC236}">
              <a16:creationId xmlns:a16="http://schemas.microsoft.com/office/drawing/2014/main" id="{DA1DDF4E-D2F5-652F-37E0-25F94998FAB8}"/>
            </a:ext>
          </a:extLst>
        </xdr:cNvPr>
        <xdr:cNvPicPr>
          <a:picLocks noChangeAspect="1"/>
        </xdr:cNvPicPr>
      </xdr:nvPicPr>
      <xdr:blipFill rotWithShape="1">
        <a:blip xmlns:r="http://schemas.openxmlformats.org/officeDocument/2006/relationships" r:embed="rId16"/>
        <a:srcRect l="1119" t="-5424" b="-1"/>
        <a:stretch>
          <a:fillRect/>
        </a:stretch>
      </xdr:blipFill>
      <xdr:spPr>
        <a:xfrm>
          <a:off x="1222375" y="17021175"/>
          <a:ext cx="1597025" cy="246893"/>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227661</xdr:colOff>
      <xdr:row>50</xdr:row>
      <xdr:rowOff>180975</xdr:rowOff>
    </xdr:from>
    <xdr:to>
      <xdr:col>4</xdr:col>
      <xdr:colOff>381000</xdr:colOff>
      <xdr:row>50</xdr:row>
      <xdr:rowOff>1077313</xdr:rowOff>
    </xdr:to>
    <xdr:pic>
      <xdr:nvPicPr>
        <xdr:cNvPr id="2" name="Picture 1">
          <a:extLst>
            <a:ext uri="{FF2B5EF4-FFF2-40B4-BE49-F238E27FC236}">
              <a16:creationId xmlns:a16="http://schemas.microsoft.com/office/drawing/2014/main" id="{0C2A4238-31A8-6238-7E17-556530A777BB}"/>
            </a:ext>
          </a:extLst>
        </xdr:cNvPr>
        <xdr:cNvPicPr>
          <a:picLocks noChangeAspect="1"/>
        </xdr:cNvPicPr>
      </xdr:nvPicPr>
      <xdr:blipFill>
        <a:blip xmlns:r="http://schemas.openxmlformats.org/officeDocument/2006/relationships" r:embed="rId17"/>
        <a:stretch>
          <a:fillRect/>
        </a:stretch>
      </xdr:blipFill>
      <xdr:spPr>
        <a:xfrm>
          <a:off x="227661" y="18021300"/>
          <a:ext cx="2591739" cy="896338"/>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190500</xdr:colOff>
      <xdr:row>14</xdr:row>
      <xdr:rowOff>11176</xdr:rowOff>
    </xdr:from>
    <xdr:to>
      <xdr:col>3</xdr:col>
      <xdr:colOff>581025</xdr:colOff>
      <xdr:row>15</xdr:row>
      <xdr:rowOff>148276</xdr:rowOff>
    </xdr:to>
    <xdr:sp macro="" textlink="">
      <xdr:nvSpPr>
        <xdr:cNvPr id="8" name="Rectangle 7">
          <a:hlinkClick xmlns:r="http://schemas.openxmlformats.org/officeDocument/2006/relationships" r:id="rId18"/>
          <a:extLst>
            <a:ext uri="{FF2B5EF4-FFF2-40B4-BE49-F238E27FC236}">
              <a16:creationId xmlns:a16="http://schemas.microsoft.com/office/drawing/2014/main" id="{1BD2C655-AD0B-43A3-A38A-5FC639759EA8}"/>
            </a:ext>
          </a:extLst>
        </xdr:cNvPr>
        <xdr:cNvSpPr/>
      </xdr:nvSpPr>
      <xdr:spPr>
        <a:xfrm>
          <a:off x="190500" y="279247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CB9E7F5E-A0B3-4226-8193-0395F94FCD8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EF567F0B-D590-444B-B2FA-41CDD84864F3}"/>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170431</xdr:rowOff>
    </xdr:from>
    <xdr:to>
      <xdr:col>3</xdr:col>
      <xdr:colOff>578075</xdr:colOff>
      <xdr:row>8</xdr:row>
      <xdr:rowOff>97981</xdr:rowOff>
    </xdr:to>
    <xdr:sp macro="" textlink="">
      <xdr:nvSpPr>
        <xdr:cNvPr id="4" name="Rectangle 3">
          <a:extLst>
            <a:ext uri="{FF2B5EF4-FFF2-40B4-BE49-F238E27FC236}">
              <a16:creationId xmlns:a16="http://schemas.microsoft.com/office/drawing/2014/main" id="{34FE4806-940D-4C04-A261-9E7D5C404E93}"/>
            </a:ext>
          </a:extLst>
        </xdr:cNvPr>
        <xdr:cNvSpPr/>
      </xdr:nvSpPr>
      <xdr:spPr>
        <a:xfrm>
          <a:off x="187325" y="1427731"/>
          <a:ext cx="2219550"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37336</xdr:rowOff>
    </xdr:from>
    <xdr:to>
      <xdr:col>3</xdr:col>
      <xdr:colOff>577850</xdr:colOff>
      <xdr:row>10</xdr:row>
      <xdr:rowOff>174436</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103FCE01-C78D-46DE-8915-CF4E9757DD46}"/>
            </a:ext>
          </a:extLst>
        </xdr:cNvPr>
        <xdr:cNvSpPr/>
      </xdr:nvSpPr>
      <xdr:spPr>
        <a:xfrm>
          <a:off x="187325" y="188518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113791</xdr:rowOff>
    </xdr:from>
    <xdr:to>
      <xdr:col>3</xdr:col>
      <xdr:colOff>577850</xdr:colOff>
      <xdr:row>13</xdr:row>
      <xdr:rowOff>60391</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9347C942-33D1-41F5-835F-987D3EC91E5A}"/>
            </a:ext>
          </a:extLst>
        </xdr:cNvPr>
        <xdr:cNvSpPr/>
      </xdr:nvSpPr>
      <xdr:spPr>
        <a:xfrm>
          <a:off x="187325" y="234264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16</xdr:row>
      <xdr:rowOff>76200</xdr:rowOff>
    </xdr:from>
    <xdr:to>
      <xdr:col>3</xdr:col>
      <xdr:colOff>577850</xdr:colOff>
      <xdr:row>18</xdr:row>
      <xdr:rowOff>22800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1D4652D8-73A4-4C41-847A-EA6A36DC4CBD}"/>
            </a:ext>
          </a:extLst>
        </xdr:cNvPr>
        <xdr:cNvSpPr/>
      </xdr:nvSpPr>
      <xdr:spPr>
        <a:xfrm>
          <a:off x="187325" y="3257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13</xdr:row>
      <xdr:rowOff>190246</xdr:rowOff>
    </xdr:from>
    <xdr:to>
      <xdr:col>3</xdr:col>
      <xdr:colOff>577850</xdr:colOff>
      <xdr:row>15</xdr:row>
      <xdr:rowOff>136846</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B9DCC5E6-DA5D-4A2F-9632-E5100054859F}"/>
            </a:ext>
          </a:extLst>
        </xdr:cNvPr>
        <xdr:cNvSpPr/>
      </xdr:nvSpPr>
      <xdr:spPr>
        <a:xfrm>
          <a:off x="187325" y="280009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C91D5D84-2FEC-4C43-A936-D8DFFDA2043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180975</xdr:colOff>
      <xdr:row>4</xdr:row>
      <xdr:rowOff>161926</xdr:rowOff>
    </xdr:from>
    <xdr:to>
      <xdr:col>3</xdr:col>
      <xdr:colOff>571500</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321EABD6-B01F-4EFF-B700-0D4C16CD783B}"/>
            </a:ext>
          </a:extLst>
        </xdr:cNvPr>
        <xdr:cNvSpPr/>
      </xdr:nvSpPr>
      <xdr:spPr>
        <a:xfrm>
          <a:off x="180975" y="97155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180975</xdr:colOff>
      <xdr:row>6</xdr:row>
      <xdr:rowOff>172591</xdr:rowOff>
    </xdr:from>
    <xdr:to>
      <xdr:col>3</xdr:col>
      <xdr:colOff>571500</xdr:colOff>
      <xdr:row>8</xdr:row>
      <xdr:rowOff>108391</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21DD6198-EF56-47EC-A793-2C00312AE887}"/>
            </a:ext>
          </a:extLst>
        </xdr:cNvPr>
        <xdr:cNvSpPr/>
      </xdr:nvSpPr>
      <xdr:spPr>
        <a:xfrm>
          <a:off x="180975" y="142989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180975</xdr:colOff>
      <xdr:row>9</xdr:row>
      <xdr:rowOff>49906</xdr:rowOff>
    </xdr:from>
    <xdr:to>
      <xdr:col>3</xdr:col>
      <xdr:colOff>571500</xdr:colOff>
      <xdr:row>10</xdr:row>
      <xdr:rowOff>187006</xdr:rowOff>
    </xdr:to>
    <xdr:sp macro="" textlink="">
      <xdr:nvSpPr>
        <xdr:cNvPr id="5" name="Rectangle 4">
          <a:extLst>
            <a:ext uri="{FF2B5EF4-FFF2-40B4-BE49-F238E27FC236}">
              <a16:creationId xmlns:a16="http://schemas.microsoft.com/office/drawing/2014/main" id="{2EAC0E27-4EA1-4178-9170-E2556A21B09A}"/>
            </a:ext>
          </a:extLst>
        </xdr:cNvPr>
        <xdr:cNvSpPr/>
      </xdr:nvSpPr>
      <xdr:spPr>
        <a:xfrm>
          <a:off x="180975" y="18882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180975</xdr:colOff>
      <xdr:row>11</xdr:row>
      <xdr:rowOff>128521</xdr:rowOff>
    </xdr:from>
    <xdr:to>
      <xdr:col>3</xdr:col>
      <xdr:colOff>571500</xdr:colOff>
      <xdr:row>13</xdr:row>
      <xdr:rowOff>75121</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B8410BCD-87F9-4210-AE92-08F0111C19F2}"/>
            </a:ext>
          </a:extLst>
        </xdr:cNvPr>
        <xdr:cNvSpPr/>
      </xdr:nvSpPr>
      <xdr:spPr>
        <a:xfrm>
          <a:off x="180975" y="234784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180975</xdr:colOff>
      <xdr:row>16</xdr:row>
      <xdr:rowOff>95250</xdr:rowOff>
    </xdr:from>
    <xdr:to>
      <xdr:col>3</xdr:col>
      <xdr:colOff>571500</xdr:colOff>
      <xdr:row>18</xdr:row>
      <xdr:rowOff>32325</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47C493AE-5981-4E90-80E6-79A298CACBAD}"/>
            </a:ext>
          </a:extLst>
        </xdr:cNvPr>
        <xdr:cNvSpPr/>
      </xdr:nvSpPr>
      <xdr:spPr>
        <a:xfrm>
          <a:off x="180975" y="32670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10</xdr:col>
      <xdr:colOff>442207</xdr:colOff>
      <xdr:row>9</xdr:row>
      <xdr:rowOff>1587</xdr:rowOff>
    </xdr:from>
    <xdr:to>
      <xdr:col>10</xdr:col>
      <xdr:colOff>800100</xdr:colOff>
      <xdr:row>9</xdr:row>
      <xdr:rowOff>178880</xdr:rowOff>
    </xdr:to>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4B5E55D7-21B3-F579-02C4-5E5887BBDA53}"/>
                </a:ext>
              </a:extLst>
            </xdr:cNvPr>
            <xdr:cNvSpPr txBox="1"/>
          </xdr:nvSpPr>
          <xdr:spPr>
            <a:xfrm>
              <a:off x="7433557" y="1792287"/>
              <a:ext cx="357893"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sup>
                    </m:sSup>
                  </m:oMath>
                </m:oMathPara>
              </a14:m>
              <a:endParaRPr lang="en-GB" sz="1100"/>
            </a:p>
          </xdr:txBody>
        </xdr:sp>
      </mc:Choice>
      <mc:Fallback xmlns="">
        <xdr:sp macro="" textlink="">
          <xdr:nvSpPr>
            <xdr:cNvPr id="8" name="TextBox 7">
              <a:extLst>
                <a:ext uri="{FF2B5EF4-FFF2-40B4-BE49-F238E27FC236}">
                  <a16:creationId xmlns:a16="http://schemas.microsoft.com/office/drawing/2014/main" id="{4B5E55D7-21B3-F579-02C4-5E5887BBDA53}"/>
                </a:ext>
              </a:extLst>
            </xdr:cNvPr>
            <xdr:cNvSpPr txBox="1"/>
          </xdr:nvSpPr>
          <xdr:spPr>
            <a:xfrm>
              <a:off x="7433557" y="1792287"/>
              <a:ext cx="357893"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𝑀𝑉^𝐹𝐼</a:t>
              </a:r>
              <a:endParaRPr lang="en-GB" sz="1100"/>
            </a:p>
          </xdr:txBody>
        </xdr:sp>
      </mc:Fallback>
    </mc:AlternateContent>
    <xdr:clientData/>
  </xdr:twoCellAnchor>
  <xdr:twoCellAnchor>
    <xdr:from>
      <xdr:col>10</xdr:col>
      <xdr:colOff>430793</xdr:colOff>
      <xdr:row>9</xdr:row>
      <xdr:rowOff>180975</xdr:rowOff>
    </xdr:from>
    <xdr:to>
      <xdr:col>10</xdr:col>
      <xdr:colOff>838200</xdr:colOff>
      <xdr:row>10</xdr:row>
      <xdr:rowOff>174118</xdr:rowOff>
    </xdr:to>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B551AD4B-D377-4764-AC04-DA5EAA4887EA}"/>
                </a:ext>
              </a:extLst>
            </xdr:cNvPr>
            <xdr:cNvSpPr txBox="1"/>
          </xdr:nvSpPr>
          <xdr:spPr>
            <a:xfrm>
              <a:off x="7422143" y="1971675"/>
              <a:ext cx="407407"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r>
                          <a:rPr lang="en-US" sz="1100" b="0" i="1">
                            <a:latin typeface="Cambria Math" panose="02040503050406030204" pitchFamily="18" charset="0"/>
                          </a:rPr>
                          <m:t>∗</m:t>
                        </m:r>
                      </m:sup>
                    </m:sSup>
                  </m:oMath>
                </m:oMathPara>
              </a14:m>
              <a:endParaRPr lang="en-GB" sz="1100"/>
            </a:p>
          </xdr:txBody>
        </xdr:sp>
      </mc:Choice>
      <mc:Fallback xmlns="">
        <xdr:sp macro="" textlink="">
          <xdr:nvSpPr>
            <xdr:cNvPr id="9" name="TextBox 8">
              <a:extLst>
                <a:ext uri="{FF2B5EF4-FFF2-40B4-BE49-F238E27FC236}">
                  <a16:creationId xmlns:a16="http://schemas.microsoft.com/office/drawing/2014/main" id="{B551AD4B-D377-4764-AC04-DA5EAA4887EA}"/>
                </a:ext>
              </a:extLst>
            </xdr:cNvPr>
            <xdr:cNvSpPr txBox="1"/>
          </xdr:nvSpPr>
          <xdr:spPr>
            <a:xfrm>
              <a:off x="7422143" y="1971675"/>
              <a:ext cx="407407"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𝑀𝑉^(𝐹𝐼∗)</a:t>
              </a:r>
              <a:endParaRPr lang="en-GB" sz="1100"/>
            </a:p>
          </xdr:txBody>
        </xdr:sp>
      </mc:Fallback>
    </mc:AlternateContent>
    <xdr:clientData/>
  </xdr:twoCellAnchor>
  <xdr:twoCellAnchor>
    <xdr:from>
      <xdr:col>10</xdr:col>
      <xdr:colOff>31750</xdr:colOff>
      <xdr:row>11</xdr:row>
      <xdr:rowOff>0</xdr:rowOff>
    </xdr:from>
    <xdr:to>
      <xdr:col>11</xdr:col>
      <xdr:colOff>12700</xdr:colOff>
      <xdr:row>11</xdr:row>
      <xdr:rowOff>177293</xdr:rowOff>
    </xdr:to>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F3850AF9-9FBB-4623-928D-50E6C8923E59}"/>
                </a:ext>
              </a:extLst>
            </xdr:cNvPr>
            <xdr:cNvSpPr txBox="1"/>
          </xdr:nvSpPr>
          <xdr:spPr>
            <a:xfrm>
              <a:off x="7023100" y="2159000"/>
              <a:ext cx="831850"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m:rPr>
                        <m:nor/>
                      </m:rPr>
                      <a:rPr lang="en-US" sz="1100" b="0" i="0">
                        <a:latin typeface="Cambria Math" panose="02040503050406030204" pitchFamily="18" charset="0"/>
                      </a:rPr>
                      <m:t>PVBP</m:t>
                    </m:r>
                    <m:r>
                      <a:rPr lang="en-US" sz="1100" b="0" i="1">
                        <a:latin typeface="Cambria Math" panose="02040503050406030204" pitchFamily="18" charset="0"/>
                      </a:rPr>
                      <m:t>(</m:t>
                    </m:r>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sup>
                    </m:sSup>
                    <m:r>
                      <a:rPr lang="en-US" sz="1100" b="0" i="1">
                        <a:latin typeface="Cambria Math" panose="02040503050406030204" pitchFamily="18" charset="0"/>
                      </a:rPr>
                      <m:t>)</m:t>
                    </m:r>
                  </m:oMath>
                </m:oMathPara>
              </a14:m>
              <a:endParaRPr lang="en-GB" sz="1100"/>
            </a:p>
          </xdr:txBody>
        </xdr:sp>
      </mc:Choice>
      <mc:Fallback xmlns="">
        <xdr:sp macro="" textlink="">
          <xdr:nvSpPr>
            <xdr:cNvPr id="10" name="TextBox 9">
              <a:extLst>
                <a:ext uri="{FF2B5EF4-FFF2-40B4-BE49-F238E27FC236}">
                  <a16:creationId xmlns:a16="http://schemas.microsoft.com/office/drawing/2014/main" id="{F3850AF9-9FBB-4623-928D-50E6C8923E59}"/>
                </a:ext>
              </a:extLst>
            </xdr:cNvPr>
            <xdr:cNvSpPr txBox="1"/>
          </xdr:nvSpPr>
          <xdr:spPr>
            <a:xfrm>
              <a:off x="7023100" y="2159000"/>
              <a:ext cx="831850"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"PVBP"(𝑀𝑉^𝐹𝐼)</a:t>
              </a:r>
              <a:endParaRPr lang="en-GB" sz="1100"/>
            </a:p>
          </xdr:txBody>
        </xdr:sp>
      </mc:Fallback>
    </mc:AlternateContent>
    <xdr:clientData/>
  </xdr:twoCellAnchor>
  <xdr:twoCellAnchor>
    <xdr:from>
      <xdr:col>10</xdr:col>
      <xdr:colOff>516542</xdr:colOff>
      <xdr:row>12</xdr:row>
      <xdr:rowOff>0</xdr:rowOff>
    </xdr:from>
    <xdr:to>
      <xdr:col>10</xdr:col>
      <xdr:colOff>800100</xdr:colOff>
      <xdr:row>12</xdr:row>
      <xdr:rowOff>173766</xdr:rowOff>
    </xdr:to>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F590581D-5231-4E8F-AB3B-30351E163736}"/>
                </a:ext>
              </a:extLst>
            </xdr:cNvPr>
            <xdr:cNvSpPr txBox="1"/>
          </xdr:nvSpPr>
          <xdr:spPr>
            <a:xfrm>
              <a:off x="7507892" y="2343150"/>
              <a:ext cx="28355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𝐵𝐸𝐿</m:t>
                    </m:r>
                  </m:oMath>
                </m:oMathPara>
              </a14:m>
              <a:endParaRPr lang="en-GB" sz="1100"/>
            </a:p>
          </xdr:txBody>
        </xdr:sp>
      </mc:Choice>
      <mc:Fallback xmlns="">
        <xdr:sp macro="" textlink="">
          <xdr:nvSpPr>
            <xdr:cNvPr id="11" name="TextBox 10">
              <a:extLst>
                <a:ext uri="{FF2B5EF4-FFF2-40B4-BE49-F238E27FC236}">
                  <a16:creationId xmlns:a16="http://schemas.microsoft.com/office/drawing/2014/main" id="{F590581D-5231-4E8F-AB3B-30351E163736}"/>
                </a:ext>
              </a:extLst>
            </xdr:cNvPr>
            <xdr:cNvSpPr txBox="1"/>
          </xdr:nvSpPr>
          <xdr:spPr>
            <a:xfrm>
              <a:off x="7507892" y="2343150"/>
              <a:ext cx="28355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𝐵𝐸𝐿</a:t>
              </a:r>
              <a:endParaRPr lang="en-GB" sz="1100"/>
            </a:p>
          </xdr:txBody>
        </xdr:sp>
      </mc:Fallback>
    </mc:AlternateContent>
    <xdr:clientData/>
  </xdr:twoCellAnchor>
  <xdr:twoCellAnchor>
    <xdr:from>
      <xdr:col>10</xdr:col>
      <xdr:colOff>511159</xdr:colOff>
      <xdr:row>13</xdr:row>
      <xdr:rowOff>9525</xdr:rowOff>
    </xdr:from>
    <xdr:to>
      <xdr:col>10</xdr:col>
      <xdr:colOff>844550</xdr:colOff>
      <xdr:row>13</xdr:row>
      <xdr:rowOff>183291</xdr:rowOff>
    </xdr:to>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D510F694-285C-4E4E-B302-CEABAC6015B9}"/>
                </a:ext>
              </a:extLst>
            </xdr:cNvPr>
            <xdr:cNvSpPr txBox="1"/>
          </xdr:nvSpPr>
          <xdr:spPr>
            <a:xfrm>
              <a:off x="7502509" y="2536825"/>
              <a:ext cx="333391"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𝐵𝐸</m:t>
                    </m:r>
                    <m:sSup>
                      <m:sSupPr>
                        <m:ctrlPr>
                          <a:rPr lang="en-US" sz="1100" b="0" i="1">
                            <a:latin typeface="Cambria Math" panose="02040503050406030204" pitchFamily="18" charset="0"/>
                          </a:rPr>
                        </m:ctrlPr>
                      </m:sSupPr>
                      <m:e>
                        <m:r>
                          <a:rPr lang="en-US" sz="1100" b="0" i="1">
                            <a:latin typeface="Cambria Math" panose="02040503050406030204" pitchFamily="18" charset="0"/>
                          </a:rPr>
                          <m:t>𝐿</m:t>
                        </m:r>
                      </m:e>
                      <m:sup>
                        <m:r>
                          <a:rPr lang="en-US" sz="1100" b="0" i="1">
                            <a:latin typeface="Cambria Math" panose="02040503050406030204" pitchFamily="18" charset="0"/>
                          </a:rPr>
                          <m:t>∗</m:t>
                        </m:r>
                      </m:sup>
                    </m:sSup>
                  </m:oMath>
                </m:oMathPara>
              </a14:m>
              <a:endParaRPr lang="en-GB" sz="1100"/>
            </a:p>
          </xdr:txBody>
        </xdr:sp>
      </mc:Choice>
      <mc:Fallback xmlns="">
        <xdr:sp macro="" textlink="">
          <xdr:nvSpPr>
            <xdr:cNvPr id="12" name="TextBox 11">
              <a:extLst>
                <a:ext uri="{FF2B5EF4-FFF2-40B4-BE49-F238E27FC236}">
                  <a16:creationId xmlns:a16="http://schemas.microsoft.com/office/drawing/2014/main" id="{D510F694-285C-4E4E-B302-CEABAC6015B9}"/>
                </a:ext>
              </a:extLst>
            </xdr:cNvPr>
            <xdr:cNvSpPr txBox="1"/>
          </xdr:nvSpPr>
          <xdr:spPr>
            <a:xfrm>
              <a:off x="7502509" y="2536825"/>
              <a:ext cx="333391"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𝐵𝐸𝐿^∗</a:t>
              </a:r>
              <a:endParaRPr lang="en-GB" sz="1100"/>
            </a:p>
          </xdr:txBody>
        </xdr:sp>
      </mc:Fallback>
    </mc:AlternateContent>
    <xdr:clientData/>
  </xdr:twoCellAnchor>
  <xdr:twoCellAnchor>
    <xdr:from>
      <xdr:col>10</xdr:col>
      <xdr:colOff>83753</xdr:colOff>
      <xdr:row>14</xdr:row>
      <xdr:rowOff>9525</xdr:rowOff>
    </xdr:from>
    <xdr:to>
      <xdr:col>11</xdr:col>
      <xdr:colOff>12700</xdr:colOff>
      <xdr:row>14</xdr:row>
      <xdr:rowOff>183291</xdr:rowOff>
    </xdr:to>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960AE16F-9744-4E0E-8AB0-7D8ED86B7007}"/>
                </a:ext>
              </a:extLst>
            </xdr:cNvPr>
            <xdr:cNvSpPr txBox="1"/>
          </xdr:nvSpPr>
          <xdr:spPr>
            <a:xfrm>
              <a:off x="7075103" y="2720975"/>
              <a:ext cx="779847"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m:rPr>
                        <m:nor/>
                      </m:rPr>
                      <a:rPr lang="en-US" sz="1100" b="0" i="0">
                        <a:latin typeface="Cambria Math" panose="02040503050406030204" pitchFamily="18" charset="0"/>
                      </a:rPr>
                      <m:t>PVBP</m:t>
                    </m:r>
                    <m:r>
                      <a:rPr lang="en-US" sz="1100" b="0" i="1">
                        <a:latin typeface="Cambria Math" panose="02040503050406030204" pitchFamily="18" charset="0"/>
                      </a:rPr>
                      <m:t>(</m:t>
                    </m:r>
                    <m:r>
                      <a:rPr lang="en-US" sz="1100" b="0" i="1">
                        <a:latin typeface="Cambria Math" panose="02040503050406030204" pitchFamily="18" charset="0"/>
                      </a:rPr>
                      <m:t>𝐵𝐸</m:t>
                    </m:r>
                    <m:sSup>
                      <m:sSupPr>
                        <m:ctrlPr>
                          <a:rPr lang="en-US" sz="1100" b="0" i="1">
                            <a:latin typeface="Cambria Math" panose="02040503050406030204" pitchFamily="18" charset="0"/>
                          </a:rPr>
                        </m:ctrlPr>
                      </m:sSupPr>
                      <m:e>
                        <m:r>
                          <a:rPr lang="en-US" sz="1100" b="0" i="1">
                            <a:latin typeface="Cambria Math" panose="02040503050406030204" pitchFamily="18" charset="0"/>
                          </a:rPr>
                          <m:t>𝐿</m:t>
                        </m:r>
                      </m:e>
                      <m:sup>
                        <m:r>
                          <a:rPr lang="en-US" sz="1100" b="0" i="1">
                            <a:latin typeface="Cambria Math" panose="02040503050406030204" pitchFamily="18" charset="0"/>
                          </a:rPr>
                          <m:t>∗</m:t>
                        </m:r>
                      </m:sup>
                    </m:sSup>
                    <m:r>
                      <a:rPr lang="en-US" sz="1100" b="0" i="1">
                        <a:latin typeface="Cambria Math" panose="02040503050406030204" pitchFamily="18" charset="0"/>
                      </a:rPr>
                      <m:t>)</m:t>
                    </m:r>
                  </m:oMath>
                </m:oMathPara>
              </a14:m>
              <a:endParaRPr lang="en-GB" sz="1100"/>
            </a:p>
          </xdr:txBody>
        </xdr:sp>
      </mc:Choice>
      <mc:Fallback xmlns="">
        <xdr:sp macro="" textlink="">
          <xdr:nvSpPr>
            <xdr:cNvPr id="14" name="TextBox 13">
              <a:extLst>
                <a:ext uri="{FF2B5EF4-FFF2-40B4-BE49-F238E27FC236}">
                  <a16:creationId xmlns:a16="http://schemas.microsoft.com/office/drawing/2014/main" id="{960AE16F-9744-4E0E-8AB0-7D8ED86B7007}"/>
                </a:ext>
              </a:extLst>
            </xdr:cNvPr>
            <xdr:cNvSpPr txBox="1"/>
          </xdr:nvSpPr>
          <xdr:spPr>
            <a:xfrm>
              <a:off x="7075103" y="2720975"/>
              <a:ext cx="779847"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"PVBP"(𝐵𝐸𝐿^∗)</a:t>
              </a:r>
              <a:endParaRPr lang="en-GB" sz="1100"/>
            </a:p>
          </xdr:txBody>
        </xdr:sp>
      </mc:Fallback>
    </mc:AlternateContent>
    <xdr:clientData/>
  </xdr:twoCellAnchor>
  <xdr:twoCellAnchor>
    <xdr:from>
      <xdr:col>0</xdr:col>
      <xdr:colOff>180975</xdr:colOff>
      <xdr:row>14</xdr:row>
      <xdr:rowOff>16636</xdr:rowOff>
    </xdr:from>
    <xdr:to>
      <xdr:col>3</xdr:col>
      <xdr:colOff>571500</xdr:colOff>
      <xdr:row>15</xdr:row>
      <xdr:rowOff>153736</xdr:rowOff>
    </xdr:to>
    <xdr:sp macro="" textlink="">
      <xdr:nvSpPr>
        <xdr:cNvPr id="13" name="Rectangle 12">
          <a:hlinkClick xmlns:r="http://schemas.openxmlformats.org/officeDocument/2006/relationships" r:id="rId6"/>
          <a:extLst>
            <a:ext uri="{FF2B5EF4-FFF2-40B4-BE49-F238E27FC236}">
              <a16:creationId xmlns:a16="http://schemas.microsoft.com/office/drawing/2014/main" id="{B08C7F9E-4B26-4A14-9267-78C158F97999}"/>
            </a:ext>
          </a:extLst>
        </xdr:cNvPr>
        <xdr:cNvSpPr/>
      </xdr:nvSpPr>
      <xdr:spPr>
        <a:xfrm>
          <a:off x="180975" y="280746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D127EA48-845C-487E-BA4C-DC9838C7ACD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A1D0EF3A-B36B-436D-912E-0FD337B8F0A2}"/>
            </a:ext>
          </a:extLst>
        </xdr:cNvPr>
        <xdr:cNvSpPr/>
      </xdr:nvSpPr>
      <xdr:spPr>
        <a:xfrm>
          <a:off x="190500" y="97155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170686</xdr:rowOff>
    </xdr:from>
    <xdr:to>
      <xdr:col>3</xdr:col>
      <xdr:colOff>581025</xdr:colOff>
      <xdr:row>8</xdr:row>
      <xdr:rowOff>106486</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FF08C4D-05B0-484F-99F6-AB058F4CE844}"/>
            </a:ext>
          </a:extLst>
        </xdr:cNvPr>
        <xdr:cNvSpPr/>
      </xdr:nvSpPr>
      <xdr:spPr>
        <a:xfrm>
          <a:off x="190500" y="1427986"/>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190500</xdr:colOff>
      <xdr:row>9</xdr:row>
      <xdr:rowOff>46096</xdr:rowOff>
    </xdr:from>
    <xdr:to>
      <xdr:col>3</xdr:col>
      <xdr:colOff>581025</xdr:colOff>
      <xdr:row>10</xdr:row>
      <xdr:rowOff>183196</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E30CD16C-43C7-43D9-8FBD-8EFA1279C644}"/>
            </a:ext>
          </a:extLst>
        </xdr:cNvPr>
        <xdr:cNvSpPr/>
      </xdr:nvSpPr>
      <xdr:spPr>
        <a:xfrm>
          <a:off x="190500" y="188442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122806</xdr:rowOff>
    </xdr:from>
    <xdr:to>
      <xdr:col>3</xdr:col>
      <xdr:colOff>581025</xdr:colOff>
      <xdr:row>13</xdr:row>
      <xdr:rowOff>69406</xdr:rowOff>
    </xdr:to>
    <xdr:sp macro="" textlink="">
      <xdr:nvSpPr>
        <xdr:cNvPr id="6" name="Rectangle 5">
          <a:extLst>
            <a:ext uri="{FF2B5EF4-FFF2-40B4-BE49-F238E27FC236}">
              <a16:creationId xmlns:a16="http://schemas.microsoft.com/office/drawing/2014/main" id="{93D3E753-D597-4A12-9F14-2199987118D3}"/>
            </a:ext>
          </a:extLst>
        </xdr:cNvPr>
        <xdr:cNvSpPr/>
      </xdr:nvSpPr>
      <xdr:spPr>
        <a:xfrm>
          <a:off x="190500" y="23421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85725</xdr:rowOff>
    </xdr:from>
    <xdr:to>
      <xdr:col>3</xdr:col>
      <xdr:colOff>581025</xdr:colOff>
      <xdr:row>18</xdr:row>
      <xdr:rowOff>22800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3598E1D2-6442-4666-933B-10CA14940265}"/>
            </a:ext>
          </a:extLst>
        </xdr:cNvPr>
        <xdr:cNvSpPr/>
      </xdr:nvSpPr>
      <xdr:spPr>
        <a:xfrm>
          <a:off x="190500" y="3257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oneCellAnchor>
    <xdr:from>
      <xdr:col>10</xdr:col>
      <xdr:colOff>669925</xdr:colOff>
      <xdr:row>9</xdr:row>
      <xdr:rowOff>171450</xdr:rowOff>
    </xdr:from>
    <xdr:ext cx="243913" cy="173766"/>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452D2629-51E8-E4A4-6BEC-323626BAE963}"/>
                </a:ext>
              </a:extLst>
            </xdr:cNvPr>
            <xdr:cNvSpPr txBox="1"/>
          </xdr:nvSpPr>
          <xdr:spPr>
            <a:xfrm>
              <a:off x="7769225" y="1962150"/>
              <a:ext cx="24391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b="0" i="1">
                            <a:latin typeface="Cambria Math" panose="02040503050406030204" pitchFamily="18" charset="0"/>
                          </a:rPr>
                        </m:ctrlPr>
                      </m:sSubPr>
                      <m:e>
                        <m:r>
                          <a:rPr lang="en-US" sz="1100" b="0" i="1">
                            <a:latin typeface="Cambria Math" panose="02040503050406030204" pitchFamily="18" charset="0"/>
                          </a:rPr>
                          <m:t>𝜔</m:t>
                        </m:r>
                      </m:e>
                      <m:sub>
                        <m:r>
                          <a:rPr lang="en-US" sz="1100" b="0" i="1">
                            <a:latin typeface="Cambria Math" panose="02040503050406030204" pitchFamily="18" charset="0"/>
                          </a:rPr>
                          <m:t>𝑐𝑜</m:t>
                        </m:r>
                      </m:sub>
                    </m:sSub>
                  </m:oMath>
                </m:oMathPara>
              </a14:m>
              <a:endParaRPr lang="en-GB" sz="1100"/>
            </a:p>
          </xdr:txBody>
        </xdr:sp>
      </mc:Choice>
      <mc:Fallback xmlns="">
        <xdr:sp macro="" textlink="">
          <xdr:nvSpPr>
            <xdr:cNvPr id="8" name="TextBox 7">
              <a:extLst>
                <a:ext uri="{FF2B5EF4-FFF2-40B4-BE49-F238E27FC236}">
                  <a16:creationId xmlns:a16="http://schemas.microsoft.com/office/drawing/2014/main" id="{452D2629-51E8-E4A4-6BEC-323626BAE963}"/>
                </a:ext>
              </a:extLst>
            </xdr:cNvPr>
            <xdr:cNvSpPr txBox="1"/>
          </xdr:nvSpPr>
          <xdr:spPr>
            <a:xfrm>
              <a:off x="7769225" y="1962150"/>
              <a:ext cx="24391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𝜔_𝑐𝑜</a:t>
              </a:r>
              <a:endParaRPr lang="en-GB" sz="1100"/>
            </a:p>
          </xdr:txBody>
        </xdr:sp>
      </mc:Fallback>
    </mc:AlternateContent>
    <xdr:clientData/>
  </xdr:oneCellAnchor>
  <xdr:twoCellAnchor>
    <xdr:from>
      <xdr:col>0</xdr:col>
      <xdr:colOff>190500</xdr:colOff>
      <xdr:row>14</xdr:row>
      <xdr:rowOff>9016</xdr:rowOff>
    </xdr:from>
    <xdr:to>
      <xdr:col>3</xdr:col>
      <xdr:colOff>581025</xdr:colOff>
      <xdr:row>15</xdr:row>
      <xdr:rowOff>146116</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4DACD9BF-C2A6-4A96-8F40-915CF22E0C3D}"/>
            </a:ext>
          </a:extLst>
        </xdr:cNvPr>
        <xdr:cNvSpPr/>
      </xdr:nvSpPr>
      <xdr:spPr>
        <a:xfrm>
          <a:off x="190500" y="279984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50946C76-D08F-4E1E-8261-583C60127D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editAs="absolute">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FA0333BF-9855-4D80-BCAE-205A256F135F}"/>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168997</xdr:rowOff>
    </xdr:from>
    <xdr:to>
      <xdr:col>3</xdr:col>
      <xdr:colOff>578075</xdr:colOff>
      <xdr:row>8</xdr:row>
      <xdr:rowOff>96547</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6B98147-490B-406F-86BB-578ADD523483}"/>
            </a:ext>
          </a:extLst>
        </xdr:cNvPr>
        <xdr:cNvSpPr/>
      </xdr:nvSpPr>
      <xdr:spPr>
        <a:xfrm>
          <a:off x="187325" y="1426297"/>
          <a:ext cx="2219550"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34468</xdr:rowOff>
    </xdr:from>
    <xdr:to>
      <xdr:col>3</xdr:col>
      <xdr:colOff>577850</xdr:colOff>
      <xdr:row>10</xdr:row>
      <xdr:rowOff>171568</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116FCD19-F316-4D11-9361-F9C628EB1E90}"/>
            </a:ext>
          </a:extLst>
        </xdr:cNvPr>
        <xdr:cNvSpPr/>
      </xdr:nvSpPr>
      <xdr:spPr>
        <a:xfrm>
          <a:off x="187325" y="1882318"/>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128539</xdr:rowOff>
    </xdr:from>
    <xdr:to>
      <xdr:col>3</xdr:col>
      <xdr:colOff>577850</xdr:colOff>
      <xdr:row>13</xdr:row>
      <xdr:rowOff>75139</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D74C5F5A-4338-463C-B567-AB9130A6BB24}"/>
            </a:ext>
          </a:extLst>
        </xdr:cNvPr>
        <xdr:cNvSpPr/>
      </xdr:nvSpPr>
      <xdr:spPr>
        <a:xfrm>
          <a:off x="187325" y="2357389"/>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20</xdr:row>
      <xdr:rowOff>257175</xdr:rowOff>
    </xdr:from>
    <xdr:to>
      <xdr:col>3</xdr:col>
      <xdr:colOff>577850</xdr:colOff>
      <xdr:row>21</xdr:row>
      <xdr:rowOff>70425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A7AE1BE3-AABF-4BD2-BA59-33CD914F4D02}"/>
            </a:ext>
          </a:extLst>
        </xdr:cNvPr>
        <xdr:cNvSpPr/>
      </xdr:nvSpPr>
      <xdr:spPr>
        <a:xfrm>
          <a:off x="187325" y="42576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14</xdr:row>
      <xdr:rowOff>32110</xdr:rowOff>
    </xdr:from>
    <xdr:to>
      <xdr:col>3</xdr:col>
      <xdr:colOff>577850</xdr:colOff>
      <xdr:row>15</xdr:row>
      <xdr:rowOff>169210</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1E663F8C-9BCC-4A76-98CB-52DAA8768B9C}"/>
            </a:ext>
          </a:extLst>
        </xdr:cNvPr>
        <xdr:cNvSpPr/>
      </xdr:nvSpPr>
      <xdr:spPr>
        <a:xfrm>
          <a:off x="187325" y="2832460"/>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twoCellAnchor>
    <xdr:from>
      <xdr:col>0</xdr:col>
      <xdr:colOff>342900</xdr:colOff>
      <xdr:row>16</xdr:row>
      <xdr:rowOff>126181</xdr:rowOff>
    </xdr:from>
    <xdr:to>
      <xdr:col>4</xdr:col>
      <xdr:colOff>123825</xdr:colOff>
      <xdr:row>18</xdr:row>
      <xdr:rowOff>63256</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29D2ACE4-8815-4D5A-898B-8BCB01237C79}"/>
            </a:ext>
          </a:extLst>
        </xdr:cNvPr>
        <xdr:cNvSpPr/>
      </xdr:nvSpPr>
      <xdr:spPr>
        <a:xfrm>
          <a:off x="342900" y="33075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Up Shock Term Structures</a:t>
          </a:r>
        </a:p>
      </xdr:txBody>
    </xdr:sp>
    <xdr:clientData/>
  </xdr:twoCellAnchor>
  <xdr:twoCellAnchor>
    <xdr:from>
      <xdr:col>0</xdr:col>
      <xdr:colOff>342900</xdr:colOff>
      <xdr:row>18</xdr:row>
      <xdr:rowOff>210727</xdr:rowOff>
    </xdr:from>
    <xdr:to>
      <xdr:col>4</xdr:col>
      <xdr:colOff>123825</xdr:colOff>
      <xdr:row>20</xdr:row>
      <xdr:rowOff>109702</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0CD8C420-FF0F-47AB-B394-CED19FEBA520}"/>
            </a:ext>
          </a:extLst>
        </xdr:cNvPr>
        <xdr:cNvSpPr/>
      </xdr:nvSpPr>
      <xdr:spPr>
        <a:xfrm>
          <a:off x="342900" y="3782602"/>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Down Shock Term Structures</a:t>
          </a:r>
        </a:p>
      </xdr:txBody>
    </xdr:sp>
    <xdr:clientData/>
  </xdr:twoCellAnchor>
  <xdr:twoCellAnchor editAs="oneCell">
    <xdr:from>
      <xdr:col>0</xdr:col>
      <xdr:colOff>244847</xdr:colOff>
      <xdr:row>20</xdr:row>
      <xdr:rowOff>508832</xdr:rowOff>
    </xdr:from>
    <xdr:to>
      <xdr:col>0</xdr:col>
      <xdr:colOff>359686</xdr:colOff>
      <xdr:row>20</xdr:row>
      <xdr:rowOff>510811</xdr:rowOff>
    </xdr:to>
    <xdr:cxnSp macro="">
      <xdr:nvCxnSpPr>
        <xdr:cNvPr id="16" name="Straight Connector 15">
          <a:extLst>
            <a:ext uri="{FF2B5EF4-FFF2-40B4-BE49-F238E27FC236}">
              <a16:creationId xmlns:a16="http://schemas.microsoft.com/office/drawing/2014/main" id="{F2781C78-9C29-8A91-A4FF-9DEE80E08408}"/>
            </a:ext>
          </a:extLst>
        </xdr:cNvPr>
        <xdr:cNvCxnSpPr/>
      </xdr:nvCxnSpPr>
      <xdr:spPr>
        <a:xfrm flipH="1">
          <a:off x="244847" y="4509332"/>
          <a:ext cx="114839" cy="1979"/>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240760</xdr:colOff>
      <xdr:row>15</xdr:row>
      <xdr:rowOff>161925</xdr:rowOff>
    </xdr:from>
    <xdr:to>
      <xdr:col>0</xdr:col>
      <xdr:colOff>358964</xdr:colOff>
      <xdr:row>19</xdr:row>
      <xdr:rowOff>142875</xdr:rowOff>
    </xdr:to>
    <xdr:grpSp>
      <xdr:nvGrpSpPr>
        <xdr:cNvPr id="23" name="Group 22">
          <a:extLst>
            <a:ext uri="{FF2B5EF4-FFF2-40B4-BE49-F238E27FC236}">
              <a16:creationId xmlns:a16="http://schemas.microsoft.com/office/drawing/2014/main" id="{B43510EE-63DC-686F-B98C-A54F9F796D14}"/>
            </a:ext>
          </a:extLst>
        </xdr:cNvPr>
        <xdr:cNvGrpSpPr/>
      </xdr:nvGrpSpPr>
      <xdr:grpSpPr>
        <a:xfrm>
          <a:off x="240760" y="3057525"/>
          <a:ext cx="118204" cy="762000"/>
          <a:chOff x="240760" y="3190875"/>
          <a:chExt cx="118204" cy="800100"/>
        </a:xfrm>
      </xdr:grpSpPr>
      <xdr:cxnSp macro="">
        <xdr:nvCxnSpPr>
          <xdr:cNvPr id="12" name="Straight Connector 11">
            <a:extLst>
              <a:ext uri="{FF2B5EF4-FFF2-40B4-BE49-F238E27FC236}">
                <a16:creationId xmlns:a16="http://schemas.microsoft.com/office/drawing/2014/main" id="{6CCF9413-E70C-A464-65BB-A7BC31C1DA79}"/>
              </a:ext>
            </a:extLst>
          </xdr:cNvPr>
          <xdr:cNvCxnSpPr/>
        </xdr:nvCxnSpPr>
        <xdr:spPr>
          <a:xfrm flipH="1">
            <a:off x="247650" y="3190875"/>
            <a:ext cx="608" cy="800100"/>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7" name="Straight Connector 16">
            <a:extLst>
              <a:ext uri="{FF2B5EF4-FFF2-40B4-BE49-F238E27FC236}">
                <a16:creationId xmlns:a16="http://schemas.microsoft.com/office/drawing/2014/main" id="{8B0F714F-59E7-39C1-5AA6-62CE2DE1AFC1}"/>
              </a:ext>
            </a:extLst>
          </xdr:cNvPr>
          <xdr:cNvCxnSpPr/>
        </xdr:nvCxnSpPr>
        <xdr:spPr>
          <a:xfrm flipH="1">
            <a:off x="240760" y="3987028"/>
            <a:ext cx="118204" cy="2296"/>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id="{FFC9847F-A174-B1BA-55DD-98E19012D2F3}"/>
              </a:ext>
            </a:extLst>
          </xdr:cNvPr>
          <xdr:cNvCxnSpPr/>
        </xdr:nvCxnSpPr>
        <xdr:spPr>
          <a:xfrm flipH="1" flipV="1">
            <a:off x="247650" y="3505200"/>
            <a:ext cx="101788" cy="2299"/>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0FC1C50C-DA2F-4672-86AF-CEE72D2219B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B7562E72-B81A-43E2-9FDD-8DE3F0471099}"/>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173079</xdr:rowOff>
    </xdr:from>
    <xdr:to>
      <xdr:col>3</xdr:col>
      <xdr:colOff>578075</xdr:colOff>
      <xdr:row>8</xdr:row>
      <xdr:rowOff>100629</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B85D72A0-E936-4B49-B466-FD3EB933F4A5}"/>
            </a:ext>
          </a:extLst>
        </xdr:cNvPr>
        <xdr:cNvSpPr/>
      </xdr:nvSpPr>
      <xdr:spPr>
        <a:xfrm>
          <a:off x="187325" y="1430379"/>
          <a:ext cx="2219550"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52157</xdr:rowOff>
    </xdr:from>
    <xdr:to>
      <xdr:col>3</xdr:col>
      <xdr:colOff>577850</xdr:colOff>
      <xdr:row>10</xdr:row>
      <xdr:rowOff>189257</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35122580-10C9-4D28-8248-61C75EB78A49}"/>
            </a:ext>
          </a:extLst>
        </xdr:cNvPr>
        <xdr:cNvSpPr/>
      </xdr:nvSpPr>
      <xdr:spPr>
        <a:xfrm>
          <a:off x="187325" y="1900007"/>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150310</xdr:rowOff>
    </xdr:from>
    <xdr:to>
      <xdr:col>3</xdr:col>
      <xdr:colOff>577850</xdr:colOff>
      <xdr:row>13</xdr:row>
      <xdr:rowOff>96910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1FBA626A-FDFE-47F0-B9BC-17D8777F4204}"/>
            </a:ext>
          </a:extLst>
        </xdr:cNvPr>
        <xdr:cNvSpPr/>
      </xdr:nvSpPr>
      <xdr:spPr>
        <a:xfrm>
          <a:off x="187325" y="237916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20</xdr:row>
      <xdr:rowOff>314325</xdr:rowOff>
    </xdr:from>
    <xdr:to>
      <xdr:col>3</xdr:col>
      <xdr:colOff>577850</xdr:colOff>
      <xdr:row>21</xdr:row>
      <xdr:rowOff>127575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4AC0B799-0CA2-447E-8593-DA5373D5654E}"/>
            </a:ext>
          </a:extLst>
        </xdr:cNvPr>
        <xdr:cNvSpPr/>
      </xdr:nvSpPr>
      <xdr:spPr>
        <a:xfrm>
          <a:off x="187325" y="43148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14</xdr:row>
      <xdr:rowOff>67488</xdr:rowOff>
    </xdr:from>
    <xdr:to>
      <xdr:col>3</xdr:col>
      <xdr:colOff>577850</xdr:colOff>
      <xdr:row>16</xdr:row>
      <xdr:rowOff>14088</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69400A4F-240D-402B-8827-473E9928E327}"/>
            </a:ext>
          </a:extLst>
        </xdr:cNvPr>
        <xdr:cNvSpPr/>
      </xdr:nvSpPr>
      <xdr:spPr>
        <a:xfrm>
          <a:off x="187325" y="2867838"/>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twoCellAnchor>
    <xdr:from>
      <xdr:col>0</xdr:col>
      <xdr:colOff>327025</xdr:colOff>
      <xdr:row>16</xdr:row>
      <xdr:rowOff>165641</xdr:rowOff>
    </xdr:from>
    <xdr:to>
      <xdr:col>4</xdr:col>
      <xdr:colOff>107950</xdr:colOff>
      <xdr:row>18</xdr:row>
      <xdr:rowOff>102716</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386D0970-9E6B-498B-A6CA-E7B5C0936EF0}"/>
            </a:ext>
          </a:extLst>
        </xdr:cNvPr>
        <xdr:cNvSpPr/>
      </xdr:nvSpPr>
      <xdr:spPr>
        <a:xfrm>
          <a:off x="327025" y="334699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Up Shock Term Structures</a:t>
          </a:r>
        </a:p>
      </xdr:txBody>
    </xdr:sp>
    <xdr:clientData/>
  </xdr:twoCellAnchor>
  <xdr:twoCellAnchor>
    <xdr:from>
      <xdr:col>0</xdr:col>
      <xdr:colOff>336550</xdr:colOff>
      <xdr:row>19</xdr:row>
      <xdr:rowOff>6619</xdr:rowOff>
    </xdr:from>
    <xdr:to>
      <xdr:col>4</xdr:col>
      <xdr:colOff>117475</xdr:colOff>
      <xdr:row>20</xdr:row>
      <xdr:rowOff>143719</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9EA2A115-673E-4E75-9995-EA3B572159FB}"/>
            </a:ext>
          </a:extLst>
        </xdr:cNvPr>
        <xdr:cNvSpPr/>
      </xdr:nvSpPr>
      <xdr:spPr>
        <a:xfrm>
          <a:off x="336550" y="3816619"/>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Down Shock Term Structures</a:t>
          </a:r>
        </a:p>
      </xdr:txBody>
    </xdr:sp>
    <xdr:clientData/>
  </xdr:twoCellAnchor>
  <xdr:twoCellAnchor>
    <xdr:from>
      <xdr:col>0</xdr:col>
      <xdr:colOff>219075</xdr:colOff>
      <xdr:row>16</xdr:row>
      <xdr:rowOff>9525</xdr:rowOff>
    </xdr:from>
    <xdr:to>
      <xdr:col>0</xdr:col>
      <xdr:colOff>337279</xdr:colOff>
      <xdr:row>19</xdr:row>
      <xdr:rowOff>180975</xdr:rowOff>
    </xdr:to>
    <xdr:grpSp>
      <xdr:nvGrpSpPr>
        <xdr:cNvPr id="11" name="Group 10">
          <a:extLst>
            <a:ext uri="{FF2B5EF4-FFF2-40B4-BE49-F238E27FC236}">
              <a16:creationId xmlns:a16="http://schemas.microsoft.com/office/drawing/2014/main" id="{F663B234-0DB4-4D95-9DDE-D6976EFC9710}"/>
            </a:ext>
          </a:extLst>
        </xdr:cNvPr>
        <xdr:cNvGrpSpPr/>
      </xdr:nvGrpSpPr>
      <xdr:grpSpPr>
        <a:xfrm>
          <a:off x="219075" y="3089275"/>
          <a:ext cx="118204" cy="768350"/>
          <a:chOff x="240760" y="3190875"/>
          <a:chExt cx="118204" cy="800100"/>
        </a:xfrm>
      </xdr:grpSpPr>
      <xdr:cxnSp macro="">
        <xdr:nvCxnSpPr>
          <xdr:cNvPr id="12" name="Straight Connector 11">
            <a:extLst>
              <a:ext uri="{FF2B5EF4-FFF2-40B4-BE49-F238E27FC236}">
                <a16:creationId xmlns:a16="http://schemas.microsoft.com/office/drawing/2014/main" id="{33F7E0A8-CCB1-F538-1C03-BE6AE8651822}"/>
              </a:ext>
            </a:extLst>
          </xdr:cNvPr>
          <xdr:cNvCxnSpPr/>
        </xdr:nvCxnSpPr>
        <xdr:spPr>
          <a:xfrm flipH="1">
            <a:off x="247650" y="3190875"/>
            <a:ext cx="608" cy="800100"/>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3" name="Straight Connector 12">
            <a:extLst>
              <a:ext uri="{FF2B5EF4-FFF2-40B4-BE49-F238E27FC236}">
                <a16:creationId xmlns:a16="http://schemas.microsoft.com/office/drawing/2014/main" id="{BB90B731-13C6-48D3-C197-1AC57F1147FD}"/>
              </a:ext>
            </a:extLst>
          </xdr:cNvPr>
          <xdr:cNvCxnSpPr/>
        </xdr:nvCxnSpPr>
        <xdr:spPr>
          <a:xfrm flipH="1">
            <a:off x="240760" y="3987028"/>
            <a:ext cx="118204" cy="2296"/>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9A857D81-AEC5-A2E6-5768-B50B723D5930}"/>
              </a:ext>
            </a:extLst>
          </xdr:cNvPr>
          <xdr:cNvCxnSpPr/>
        </xdr:nvCxnSpPr>
        <xdr:spPr>
          <a:xfrm flipH="1" flipV="1">
            <a:off x="247650" y="3505200"/>
            <a:ext cx="101788" cy="2299"/>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3109389E-53A9-401C-BE5D-245155CB9EA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180975</xdr:colOff>
      <xdr:row>4</xdr:row>
      <xdr:rowOff>161925</xdr:rowOff>
    </xdr:from>
    <xdr:to>
      <xdr:col>3</xdr:col>
      <xdr:colOff>571500</xdr:colOff>
      <xdr:row>6</xdr:row>
      <xdr:rowOff>41850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38D0128A-AA4F-40B6-A64E-8BDA43CE5BBD}"/>
            </a:ext>
          </a:extLst>
        </xdr:cNvPr>
        <xdr:cNvSpPr/>
      </xdr:nvSpPr>
      <xdr:spPr>
        <a:xfrm>
          <a:off x="180975" y="971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180975</xdr:colOff>
      <xdr:row>6</xdr:row>
      <xdr:rowOff>180975</xdr:rowOff>
    </xdr:from>
    <xdr:to>
      <xdr:col>3</xdr:col>
      <xdr:colOff>571500</xdr:colOff>
      <xdr:row>8</xdr:row>
      <xdr:rowOff>118050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1AB586BA-B490-449D-8877-FE38CA810E05}"/>
            </a:ext>
          </a:extLst>
        </xdr:cNvPr>
        <xdr:cNvSpPr/>
      </xdr:nvSpPr>
      <xdr:spPr>
        <a:xfrm>
          <a:off x="180975" y="14382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180975</xdr:colOff>
      <xdr:row>9</xdr:row>
      <xdr:rowOff>66675</xdr:rowOff>
    </xdr:from>
    <xdr:to>
      <xdr:col>3</xdr:col>
      <xdr:colOff>571500</xdr:colOff>
      <xdr:row>11</xdr:row>
      <xdr:rowOff>13275</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D173352B-07C8-48AE-AF30-2D238A77D08F}"/>
            </a:ext>
          </a:extLst>
        </xdr:cNvPr>
        <xdr:cNvSpPr/>
      </xdr:nvSpPr>
      <xdr:spPr>
        <a:xfrm>
          <a:off x="180975" y="190500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180975</xdr:colOff>
      <xdr:row>11</xdr:row>
      <xdr:rowOff>152400</xdr:rowOff>
    </xdr:from>
    <xdr:to>
      <xdr:col>3</xdr:col>
      <xdr:colOff>571500</xdr:colOff>
      <xdr:row>13</xdr:row>
      <xdr:rowOff>99000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19A489C7-1B66-4CC6-A06E-B74135AC9EF8}"/>
            </a:ext>
          </a:extLst>
        </xdr:cNvPr>
        <xdr:cNvSpPr/>
      </xdr:nvSpPr>
      <xdr:spPr>
        <a:xfrm>
          <a:off x="180975" y="23717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180975</xdr:colOff>
      <xdr:row>16</xdr:row>
      <xdr:rowOff>133350</xdr:rowOff>
    </xdr:from>
    <xdr:to>
      <xdr:col>3</xdr:col>
      <xdr:colOff>571500</xdr:colOff>
      <xdr:row>18</xdr:row>
      <xdr:rowOff>79950</xdr:rowOff>
    </xdr:to>
    <xdr:sp macro="" textlink="">
      <xdr:nvSpPr>
        <xdr:cNvPr id="7" name="Rectangle 6">
          <a:extLst>
            <a:ext uri="{FF2B5EF4-FFF2-40B4-BE49-F238E27FC236}">
              <a16:creationId xmlns:a16="http://schemas.microsoft.com/office/drawing/2014/main" id="{B55437DD-D93B-438D-8047-FEA51620B899}"/>
            </a:ext>
          </a:extLst>
        </xdr:cNvPr>
        <xdr:cNvSpPr/>
      </xdr:nvSpPr>
      <xdr:spPr>
        <a:xfrm>
          <a:off x="180975" y="3305175"/>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180975</xdr:colOff>
      <xdr:row>14</xdr:row>
      <xdr:rowOff>47625</xdr:rowOff>
    </xdr:from>
    <xdr:to>
      <xdr:col>3</xdr:col>
      <xdr:colOff>571500</xdr:colOff>
      <xdr:row>15</xdr:row>
      <xdr:rowOff>184725</xdr:rowOff>
    </xdr:to>
    <xdr:sp macro="" textlink="">
      <xdr:nvSpPr>
        <xdr:cNvPr id="11" name="Rectangle 10">
          <a:hlinkClick xmlns:r="http://schemas.openxmlformats.org/officeDocument/2006/relationships" r:id="rId6"/>
          <a:extLst>
            <a:ext uri="{FF2B5EF4-FFF2-40B4-BE49-F238E27FC236}">
              <a16:creationId xmlns:a16="http://schemas.microsoft.com/office/drawing/2014/main" id="{946D8C4B-2C4B-42DC-8BB1-05E8063F57C0}"/>
            </a:ext>
          </a:extLst>
        </xdr:cNvPr>
        <xdr:cNvSpPr/>
      </xdr:nvSpPr>
      <xdr:spPr>
        <a:xfrm>
          <a:off x="180975" y="28384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301625</xdr:colOff>
      <xdr:row>2</xdr:row>
      <xdr:rowOff>137056</xdr:rowOff>
    </xdr:to>
    <xdr:pic>
      <xdr:nvPicPr>
        <xdr:cNvPr id="2" name="Picture 1">
          <a:extLst>
            <a:ext uri="{FF2B5EF4-FFF2-40B4-BE49-F238E27FC236}">
              <a16:creationId xmlns:a16="http://schemas.microsoft.com/office/drawing/2014/main" id="{A238AA21-7DEE-42CF-B3A4-0FC4FD7431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41851</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DE24CA77-7BA1-4585-902D-FDBBC226A90E}"/>
            </a:ext>
          </a:extLst>
        </xdr:cNvPr>
        <xdr:cNvSpPr/>
      </xdr:nvSpPr>
      <xdr:spPr>
        <a:xfrm>
          <a:off x="190500" y="97155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173356</xdr:rowOff>
    </xdr:from>
    <xdr:to>
      <xdr:col>3</xdr:col>
      <xdr:colOff>581025</xdr:colOff>
      <xdr:row>8</xdr:row>
      <xdr:rowOff>110431</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21870E65-D45D-4BF1-8B0D-EF6AF184E669}"/>
            </a:ext>
          </a:extLst>
        </xdr:cNvPr>
        <xdr:cNvSpPr/>
      </xdr:nvSpPr>
      <xdr:spPr>
        <a:xfrm>
          <a:off x="190500" y="143065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Input </a:t>
          </a:r>
          <a:r>
            <a:rPr lang="en-GB" sz="1100" b="1">
              <a:solidFill>
                <a:schemeClr val="bg1">
                  <a:lumMod val="95000"/>
                </a:schemeClr>
              </a:solidFill>
              <a:latin typeface="Calibri" panose="020F0502020204030204" pitchFamily="34" charset="0"/>
              <a:ea typeface="+mn-ea"/>
              <a:cs typeface="Calibri" panose="020F0502020204030204" pitchFamily="34" charset="0"/>
            </a:rPr>
            <a:t>Data &amp; Extrapolation</a:t>
          </a:r>
        </a:p>
      </xdr:txBody>
    </xdr:sp>
    <xdr:clientData/>
  </xdr:twoCellAnchor>
  <xdr:twoCellAnchor>
    <xdr:from>
      <xdr:col>0</xdr:col>
      <xdr:colOff>190500</xdr:colOff>
      <xdr:row>9</xdr:row>
      <xdr:rowOff>51436</xdr:rowOff>
    </xdr:from>
    <xdr:to>
      <xdr:col>3</xdr:col>
      <xdr:colOff>581025</xdr:colOff>
      <xdr:row>10</xdr:row>
      <xdr:rowOff>188536</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488D323E-BF8D-4055-92CF-4758D45CB51C}"/>
            </a:ext>
          </a:extLst>
        </xdr:cNvPr>
        <xdr:cNvSpPr/>
      </xdr:nvSpPr>
      <xdr:spPr>
        <a:xfrm>
          <a:off x="190500" y="188976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129541</xdr:rowOff>
    </xdr:from>
    <xdr:to>
      <xdr:col>3</xdr:col>
      <xdr:colOff>581025</xdr:colOff>
      <xdr:row>13</xdr:row>
      <xdr:rowOff>76141</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BFC4FE6C-5B21-4E84-A064-DACECC81F524}"/>
            </a:ext>
          </a:extLst>
        </xdr:cNvPr>
        <xdr:cNvSpPr/>
      </xdr:nvSpPr>
      <xdr:spPr>
        <a:xfrm>
          <a:off x="190500" y="234886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47625</xdr:rowOff>
    </xdr:from>
    <xdr:to>
      <xdr:col>3</xdr:col>
      <xdr:colOff>581025</xdr:colOff>
      <xdr:row>17</xdr:row>
      <xdr:rowOff>184725</xdr:rowOff>
    </xdr:to>
    <xdr:sp macro="" textlink="">
      <xdr:nvSpPr>
        <xdr:cNvPr id="7" name="Rectangle 6">
          <a:extLst>
            <a:ext uri="{FF2B5EF4-FFF2-40B4-BE49-F238E27FC236}">
              <a16:creationId xmlns:a16="http://schemas.microsoft.com/office/drawing/2014/main" id="{82D19F29-67D9-4529-939F-87CA1A96B0F4}"/>
            </a:ext>
          </a:extLst>
        </xdr:cNvPr>
        <xdr:cNvSpPr/>
      </xdr:nvSpPr>
      <xdr:spPr>
        <a:xfrm>
          <a:off x="190500" y="3267075"/>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190500</xdr:colOff>
      <xdr:row>14</xdr:row>
      <xdr:rowOff>17146</xdr:rowOff>
    </xdr:from>
    <xdr:to>
      <xdr:col>3</xdr:col>
      <xdr:colOff>581025</xdr:colOff>
      <xdr:row>15</xdr:row>
      <xdr:rowOff>154246</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DD2017B0-5AED-4A94-B315-026CE984410E}"/>
            </a:ext>
          </a:extLst>
        </xdr:cNvPr>
        <xdr:cNvSpPr/>
      </xdr:nvSpPr>
      <xdr:spPr>
        <a:xfrm>
          <a:off x="190500" y="280797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6DACF-22BF-4B73-B609-28C69F096986}">
  <sheetPr codeName="shOverview">
    <tabColor theme="3" tint="0.89999084444715716"/>
  </sheetPr>
  <dimension ref="A1:N75"/>
  <sheetViews>
    <sheetView workbookViewId="0">
      <selection activeCell="F8" sqref="F8:L17"/>
    </sheetView>
  </sheetViews>
  <sheetFormatPr defaultColWidth="0" defaultRowHeight="14.5" x14ac:dyDescent="0.35"/>
  <cols>
    <col min="1" max="7" width="9.1796875" style="2" customWidth="1"/>
    <col min="8" max="8" width="12.54296875" style="2" customWidth="1"/>
    <col min="9" max="9" width="9.1796875" style="2" customWidth="1"/>
    <col min="10" max="10" width="9.453125" style="2" customWidth="1"/>
    <col min="11" max="11" width="27.54296875" style="2" bestFit="1" customWidth="1"/>
    <col min="12" max="12" width="9.1796875" style="2" customWidth="1"/>
    <col min="13" max="13" width="14.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133</v>
      </c>
      <c r="G6" s="6"/>
      <c r="H6" s="6"/>
      <c r="I6" s="6"/>
      <c r="J6" s="6"/>
      <c r="K6" s="6"/>
      <c r="L6" s="6"/>
      <c r="M6" s="6"/>
    </row>
    <row r="7" spans="1:14" ht="15" thickTop="1" x14ac:dyDescent="0.35"/>
    <row r="8" spans="1:14" ht="14.5" customHeight="1" x14ac:dyDescent="0.35">
      <c r="F8" s="89" t="s">
        <v>134</v>
      </c>
      <c r="G8" s="89"/>
      <c r="H8" s="89"/>
      <c r="I8" s="89"/>
      <c r="J8" s="89"/>
      <c r="K8" s="89"/>
      <c r="L8" s="89"/>
      <c r="M8" s="61"/>
    </row>
    <row r="9" spans="1:14" x14ac:dyDescent="0.35">
      <c r="F9" s="89"/>
      <c r="G9" s="89"/>
      <c r="H9" s="89"/>
      <c r="I9" s="89"/>
      <c r="J9" s="89"/>
      <c r="K9" s="89"/>
      <c r="L9" s="89"/>
      <c r="M9" s="61"/>
    </row>
    <row r="10" spans="1:14" x14ac:dyDescent="0.35">
      <c r="F10" s="89"/>
      <c r="G10" s="89"/>
      <c r="H10" s="89"/>
      <c r="I10" s="89"/>
      <c r="J10" s="89"/>
      <c r="K10" s="89"/>
      <c r="L10" s="89"/>
      <c r="M10" s="61"/>
    </row>
    <row r="11" spans="1:14" x14ac:dyDescent="0.35">
      <c r="F11" s="89"/>
      <c r="G11" s="89"/>
      <c r="H11" s="89"/>
      <c r="I11" s="89"/>
      <c r="J11" s="89"/>
      <c r="K11" s="89"/>
      <c r="L11" s="89"/>
      <c r="M11" s="61"/>
    </row>
    <row r="12" spans="1:14" x14ac:dyDescent="0.35">
      <c r="F12" s="89"/>
      <c r="G12" s="89"/>
      <c r="H12" s="89"/>
      <c r="I12" s="89"/>
      <c r="J12" s="89"/>
      <c r="K12" s="89"/>
      <c r="L12" s="89"/>
      <c r="M12" s="61"/>
    </row>
    <row r="13" spans="1:14" x14ac:dyDescent="0.35">
      <c r="F13" s="89"/>
      <c r="G13" s="89"/>
      <c r="H13" s="89"/>
      <c r="I13" s="89"/>
      <c r="J13" s="89"/>
      <c r="K13" s="89"/>
      <c r="L13" s="89"/>
      <c r="M13" s="61"/>
    </row>
    <row r="14" spans="1:14" x14ac:dyDescent="0.35">
      <c r="F14" s="89"/>
      <c r="G14" s="89"/>
      <c r="H14" s="89"/>
      <c r="I14" s="89"/>
      <c r="J14" s="89"/>
      <c r="K14" s="89"/>
      <c r="L14" s="89"/>
      <c r="M14" s="61"/>
    </row>
    <row r="15" spans="1:14" x14ac:dyDescent="0.35">
      <c r="F15" s="89"/>
      <c r="G15" s="89"/>
      <c r="H15" s="89"/>
      <c r="I15" s="89"/>
      <c r="J15" s="89"/>
      <c r="K15" s="89"/>
      <c r="L15" s="89"/>
      <c r="M15" s="61"/>
    </row>
    <row r="16" spans="1:14" x14ac:dyDescent="0.35">
      <c r="F16" s="89"/>
      <c r="G16" s="89"/>
      <c r="H16" s="89"/>
      <c r="I16" s="89"/>
      <c r="J16" s="89"/>
      <c r="K16" s="89"/>
      <c r="L16" s="89"/>
      <c r="M16" s="61"/>
    </row>
    <row r="17" spans="6:13" x14ac:dyDescent="0.35">
      <c r="F17" s="89"/>
      <c r="G17" s="89"/>
      <c r="H17" s="89"/>
      <c r="I17" s="89"/>
      <c r="J17" s="89"/>
      <c r="K17" s="89"/>
      <c r="L17" s="89"/>
      <c r="M17" s="61"/>
    </row>
    <row r="18" spans="6:13" x14ac:dyDescent="0.35">
      <c r="F18" s="61"/>
      <c r="G18" s="61"/>
      <c r="H18" s="61"/>
      <c r="I18" s="61"/>
      <c r="J18" s="61"/>
      <c r="K18" s="61"/>
      <c r="L18" s="61"/>
      <c r="M18" s="61"/>
    </row>
    <row r="19" spans="6:13" x14ac:dyDescent="0.35">
      <c r="F19" s="61"/>
      <c r="G19" s="61"/>
      <c r="H19" s="61"/>
      <c r="I19" s="61"/>
      <c r="J19" s="61"/>
      <c r="K19" s="61"/>
      <c r="L19" s="61"/>
      <c r="M19" s="61"/>
    </row>
    <row r="20" spans="6:13" x14ac:dyDescent="0.35">
      <c r="F20" s="13" t="s">
        <v>0</v>
      </c>
      <c r="H20" s="14" t="s">
        <v>1</v>
      </c>
      <c r="K20" s="8" t="s">
        <v>12</v>
      </c>
      <c r="L20" s="17"/>
    </row>
    <row r="21" spans="6:13" x14ac:dyDescent="0.35">
      <c r="F21" s="87">
        <v>1</v>
      </c>
      <c r="H21" s="15">
        <v>46161</v>
      </c>
      <c r="K21" s="9" t="s">
        <v>75</v>
      </c>
      <c r="L21" s="18"/>
    </row>
    <row r="22" spans="6:13" x14ac:dyDescent="0.35">
      <c r="K22" s="9" t="s">
        <v>76</v>
      </c>
      <c r="L22" s="19"/>
    </row>
    <row r="23" spans="6:13" x14ac:dyDescent="0.35">
      <c r="K23" s="9" t="s">
        <v>77</v>
      </c>
      <c r="L23" s="20"/>
    </row>
    <row r="24" spans="6:13" x14ac:dyDescent="0.35">
      <c r="K24" s="9" t="s">
        <v>30</v>
      </c>
      <c r="L24" s="27"/>
    </row>
    <row r="25" spans="6:13" x14ac:dyDescent="0.35">
      <c r="J25" s="16"/>
      <c r="K25" s="16"/>
    </row>
    <row r="26" spans="6:13" x14ac:dyDescent="0.35">
      <c r="F26" s="13" t="s">
        <v>41</v>
      </c>
      <c r="J26" s="16"/>
      <c r="K26" s="16"/>
    </row>
    <row r="27" spans="6:13" x14ac:dyDescent="0.35">
      <c r="J27" s="16"/>
      <c r="K27" s="16"/>
    </row>
    <row r="28" spans="6:13" x14ac:dyDescent="0.35">
      <c r="F28" s="2" t="s">
        <v>46</v>
      </c>
      <c r="G28" s="55" t="s">
        <v>50</v>
      </c>
      <c r="J28" s="2" t="s">
        <v>32</v>
      </c>
      <c r="K28" s="55" t="s">
        <v>57</v>
      </c>
    </row>
    <row r="29" spans="6:13" x14ac:dyDescent="0.35">
      <c r="F29" s="2" t="s">
        <v>49</v>
      </c>
      <c r="G29" s="55" t="s">
        <v>51</v>
      </c>
      <c r="J29" s="2" t="s">
        <v>65</v>
      </c>
      <c r="K29" s="56" t="s">
        <v>66</v>
      </c>
    </row>
    <row r="30" spans="6:13" x14ac:dyDescent="0.35">
      <c r="F30" s="2" t="s">
        <v>47</v>
      </c>
      <c r="G30" s="55" t="s">
        <v>52</v>
      </c>
      <c r="J30" s="2" t="s">
        <v>48</v>
      </c>
      <c r="K30" s="56" t="s">
        <v>58</v>
      </c>
    </row>
    <row r="31" spans="6:13" x14ac:dyDescent="0.35">
      <c r="F31" s="2" t="s">
        <v>36</v>
      </c>
      <c r="G31" s="55" t="s">
        <v>53</v>
      </c>
      <c r="J31" s="2" t="s">
        <v>45</v>
      </c>
      <c r="K31" s="56" t="s">
        <v>67</v>
      </c>
    </row>
    <row r="32" spans="6:13" x14ac:dyDescent="0.35">
      <c r="F32" s="2" t="s">
        <v>19</v>
      </c>
      <c r="G32" s="55" t="s">
        <v>54</v>
      </c>
      <c r="J32" s="2" t="s">
        <v>44</v>
      </c>
      <c r="K32" s="56" t="s">
        <v>59</v>
      </c>
    </row>
    <row r="33" spans="6:13" x14ac:dyDescent="0.35">
      <c r="F33" s="2" t="s">
        <v>7</v>
      </c>
      <c r="G33" s="55" t="s">
        <v>64</v>
      </c>
      <c r="J33" s="2" t="s">
        <v>43</v>
      </c>
      <c r="K33" s="56" t="s">
        <v>60</v>
      </c>
    </row>
    <row r="34" spans="6:13" x14ac:dyDescent="0.35">
      <c r="F34" s="2" t="s">
        <v>4</v>
      </c>
      <c r="G34" s="55" t="s">
        <v>55</v>
      </c>
      <c r="J34" s="2" t="s">
        <v>34</v>
      </c>
      <c r="K34" s="56" t="s">
        <v>61</v>
      </c>
    </row>
    <row r="35" spans="6:13" x14ac:dyDescent="0.35">
      <c r="F35" s="2" t="s">
        <v>94</v>
      </c>
      <c r="G35" s="55" t="s">
        <v>95</v>
      </c>
      <c r="J35" s="2" t="s">
        <v>5</v>
      </c>
      <c r="K35" s="56" t="s">
        <v>62</v>
      </c>
    </row>
    <row r="36" spans="6:13" x14ac:dyDescent="0.35">
      <c r="F36" s="2" t="s">
        <v>35</v>
      </c>
      <c r="G36" s="55" t="s">
        <v>56</v>
      </c>
      <c r="J36" s="2" t="s">
        <v>29</v>
      </c>
      <c r="K36" s="56" t="s">
        <v>88</v>
      </c>
    </row>
    <row r="37" spans="6:13" x14ac:dyDescent="0.35">
      <c r="F37" s="2" t="s">
        <v>118</v>
      </c>
      <c r="G37" s="55" t="s">
        <v>119</v>
      </c>
      <c r="J37" s="2" t="s">
        <v>42</v>
      </c>
      <c r="K37" s="56" t="s">
        <v>63</v>
      </c>
    </row>
    <row r="38" spans="6:13" x14ac:dyDescent="0.35">
      <c r="J38" s="16"/>
      <c r="K38" s="16"/>
    </row>
    <row r="39" spans="6:13" ht="17.5" thickBot="1" x14ac:dyDescent="0.45">
      <c r="F39" s="28" t="s">
        <v>31</v>
      </c>
      <c r="G39" s="28"/>
      <c r="H39" s="28"/>
      <c r="I39" s="28"/>
      <c r="J39" s="28"/>
      <c r="K39" s="28"/>
      <c r="L39" s="28"/>
      <c r="M39"/>
    </row>
    <row r="40" spans="6:13" ht="15" thickTop="1" x14ac:dyDescent="0.35"/>
    <row r="41" spans="6:13" ht="169.5" customHeight="1" x14ac:dyDescent="0.35">
      <c r="F41" s="89" t="s">
        <v>72</v>
      </c>
      <c r="G41" s="89"/>
      <c r="H41" s="89"/>
      <c r="I41" s="89"/>
      <c r="J41" s="89"/>
      <c r="K41" s="89"/>
      <c r="L41" s="89"/>
      <c r="M41" s="61"/>
    </row>
    <row r="42" spans="6:13" ht="14.5" customHeight="1" x14ac:dyDescent="0.35">
      <c r="F42" s="54"/>
      <c r="G42" s="54"/>
      <c r="H42" s="54"/>
      <c r="I42" s="54"/>
      <c r="J42" s="54"/>
      <c r="K42" s="54"/>
      <c r="L42" s="54"/>
      <c r="M42" s="61"/>
    </row>
    <row r="43" spans="6:13" ht="15" thickBot="1" x14ac:dyDescent="0.4">
      <c r="F43" s="58" t="s">
        <v>40</v>
      </c>
      <c r="G43" s="58"/>
      <c r="H43" s="58"/>
      <c r="I43" s="58"/>
      <c r="J43" s="58"/>
      <c r="K43" s="58"/>
      <c r="L43" s="58"/>
      <c r="M43"/>
    </row>
    <row r="45" spans="6:13" ht="330.75" customHeight="1" x14ac:dyDescent="0.35">
      <c r="F45" s="89" t="s">
        <v>82</v>
      </c>
      <c r="G45" s="89"/>
      <c r="H45" s="89"/>
      <c r="I45" s="89"/>
      <c r="J45" s="89"/>
      <c r="K45" s="89"/>
      <c r="L45" s="89"/>
    </row>
    <row r="46" spans="6:13" ht="14.5" customHeight="1" x14ac:dyDescent="0.35">
      <c r="F46" s="59"/>
      <c r="G46" s="59"/>
      <c r="H46" s="59"/>
      <c r="I46" s="59"/>
      <c r="J46" s="59"/>
      <c r="K46" s="59"/>
    </row>
    <row r="48" spans="6:13" ht="109.5" customHeight="1" x14ac:dyDescent="0.35">
      <c r="F48" s="89" t="s">
        <v>97</v>
      </c>
      <c r="G48" s="89"/>
      <c r="H48" s="89"/>
      <c r="I48" s="89"/>
      <c r="J48" s="89"/>
      <c r="K48" s="89"/>
      <c r="L48" s="89"/>
    </row>
    <row r="49" spans="6:13" ht="101.5" customHeight="1" x14ac:dyDescent="0.35">
      <c r="F49" s="91" t="s">
        <v>87</v>
      </c>
      <c r="G49" s="91"/>
      <c r="H49" s="91"/>
      <c r="I49" s="91"/>
      <c r="J49" s="91"/>
      <c r="K49" s="91"/>
      <c r="L49" s="91"/>
    </row>
    <row r="50" spans="6:13" ht="14.5" customHeight="1" x14ac:dyDescent="0.35">
      <c r="F50" s="54"/>
      <c r="G50" s="54"/>
      <c r="H50" s="54"/>
      <c r="I50" s="54"/>
      <c r="J50" s="54"/>
      <c r="K50" s="54"/>
      <c r="L50" s="54"/>
    </row>
    <row r="51" spans="6:13" ht="101.5" customHeight="1" x14ac:dyDescent="0.35">
      <c r="F51" s="90" t="s">
        <v>131</v>
      </c>
      <c r="G51" s="91"/>
      <c r="H51" s="91"/>
      <c r="I51" s="91"/>
      <c r="J51" s="91"/>
      <c r="K51" s="91"/>
      <c r="L51" s="91"/>
    </row>
    <row r="54" spans="6:13" ht="65.5" customHeight="1" x14ac:dyDescent="0.35">
      <c r="F54" s="89" t="s">
        <v>73</v>
      </c>
      <c r="G54" s="89"/>
      <c r="H54" s="89"/>
      <c r="I54" s="89"/>
      <c r="J54" s="89"/>
      <c r="K54" s="89"/>
      <c r="L54" s="89"/>
    </row>
    <row r="56" spans="6:13" ht="15" thickBot="1" x14ac:dyDescent="0.4">
      <c r="F56" s="58" t="s">
        <v>68</v>
      </c>
      <c r="G56" s="58"/>
      <c r="H56" s="58"/>
      <c r="I56" s="58"/>
      <c r="J56" s="58"/>
      <c r="K56" s="58"/>
      <c r="L56" s="58"/>
      <c r="M56"/>
    </row>
    <row r="58" spans="6:13" ht="46" customHeight="1" x14ac:dyDescent="0.35">
      <c r="F58" s="89" t="s">
        <v>74</v>
      </c>
      <c r="G58" s="89"/>
      <c r="H58" s="89"/>
      <c r="I58" s="89"/>
      <c r="J58" s="89"/>
      <c r="K58" s="89"/>
      <c r="L58" s="89"/>
    </row>
    <row r="59" spans="6:13" x14ac:dyDescent="0.35">
      <c r="F59" s="89"/>
      <c r="G59" s="89"/>
      <c r="H59" s="89"/>
      <c r="I59" s="89"/>
      <c r="J59" s="89"/>
      <c r="K59" s="89"/>
      <c r="L59" s="89"/>
    </row>
    <row r="60" spans="6:13" ht="12" customHeight="1" x14ac:dyDescent="0.35"/>
    <row r="61" spans="6:13" ht="73" customHeight="1" x14ac:dyDescent="0.35">
      <c r="F61" s="89" t="s">
        <v>96</v>
      </c>
      <c r="G61" s="89"/>
      <c r="H61" s="89"/>
      <c r="I61" s="89"/>
      <c r="J61" s="89"/>
      <c r="K61" s="89"/>
      <c r="L61" s="89"/>
    </row>
    <row r="64" spans="6:13" ht="15" thickBot="1" x14ac:dyDescent="0.4">
      <c r="F64" s="58" t="s">
        <v>70</v>
      </c>
      <c r="G64" s="58"/>
      <c r="H64" s="58"/>
      <c r="I64" s="58"/>
      <c r="J64" s="58"/>
      <c r="K64" s="58"/>
      <c r="L64" s="58"/>
    </row>
    <row r="67" spans="6:12" ht="221.5" customHeight="1" x14ac:dyDescent="0.35">
      <c r="F67" s="92" t="s">
        <v>132</v>
      </c>
      <c r="G67" s="92"/>
      <c r="H67" s="92"/>
      <c r="I67" s="92"/>
      <c r="J67" s="92"/>
      <c r="K67" s="92"/>
      <c r="L67" s="92"/>
    </row>
    <row r="69" spans="6:12" ht="57" customHeight="1" x14ac:dyDescent="0.35">
      <c r="F69" s="89" t="s">
        <v>79</v>
      </c>
      <c r="G69" s="89"/>
      <c r="H69" s="89"/>
      <c r="I69" s="89"/>
      <c r="J69" s="89"/>
      <c r="K69" s="89"/>
      <c r="L69" s="89"/>
    </row>
    <row r="70" spans="6:12" ht="14.5" customHeight="1" thickBot="1" x14ac:dyDescent="0.4">
      <c r="F70" s="58" t="s">
        <v>100</v>
      </c>
      <c r="G70" s="58"/>
      <c r="H70" s="58"/>
      <c r="I70" s="58"/>
      <c r="J70" s="58"/>
      <c r="K70" s="58"/>
      <c r="L70" s="58"/>
    </row>
    <row r="71" spans="6:12" ht="14.5" customHeight="1" x14ac:dyDescent="0.35">
      <c r="F71" s="54"/>
      <c r="G71" s="54"/>
      <c r="H71" s="54"/>
      <c r="I71" s="54"/>
      <c r="J71" s="54"/>
      <c r="K71" s="54"/>
      <c r="L71" s="54"/>
    </row>
    <row r="72" spans="6:12" ht="132" customHeight="1" x14ac:dyDescent="0.35">
      <c r="F72" s="89" t="s">
        <v>130</v>
      </c>
      <c r="G72" s="89"/>
      <c r="H72" s="89"/>
      <c r="I72" s="89"/>
      <c r="J72" s="89"/>
      <c r="K72" s="89"/>
      <c r="L72" s="89"/>
    </row>
    <row r="73" spans="6:12" ht="17.5" thickBot="1" x14ac:dyDescent="0.45">
      <c r="F73" s="28" t="s">
        <v>71</v>
      </c>
      <c r="G73" s="28"/>
      <c r="H73" s="28"/>
      <c r="I73" s="28"/>
      <c r="J73" s="28"/>
      <c r="K73" s="28"/>
      <c r="L73" s="28"/>
    </row>
    <row r="74" spans="6:12" ht="15" thickTop="1" x14ac:dyDescent="0.35"/>
    <row r="75" spans="6:12" ht="206.15" customHeight="1" x14ac:dyDescent="0.35">
      <c r="F75" s="89" t="s">
        <v>80</v>
      </c>
      <c r="G75" s="89"/>
      <c r="H75" s="89"/>
      <c r="I75" s="89"/>
      <c r="J75" s="89"/>
      <c r="K75" s="89"/>
      <c r="L75" s="89"/>
    </row>
  </sheetData>
  <sortState xmlns:xlrd2="http://schemas.microsoft.com/office/spreadsheetml/2017/richdata2" ref="F28:F38">
    <sortCondition ref="F28:F38"/>
  </sortState>
  <mergeCells count="14">
    <mergeCell ref="F75:L75"/>
    <mergeCell ref="F58:L58"/>
    <mergeCell ref="F59:L59"/>
    <mergeCell ref="F61:L61"/>
    <mergeCell ref="F67:L67"/>
    <mergeCell ref="F69:L69"/>
    <mergeCell ref="F72:L72"/>
    <mergeCell ref="F41:L41"/>
    <mergeCell ref="F45:L45"/>
    <mergeCell ref="F48:L48"/>
    <mergeCell ref="F54:L54"/>
    <mergeCell ref="F8:L17"/>
    <mergeCell ref="F51:L51"/>
    <mergeCell ref="F49:L49"/>
  </mergeCells>
  <pageMargins left="0.7" right="0.7" top="0.75" bottom="0.75" header="0.3" footer="0.3"/>
  <headerFooter>
    <oddHeader>&amp;R&amp;"Aptos"&amp;10&amp;K000000 PUBLIC&amp;1#_x000D_</oddHead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20FF3-1269-478A-983C-DF96A01BD40A}">
  <sheetPr codeName="shInput">
    <tabColor theme="3" tint="0.499984740745262"/>
  </sheetPr>
  <dimension ref="A1:N175"/>
  <sheetViews>
    <sheetView workbookViewId="0">
      <selection activeCell="L12" sqref="L12"/>
    </sheetView>
  </sheetViews>
  <sheetFormatPr defaultColWidth="0" defaultRowHeight="14.5" x14ac:dyDescent="0.35"/>
  <cols>
    <col min="1" max="6" width="9.1796875" style="2" customWidth="1"/>
    <col min="7" max="7" width="11.54296875" style="2" customWidth="1"/>
    <col min="8" max="8" width="17.54296875" style="2" customWidth="1"/>
    <col min="9" max="9" width="11.453125" style="2" bestFit="1" customWidth="1"/>
    <col min="10" max="10" width="10.81640625" style="2" customWidth="1"/>
    <col min="11" max="11" width="15.453125" style="2" customWidth="1"/>
    <col min="12" max="12" width="13.81640625" style="2" customWidth="1"/>
    <col min="13" max="13" width="11.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40</v>
      </c>
      <c r="G6" s="6"/>
      <c r="H6" s="6"/>
      <c r="I6" s="6"/>
      <c r="J6" s="6"/>
      <c r="K6" s="6"/>
      <c r="L6" s="6"/>
      <c r="M6" s="6"/>
    </row>
    <row r="7" spans="1:14" ht="15" thickTop="1" x14ac:dyDescent="0.35"/>
    <row r="8" spans="1:14" ht="15" thickBot="1" x14ac:dyDescent="0.4">
      <c r="G8" s="58"/>
      <c r="H8" s="64" t="s">
        <v>3</v>
      </c>
      <c r="I8" s="7"/>
      <c r="J8" s="7"/>
      <c r="K8" s="63"/>
      <c r="L8" s="65" t="s">
        <v>8</v>
      </c>
      <c r="M8" s="7"/>
    </row>
    <row r="9" spans="1:14" x14ac:dyDescent="0.35">
      <c r="G9" s="7"/>
      <c r="H9" s="7"/>
      <c r="I9" s="7"/>
      <c r="J9" s="7"/>
      <c r="K9" s="7"/>
      <c r="L9" s="7"/>
      <c r="M9" s="7"/>
    </row>
    <row r="10" spans="1:14" x14ac:dyDescent="0.35">
      <c r="G10" s="16" t="s">
        <v>81</v>
      </c>
      <c r="H10" s="45" t="b">
        <v>1</v>
      </c>
      <c r="I10" s="7"/>
      <c r="J10" s="7"/>
      <c r="K10" s="12" t="s">
        <v>9</v>
      </c>
      <c r="L10" s="84">
        <v>0.01</v>
      </c>
      <c r="M10" s="7"/>
    </row>
    <row r="11" spans="1:14" x14ac:dyDescent="0.35">
      <c r="G11" s="16" t="s">
        <v>78</v>
      </c>
      <c r="H11" s="45" t="s">
        <v>34</v>
      </c>
      <c r="I11" s="7"/>
      <c r="J11" s="7"/>
      <c r="K11" s="12" t="s">
        <v>10</v>
      </c>
      <c r="L11" s="84">
        <v>1.4E-2</v>
      </c>
      <c r="M11" s="7"/>
    </row>
    <row r="12" spans="1:14" x14ac:dyDescent="0.35">
      <c r="G12" s="16" t="s">
        <v>37</v>
      </c>
      <c r="H12" s="36">
        <v>1</v>
      </c>
      <c r="I12" s="7"/>
      <c r="J12" s="7"/>
      <c r="K12" s="12" t="s">
        <v>11</v>
      </c>
      <c r="L12" s="22">
        <v>0.5</v>
      </c>
      <c r="M12" s="7"/>
    </row>
    <row r="13" spans="1:14" x14ac:dyDescent="0.35">
      <c r="G13" s="12" t="s">
        <v>4</v>
      </c>
      <c r="H13" s="69" cm="1">
        <f t="array" ref="H13">_xlfn.XMATCH(TRUE, R.LLFR_WEIGHTS &gt; 0, 0)</f>
        <v>20</v>
      </c>
      <c r="I13" s="7"/>
      <c r="J13" s="7"/>
      <c r="K13" s="7"/>
      <c r="L13" s="7"/>
      <c r="M13" s="7"/>
    </row>
    <row r="14" spans="1:14" x14ac:dyDescent="0.35">
      <c r="G14" s="12" t="s">
        <v>5</v>
      </c>
      <c r="H14" s="21">
        <v>3.3000000000000002E-2</v>
      </c>
      <c r="I14" s="7"/>
      <c r="J14" s="7"/>
      <c r="K14" s="7"/>
      <c r="L14" s="7"/>
      <c r="M14" s="7"/>
    </row>
    <row r="15" spans="1:14" x14ac:dyDescent="0.35">
      <c r="G15" s="12" t="s">
        <v>6</v>
      </c>
      <c r="H15" s="22">
        <v>0.11</v>
      </c>
      <c r="I15" s="7"/>
      <c r="J15" s="7"/>
      <c r="K15" s="7"/>
      <c r="L15" s="7"/>
      <c r="M15" s="7"/>
    </row>
    <row r="16" spans="1:14" x14ac:dyDescent="0.35">
      <c r="G16" s="12" t="s">
        <v>36</v>
      </c>
      <c r="H16" s="35">
        <v>10</v>
      </c>
      <c r="I16" s="7"/>
      <c r="J16" s="7"/>
      <c r="K16" s="7"/>
      <c r="L16" s="7"/>
      <c r="M16" s="7"/>
    </row>
    <row r="17" spans="6:13" x14ac:dyDescent="0.35">
      <c r="G17" s="12" t="s">
        <v>92</v>
      </c>
      <c r="H17" s="68">
        <v>2.571E-2</v>
      </c>
      <c r="I17" s="7"/>
      <c r="J17" s="7"/>
      <c r="K17" s="7"/>
      <c r="L17" s="7"/>
      <c r="M17" s="7"/>
    </row>
    <row r="18" spans="6:13" x14ac:dyDescent="0.35">
      <c r="G18" s="7"/>
      <c r="H18" s="7"/>
      <c r="I18" s="7"/>
      <c r="J18" s="7"/>
      <c r="K18" s="7"/>
      <c r="L18" s="7"/>
    </row>
    <row r="19" spans="6:13" x14ac:dyDescent="0.35">
      <c r="G19" s="7"/>
      <c r="H19" s="7"/>
      <c r="I19" s="7"/>
      <c r="J19" s="7"/>
      <c r="K19" s="7"/>
      <c r="L19" s="7"/>
    </row>
    <row r="20" spans="6:13" ht="15" thickBot="1" x14ac:dyDescent="0.4">
      <c r="F20" s="58" t="s">
        <v>83</v>
      </c>
      <c r="G20" s="58"/>
      <c r="H20" s="63"/>
      <c r="I20" s="63"/>
      <c r="J20" s="58"/>
      <c r="K20" s="63"/>
      <c r="L20" s="63"/>
    </row>
    <row r="21" spans="6:13" x14ac:dyDescent="0.35">
      <c r="H21" s="7"/>
      <c r="I21" s="7"/>
      <c r="J21" s="10"/>
      <c r="K21" s="7"/>
      <c r="L21" s="7"/>
    </row>
    <row r="22" spans="6:13" x14ac:dyDescent="0.35">
      <c r="H22" s="12" t="s">
        <v>86</v>
      </c>
      <c r="I22" s="66" t="str">
        <f>IF(V.EXTRAPOLATION_SELECTED,
    IF(SUM(R.LLFR_WEIGHTS) = 1,
       "OK",
       "ERROR"),
    "")</f>
        <v>OK</v>
      </c>
      <c r="J22" s="10"/>
      <c r="K22" s="12" t="s">
        <v>32</v>
      </c>
      <c r="L22" s="46" cm="1">
        <f t="array" ref="L22">IF(V.EXTRAPOLATION_SELECTED,
    GetLLFR(R.BOOTSTRAPPED_CURVE,R.DLT,R.LLFR_WEIGHTS),
    V.INPUT_LLFR)</f>
        <v>3.2248871278303913E-2</v>
      </c>
    </row>
    <row r="23" spans="6:13" x14ac:dyDescent="0.35">
      <c r="H23" s="7"/>
      <c r="I23" s="7"/>
      <c r="J23" s="10"/>
      <c r="K23" s="7"/>
      <c r="L23" s="7"/>
    </row>
    <row r="24" spans="6:13" ht="41.15" customHeight="1" x14ac:dyDescent="0.35">
      <c r="G24" s="37" t="s">
        <v>13</v>
      </c>
      <c r="H24" s="38" t="s">
        <v>7</v>
      </c>
      <c r="I24" s="37" t="s">
        <v>39</v>
      </c>
      <c r="J24" s="37" t="str">
        <f>IF(V.EXTRAPOLATION_SELECTED,
    "Input Rate",
    "Input RFR")</f>
        <v>Input Rate</v>
      </c>
      <c r="K24" s="37" t="s">
        <v>38</v>
      </c>
      <c r="L24" s="37" t="str">
        <f>IF(V.EXTRAPOLATION_SELECTED,
    "Extrapolated Zero Rate AC / Basic RFR",
    "Basic RFR")</f>
        <v>Extrapolated Zero Rate AC / Basic RFR</v>
      </c>
    </row>
    <row r="25" spans="6:13" x14ac:dyDescent="0.35">
      <c r="G25" s="7">
        <v>1</v>
      </c>
      <c r="H25" s="39">
        <v>1</v>
      </c>
      <c r="I25" s="43">
        <v>0</v>
      </c>
      <c r="J25" s="41">
        <v>2.1760000000000002E-2</v>
      </c>
      <c r="K25" s="47" cm="1">
        <f t="array" ref="K25:K174">IF(V.EXTRAPOLATION_SELECTED,
    _xlfn.LET(_xlpm.LLP, MAX(_xlfn._xlws.FILTER(R.MATURITY,R.DLT=1)),
     BootstrapCurve(V.INSTRUMENT,R.BASECURVE,R.DLT,"A",V.CRA,V.COUPON_FREQ,_xlpm.LLP,"C", "Z")),
    "")</f>
        <v>2.0547447887660109E-2</v>
      </c>
      <c r="L25" s="48" cm="1">
        <f t="array" ref="L25:L174">IF(V.EXTRAPOLATION_SELECTED,
    ROUND(Extrapolation(R.BOOTSTRAPPED_CURVE, "Z", V.FSP, V.UFR, V.LLFR, V.ALPHA, "A"), 5),
    R.BASECURVE)</f>
        <v>2.0760000000000001E-2</v>
      </c>
    </row>
    <row r="26" spans="6:13" x14ac:dyDescent="0.35">
      <c r="G26" s="7">
        <v>2</v>
      </c>
      <c r="H26" s="39">
        <v>1</v>
      </c>
      <c r="I26" s="43">
        <v>0</v>
      </c>
      <c r="J26" s="41">
        <v>2.2620999999999999E-2</v>
      </c>
      <c r="K26" s="47">
        <v>2.1399700138290276E-2</v>
      </c>
      <c r="L26" s="49">
        <v>2.163E-2</v>
      </c>
    </row>
    <row r="27" spans="6:13" x14ac:dyDescent="0.35">
      <c r="G27" s="7">
        <v>3</v>
      </c>
      <c r="H27" s="39">
        <v>1</v>
      </c>
      <c r="I27" s="43">
        <v>0</v>
      </c>
      <c r="J27" s="41">
        <v>2.3795E-2</v>
      </c>
      <c r="K27" s="47">
        <v>2.2571905389420662E-2</v>
      </c>
      <c r="L27" s="49">
        <v>2.283E-2</v>
      </c>
    </row>
    <row r="28" spans="6:13" x14ac:dyDescent="0.35">
      <c r="G28" s="2">
        <v>4</v>
      </c>
      <c r="H28" s="39">
        <v>1</v>
      </c>
      <c r="I28" s="44">
        <v>0</v>
      </c>
      <c r="J28" s="41">
        <v>2.4799999999999999E-2</v>
      </c>
      <c r="K28" s="47">
        <v>2.3582646760839848E-2</v>
      </c>
      <c r="L28" s="49">
        <v>2.3859999999999999E-2</v>
      </c>
    </row>
    <row r="29" spans="6:13" x14ac:dyDescent="0.35">
      <c r="G29" s="2">
        <v>5</v>
      </c>
      <c r="H29" s="39">
        <v>1</v>
      </c>
      <c r="I29" s="44">
        <v>0</v>
      </c>
      <c r="J29" s="41">
        <v>2.5690000000000001E-2</v>
      </c>
      <c r="K29" s="47">
        <v>2.4485358883467947E-2</v>
      </c>
      <c r="L29" s="49">
        <v>2.479E-2</v>
      </c>
    </row>
    <row r="30" spans="6:13" x14ac:dyDescent="0.35">
      <c r="G30" s="7">
        <v>6</v>
      </c>
      <c r="H30" s="39">
        <v>1</v>
      </c>
      <c r="I30" s="44">
        <v>0</v>
      </c>
      <c r="J30" s="41">
        <v>2.6509999999999999E-2</v>
      </c>
      <c r="K30" s="47">
        <v>2.5325268964128358E-2</v>
      </c>
      <c r="L30" s="49">
        <v>2.5649999999999999E-2</v>
      </c>
    </row>
    <row r="31" spans="6:13" x14ac:dyDescent="0.35">
      <c r="G31" s="7">
        <v>7</v>
      </c>
      <c r="H31" s="39">
        <v>1</v>
      </c>
      <c r="I31" s="44">
        <v>0</v>
      </c>
      <c r="J31" s="41">
        <v>2.7320000000000001E-2</v>
      </c>
      <c r="K31" s="47">
        <v>2.6165070658640509E-2</v>
      </c>
      <c r="L31" s="49">
        <v>2.6509999999999999E-2</v>
      </c>
    </row>
    <row r="32" spans="6:13" x14ac:dyDescent="0.35">
      <c r="G32" s="7">
        <v>8</v>
      </c>
      <c r="H32" s="39">
        <v>1</v>
      </c>
      <c r="I32" s="44">
        <v>0</v>
      </c>
      <c r="J32" s="41">
        <v>2.8000000000000001E-2</v>
      </c>
      <c r="K32" s="47">
        <v>2.6875499361115326E-2</v>
      </c>
      <c r="L32" s="49">
        <v>2.724E-2</v>
      </c>
    </row>
    <row r="33" spans="7:12" x14ac:dyDescent="0.35">
      <c r="G33" s="2">
        <v>9</v>
      </c>
      <c r="H33" s="39">
        <v>1</v>
      </c>
      <c r="I33" s="44">
        <v>0</v>
      </c>
      <c r="J33" s="41">
        <v>2.8631E-2</v>
      </c>
      <c r="K33" s="47">
        <v>2.7542410725610724E-2</v>
      </c>
      <c r="L33" s="49">
        <v>2.793E-2</v>
      </c>
    </row>
    <row r="34" spans="7:12" x14ac:dyDescent="0.35">
      <c r="G34" s="2">
        <v>10</v>
      </c>
      <c r="H34" s="39">
        <v>1</v>
      </c>
      <c r="I34" s="44">
        <v>0</v>
      </c>
      <c r="J34" s="41">
        <v>2.9270000000000001E-2</v>
      </c>
      <c r="K34" s="47">
        <v>2.8228632119314138E-2</v>
      </c>
      <c r="L34" s="49">
        <v>2.8629999999999999E-2</v>
      </c>
    </row>
    <row r="35" spans="7:12" x14ac:dyDescent="0.35">
      <c r="G35" s="7">
        <v>11</v>
      </c>
      <c r="H35" s="39">
        <v>1</v>
      </c>
      <c r="I35" s="44">
        <v>0</v>
      </c>
      <c r="J35" s="41">
        <v>2.9790000000000001E-2</v>
      </c>
      <c r="K35" s="47">
        <v>2.8789738176727211E-2</v>
      </c>
      <c r="L35" s="49">
        <v>2.921E-2</v>
      </c>
    </row>
    <row r="36" spans="7:12" x14ac:dyDescent="0.35">
      <c r="G36" s="7">
        <v>12</v>
      </c>
      <c r="H36" s="39">
        <v>1</v>
      </c>
      <c r="I36" s="44">
        <v>0</v>
      </c>
      <c r="J36" s="41">
        <v>3.0269999999999998E-2</v>
      </c>
      <c r="K36" s="47">
        <v>2.9314001142934108E-2</v>
      </c>
      <c r="L36" s="49">
        <v>2.9749999999999999E-2</v>
      </c>
    </row>
    <row r="37" spans="7:12" x14ac:dyDescent="0.35">
      <c r="G37" s="7">
        <v>13</v>
      </c>
      <c r="H37" s="39">
        <v>1</v>
      </c>
      <c r="I37" s="44">
        <v>0</v>
      </c>
      <c r="J37" s="41">
        <v>3.0779000000000001E-2</v>
      </c>
      <c r="K37" s="47">
        <v>2.9882339400701379E-2</v>
      </c>
      <c r="L37" s="49">
        <v>3.0329999999999999E-2</v>
      </c>
    </row>
    <row r="38" spans="7:12" x14ac:dyDescent="0.35">
      <c r="G38" s="2">
        <v>14</v>
      </c>
      <c r="H38" s="39">
        <v>0</v>
      </c>
      <c r="I38" s="44">
        <v>0</v>
      </c>
      <c r="J38" s="41">
        <v>3.1123999999999999E-2</v>
      </c>
      <c r="K38" s="47">
        <v>3.0267219112807952E-2</v>
      </c>
      <c r="L38" s="49">
        <v>3.073E-2</v>
      </c>
    </row>
    <row r="39" spans="7:12" x14ac:dyDescent="0.35">
      <c r="G39" s="2">
        <v>15</v>
      </c>
      <c r="H39" s="39">
        <v>1</v>
      </c>
      <c r="I39" s="44">
        <v>0</v>
      </c>
      <c r="J39" s="41">
        <v>3.143E-2</v>
      </c>
      <c r="K39" s="47">
        <v>3.0600781529967036E-2</v>
      </c>
      <c r="L39" s="49">
        <v>3.107E-2</v>
      </c>
    </row>
    <row r="40" spans="7:12" x14ac:dyDescent="0.35">
      <c r="G40" s="7">
        <v>16</v>
      </c>
      <c r="H40" s="39">
        <v>0</v>
      </c>
      <c r="I40" s="44">
        <v>0</v>
      </c>
      <c r="J40" s="41">
        <v>3.1741999999999999E-2</v>
      </c>
      <c r="K40" s="47">
        <v>3.0847219075108626E-2</v>
      </c>
      <c r="L40" s="49">
        <v>3.1329999999999997E-2</v>
      </c>
    </row>
    <row r="41" spans="7:12" x14ac:dyDescent="0.35">
      <c r="G41" s="7">
        <v>17</v>
      </c>
      <c r="H41" s="39">
        <v>0</v>
      </c>
      <c r="I41" s="44">
        <v>0</v>
      </c>
      <c r="J41" s="41">
        <v>3.1960000000000002E-2</v>
      </c>
      <c r="K41" s="47">
        <v>3.1064663967880525E-2</v>
      </c>
      <c r="L41" s="49">
        <v>3.1550000000000002E-2</v>
      </c>
    </row>
    <row r="42" spans="7:12" x14ac:dyDescent="0.35">
      <c r="G42" s="7">
        <v>18</v>
      </c>
      <c r="H42" s="39">
        <v>0</v>
      </c>
      <c r="I42" s="44">
        <v>0</v>
      </c>
      <c r="J42" s="41">
        <v>3.2131E-2</v>
      </c>
      <c r="K42" s="47">
        <v>3.1257948317011001E-2</v>
      </c>
      <c r="L42" s="49">
        <v>3.175E-2</v>
      </c>
    </row>
    <row r="43" spans="7:12" x14ac:dyDescent="0.35">
      <c r="G43" s="2">
        <v>19</v>
      </c>
      <c r="H43" s="39">
        <v>0</v>
      </c>
      <c r="I43" s="44">
        <v>0</v>
      </c>
      <c r="J43" s="41">
        <v>3.2272000000000002E-2</v>
      </c>
      <c r="K43" s="47">
        <v>3.1430886945180682E-2</v>
      </c>
      <c r="L43" s="49">
        <v>3.193E-2</v>
      </c>
    </row>
    <row r="44" spans="7:12" x14ac:dyDescent="0.35">
      <c r="G44" s="2">
        <v>20</v>
      </c>
      <c r="H44" s="39">
        <v>1</v>
      </c>
      <c r="I44" s="44">
        <v>0.33</v>
      </c>
      <c r="J44" s="41">
        <v>3.2329999999999998E-2</v>
      </c>
      <c r="K44" s="47">
        <v>3.1586531710533036E-2</v>
      </c>
      <c r="L44" s="49">
        <v>3.209E-2</v>
      </c>
    </row>
    <row r="45" spans="7:12" x14ac:dyDescent="0.35">
      <c r="G45" s="7">
        <v>21</v>
      </c>
      <c r="H45" s="40">
        <v>0</v>
      </c>
      <c r="I45" s="44">
        <v>0</v>
      </c>
      <c r="J45" s="41">
        <v>3.2460000000000003E-2</v>
      </c>
      <c r="K45" s="47">
        <v>3.1607778069325444E-2</v>
      </c>
      <c r="L45" s="49">
        <v>3.2120000000000003E-2</v>
      </c>
    </row>
    <row r="46" spans="7:12" x14ac:dyDescent="0.35">
      <c r="G46" s="7">
        <v>22</v>
      </c>
      <c r="H46" s="40">
        <v>0</v>
      </c>
      <c r="I46" s="44">
        <v>0</v>
      </c>
      <c r="J46" s="41">
        <v>3.2510999999999998E-2</v>
      </c>
      <c r="K46" s="47">
        <v>3.1627092940954817E-2</v>
      </c>
      <c r="L46" s="49">
        <v>3.2149999999999998E-2</v>
      </c>
    </row>
    <row r="47" spans="7:12" x14ac:dyDescent="0.35">
      <c r="G47" s="7">
        <v>23</v>
      </c>
      <c r="H47" s="40">
        <v>0</v>
      </c>
      <c r="I47" s="44">
        <v>0</v>
      </c>
      <c r="J47" s="41">
        <v>3.2542000000000001E-2</v>
      </c>
      <c r="K47" s="47">
        <v>3.1644728258529396E-2</v>
      </c>
      <c r="L47" s="49">
        <v>3.218E-2</v>
      </c>
    </row>
    <row r="48" spans="7:12" x14ac:dyDescent="0.35">
      <c r="G48" s="2">
        <v>24</v>
      </c>
      <c r="H48" s="40">
        <v>0</v>
      </c>
      <c r="I48" s="44">
        <v>0</v>
      </c>
      <c r="J48" s="41">
        <v>3.2550999999999997E-2</v>
      </c>
      <c r="K48" s="47">
        <v>3.1660893966306107E-2</v>
      </c>
      <c r="L48" s="49">
        <v>3.2210000000000003E-2</v>
      </c>
    </row>
    <row r="49" spans="7:12" x14ac:dyDescent="0.35">
      <c r="G49" s="2">
        <v>25</v>
      </c>
      <c r="H49" s="40">
        <v>1</v>
      </c>
      <c r="I49" s="44">
        <v>0.12</v>
      </c>
      <c r="J49" s="41">
        <v>3.2500000000000001E-2</v>
      </c>
      <c r="K49" s="47">
        <v>3.167576641746081E-2</v>
      </c>
      <c r="L49" s="49">
        <v>3.2239999999999998E-2</v>
      </c>
    </row>
    <row r="50" spans="7:12" x14ac:dyDescent="0.35">
      <c r="G50" s="7">
        <v>26</v>
      </c>
      <c r="H50" s="40">
        <v>0</v>
      </c>
      <c r="I50" s="44">
        <v>0</v>
      </c>
      <c r="J50" s="41">
        <v>3.2539999999999999E-2</v>
      </c>
      <c r="K50" s="47">
        <v>3.1626146763332898E-2</v>
      </c>
      <c r="L50" s="49">
        <v>3.2259999999999997E-2</v>
      </c>
    </row>
    <row r="51" spans="7:12" x14ac:dyDescent="0.35">
      <c r="G51" s="7">
        <v>27</v>
      </c>
      <c r="H51" s="40">
        <v>0</v>
      </c>
      <c r="I51" s="44">
        <v>0</v>
      </c>
      <c r="J51" s="41">
        <v>3.2528000000000001E-2</v>
      </c>
      <c r="K51" s="47">
        <v>3.1580202639140596E-2</v>
      </c>
      <c r="L51" s="49">
        <v>3.2289999999999999E-2</v>
      </c>
    </row>
    <row r="52" spans="7:12" x14ac:dyDescent="0.35">
      <c r="G52" s="7">
        <v>28</v>
      </c>
      <c r="H52" s="40">
        <v>0</v>
      </c>
      <c r="I52" s="44">
        <v>0</v>
      </c>
      <c r="J52" s="41">
        <v>3.2509999999999997E-2</v>
      </c>
      <c r="K52" s="47">
        <v>3.1537540238104851E-2</v>
      </c>
      <c r="L52" s="49">
        <v>3.2309999999999998E-2</v>
      </c>
    </row>
    <row r="53" spans="7:12" x14ac:dyDescent="0.35">
      <c r="G53" s="2">
        <v>29</v>
      </c>
      <c r="H53" s="40">
        <v>0</v>
      </c>
      <c r="I53" s="44">
        <v>0</v>
      </c>
      <c r="J53" s="41">
        <v>3.2489999999999998E-2</v>
      </c>
      <c r="K53" s="47">
        <v>3.1497820071623182E-2</v>
      </c>
      <c r="L53" s="49">
        <v>3.2329999999999998E-2</v>
      </c>
    </row>
    <row r="54" spans="7:12" x14ac:dyDescent="0.35">
      <c r="G54" s="2">
        <v>30</v>
      </c>
      <c r="H54" s="40">
        <v>1</v>
      </c>
      <c r="I54" s="44">
        <v>0.48</v>
      </c>
      <c r="J54" s="41">
        <v>3.2431000000000001E-2</v>
      </c>
      <c r="K54" s="47">
        <v>3.1460747916240518E-2</v>
      </c>
      <c r="L54" s="49">
        <v>3.2349999999999997E-2</v>
      </c>
    </row>
    <row r="55" spans="7:12" x14ac:dyDescent="0.35">
      <c r="G55" s="7">
        <v>31</v>
      </c>
      <c r="H55" s="40">
        <v>0</v>
      </c>
      <c r="I55" s="44">
        <v>0</v>
      </c>
      <c r="J55" s="42" t="e">
        <f>NA()</f>
        <v>#N/A</v>
      </c>
      <c r="K55" s="47">
        <v>3.1364925819551574E-2</v>
      </c>
      <c r="L55" s="49">
        <v>3.2370000000000003E-2</v>
      </c>
    </row>
    <row r="56" spans="7:12" x14ac:dyDescent="0.35">
      <c r="G56" s="7">
        <v>32</v>
      </c>
      <c r="H56" s="40">
        <v>0</v>
      </c>
      <c r="I56" s="44">
        <v>0</v>
      </c>
      <c r="J56" s="42" t="e">
        <f>NA()</f>
        <v>#N/A</v>
      </c>
      <c r="K56" s="47">
        <v>3.1275092603905923E-2</v>
      </c>
      <c r="L56" s="49">
        <v>3.2379999999999999E-2</v>
      </c>
    </row>
    <row r="57" spans="7:12" x14ac:dyDescent="0.35">
      <c r="G57" s="7">
        <v>33</v>
      </c>
      <c r="H57" s="40">
        <v>0</v>
      </c>
      <c r="I57" s="44">
        <v>0</v>
      </c>
      <c r="J57" s="42" t="e">
        <f>NA()</f>
        <v>#N/A</v>
      </c>
      <c r="K57" s="47">
        <v>3.1190703825571986E-2</v>
      </c>
      <c r="L57" s="49">
        <v>3.2399999999999998E-2</v>
      </c>
    </row>
    <row r="58" spans="7:12" x14ac:dyDescent="0.35">
      <c r="G58" s="2">
        <v>34</v>
      </c>
      <c r="H58" s="40">
        <v>0</v>
      </c>
      <c r="I58" s="44">
        <v>0</v>
      </c>
      <c r="J58" s="42" t="e">
        <f>NA()</f>
        <v>#N/A</v>
      </c>
      <c r="K58" s="47">
        <v>3.1111279093022332E-2</v>
      </c>
      <c r="L58" s="49">
        <v>3.2419999999999997E-2</v>
      </c>
    </row>
    <row r="59" spans="7:12" x14ac:dyDescent="0.35">
      <c r="G59" s="2">
        <v>35</v>
      </c>
      <c r="H59" s="40">
        <v>0</v>
      </c>
      <c r="I59" s="44">
        <v>0</v>
      </c>
      <c r="J59" s="42" t="e">
        <f>NA()</f>
        <v>#N/A</v>
      </c>
      <c r="K59" s="47">
        <v>3.1036392916618565E-2</v>
      </c>
      <c r="L59" s="49">
        <v>3.243E-2</v>
      </c>
    </row>
    <row r="60" spans="7:12" x14ac:dyDescent="0.35">
      <c r="G60" s="7">
        <v>36</v>
      </c>
      <c r="H60" s="40">
        <v>0</v>
      </c>
      <c r="I60" s="44">
        <v>0</v>
      </c>
      <c r="J60" s="42" t="e">
        <f>NA()</f>
        <v>#N/A</v>
      </c>
      <c r="K60" s="47">
        <v>3.0965667083348167E-2</v>
      </c>
      <c r="L60" s="49">
        <v>3.245E-2</v>
      </c>
    </row>
    <row r="61" spans="7:12" x14ac:dyDescent="0.35">
      <c r="G61" s="7">
        <v>37</v>
      </c>
      <c r="H61" s="40">
        <v>0</v>
      </c>
      <c r="I61" s="44">
        <v>0</v>
      </c>
      <c r="J61" s="42" t="e">
        <f>NA()</f>
        <v>#N/A</v>
      </c>
      <c r="K61" s="47">
        <v>3.0898764268092595E-2</v>
      </c>
      <c r="L61" s="49">
        <v>3.2460000000000003E-2</v>
      </c>
    </row>
    <row r="62" spans="7:12" x14ac:dyDescent="0.35">
      <c r="G62" s="7">
        <v>38</v>
      </c>
      <c r="H62" s="40">
        <v>0</v>
      </c>
      <c r="I62" s="44">
        <v>0</v>
      </c>
      <c r="J62" s="42" t="e">
        <f>NA()</f>
        <v>#N/A</v>
      </c>
      <c r="K62" s="47">
        <v>3.0835382653639724E-2</v>
      </c>
      <c r="L62" s="49">
        <v>3.2469999999999999E-2</v>
      </c>
    </row>
    <row r="63" spans="7:12" x14ac:dyDescent="0.35">
      <c r="G63" s="2">
        <v>39</v>
      </c>
      <c r="H63" s="40">
        <v>0</v>
      </c>
      <c r="I63" s="44">
        <v>0</v>
      </c>
      <c r="J63" s="42" t="e">
        <f>NA()</f>
        <v>#N/A</v>
      </c>
      <c r="K63" s="47">
        <v>3.0775251378389736E-2</v>
      </c>
      <c r="L63" s="49">
        <v>3.2489999999999998E-2</v>
      </c>
    </row>
    <row r="64" spans="7:12" x14ac:dyDescent="0.35">
      <c r="G64" s="2">
        <v>40</v>
      </c>
      <c r="H64" s="40">
        <v>1</v>
      </c>
      <c r="I64" s="44">
        <v>0.04</v>
      </c>
      <c r="J64" s="41">
        <v>3.2059999999999998E-2</v>
      </c>
      <c r="K64" s="47">
        <v>3.0718126666902122E-2</v>
      </c>
      <c r="L64" s="49">
        <v>3.2500000000000001E-2</v>
      </c>
    </row>
    <row r="65" spans="7:12" x14ac:dyDescent="0.35">
      <c r="G65" s="7">
        <v>41</v>
      </c>
      <c r="H65" s="40">
        <v>0</v>
      </c>
      <c r="I65" s="44">
        <v>0</v>
      </c>
      <c r="J65" s="42" t="e">
        <f>NA()</f>
        <v>#N/A</v>
      </c>
      <c r="K65" s="47">
        <v>3.0539900774968282E-2</v>
      </c>
      <c r="L65" s="49">
        <v>3.2509999999999997E-2</v>
      </c>
    </row>
    <row r="66" spans="7:12" x14ac:dyDescent="0.35">
      <c r="G66" s="7">
        <v>42</v>
      </c>
      <c r="H66" s="40">
        <v>0</v>
      </c>
      <c r="I66" s="44">
        <v>0</v>
      </c>
      <c r="J66" s="42" t="e">
        <f>NA()</f>
        <v>#N/A</v>
      </c>
      <c r="K66" s="47">
        <v>3.037016183026937E-2</v>
      </c>
      <c r="L66" s="49">
        <v>3.252E-2</v>
      </c>
    </row>
    <row r="67" spans="7:12" x14ac:dyDescent="0.35">
      <c r="G67" s="7">
        <v>43</v>
      </c>
      <c r="H67" s="40">
        <v>0</v>
      </c>
      <c r="I67" s="44">
        <v>0</v>
      </c>
      <c r="J67" s="42" t="e">
        <f>NA()</f>
        <v>#N/A</v>
      </c>
      <c r="K67" s="47">
        <v>3.0208317720207652E-2</v>
      </c>
      <c r="L67" s="49">
        <v>3.2530000000000003E-2</v>
      </c>
    </row>
    <row r="68" spans="7:12" x14ac:dyDescent="0.35">
      <c r="G68" s="2">
        <v>44</v>
      </c>
      <c r="H68" s="40">
        <v>0</v>
      </c>
      <c r="I68" s="44">
        <v>0</v>
      </c>
      <c r="J68" s="42" t="e">
        <f>NA()</f>
        <v>#N/A</v>
      </c>
      <c r="K68" s="47">
        <v>3.0053830160603073E-2</v>
      </c>
      <c r="L68" s="49">
        <v>3.2539999999999999E-2</v>
      </c>
    </row>
    <row r="69" spans="7:12" x14ac:dyDescent="0.35">
      <c r="G69" s="2">
        <v>45</v>
      </c>
      <c r="H69" s="40">
        <v>0</v>
      </c>
      <c r="I69" s="44">
        <v>0</v>
      </c>
      <c r="J69" s="42" t="e">
        <f>NA()</f>
        <v>#N/A</v>
      </c>
      <c r="K69" s="47">
        <v>2.9906208714758891E-2</v>
      </c>
      <c r="L69" s="49">
        <v>3.2550000000000003E-2</v>
      </c>
    </row>
    <row r="70" spans="7:12" x14ac:dyDescent="0.35">
      <c r="G70" s="7">
        <v>46</v>
      </c>
      <c r="H70" s="40">
        <v>0</v>
      </c>
      <c r="I70" s="44">
        <v>0</v>
      </c>
      <c r="J70" s="42" t="e">
        <f>NA()</f>
        <v>#N/A</v>
      </c>
      <c r="K70" s="47">
        <v>2.9765005592647074E-2</v>
      </c>
      <c r="L70" s="49">
        <v>3.2559999999999999E-2</v>
      </c>
    </row>
    <row r="71" spans="7:12" x14ac:dyDescent="0.35">
      <c r="G71" s="7">
        <v>47</v>
      </c>
      <c r="H71" s="40">
        <v>0</v>
      </c>
      <c r="I71" s="44">
        <v>0</v>
      </c>
      <c r="J71" s="42" t="e">
        <f>NA()</f>
        <v>#N/A</v>
      </c>
      <c r="K71" s="47">
        <v>2.962981111402942E-2</v>
      </c>
      <c r="L71" s="49">
        <v>3.2570000000000002E-2</v>
      </c>
    </row>
    <row r="72" spans="7:12" x14ac:dyDescent="0.35">
      <c r="G72" s="7">
        <v>48</v>
      </c>
      <c r="H72" s="40">
        <v>0</v>
      </c>
      <c r="I72" s="44">
        <v>0</v>
      </c>
      <c r="J72" s="42" t="e">
        <f>NA()</f>
        <v>#N/A</v>
      </c>
      <c r="K72" s="47">
        <v>2.9500249738687357E-2</v>
      </c>
      <c r="L72" s="49">
        <v>3.2579999999999998E-2</v>
      </c>
    </row>
    <row r="73" spans="7:12" x14ac:dyDescent="0.35">
      <c r="G73" s="2">
        <v>49</v>
      </c>
      <c r="H73" s="40">
        <v>0</v>
      </c>
      <c r="I73" s="44">
        <v>0</v>
      </c>
      <c r="J73" s="42" t="e">
        <f>NA()</f>
        <v>#N/A</v>
      </c>
      <c r="K73" s="47">
        <v>2.9375976582747081E-2</v>
      </c>
      <c r="L73" s="49">
        <v>3.2590000000000001E-2</v>
      </c>
    </row>
    <row r="74" spans="7:12" x14ac:dyDescent="0.35">
      <c r="G74" s="2">
        <v>50</v>
      </c>
      <c r="H74" s="40">
        <v>1</v>
      </c>
      <c r="I74" s="44">
        <v>0.03</v>
      </c>
      <c r="J74" s="41">
        <v>3.1309999999999998E-2</v>
      </c>
      <c r="K74" s="47">
        <v>2.9256674353044521E-2</v>
      </c>
      <c r="L74" s="49">
        <v>3.2599999999999997E-2</v>
      </c>
    </row>
    <row r="75" spans="7:12" x14ac:dyDescent="0.35">
      <c r="G75" s="7">
        <v>51</v>
      </c>
      <c r="H75" s="40">
        <v>0</v>
      </c>
      <c r="I75" s="44">
        <v>0</v>
      </c>
      <c r="J75" s="42" t="e">
        <f>NA()</f>
        <v>#N/A</v>
      </c>
      <c r="K75" s="57" t="e">
        <v>#N/A</v>
      </c>
      <c r="L75" s="49">
        <v>3.2599999999999997E-2</v>
      </c>
    </row>
    <row r="76" spans="7:12" x14ac:dyDescent="0.35">
      <c r="G76" s="7">
        <v>52</v>
      </c>
      <c r="H76" s="40">
        <v>0</v>
      </c>
      <c r="I76" s="44">
        <v>0</v>
      </c>
      <c r="J76" s="42" t="e">
        <f>NA()</f>
        <v>#N/A</v>
      </c>
      <c r="K76" s="57" t="e">
        <v>#N/A</v>
      </c>
      <c r="L76" s="49">
        <v>3.261E-2</v>
      </c>
    </row>
    <row r="77" spans="7:12" x14ac:dyDescent="0.35">
      <c r="G77" s="7">
        <v>53</v>
      </c>
      <c r="H77" s="40">
        <v>0</v>
      </c>
      <c r="I77" s="44">
        <v>0</v>
      </c>
      <c r="J77" s="42" t="e">
        <f>NA()</f>
        <v>#N/A</v>
      </c>
      <c r="K77" s="57" t="e">
        <v>#N/A</v>
      </c>
      <c r="L77" s="49">
        <v>3.2620000000000003E-2</v>
      </c>
    </row>
    <row r="78" spans="7:12" x14ac:dyDescent="0.35">
      <c r="G78" s="2">
        <v>54</v>
      </c>
      <c r="H78" s="40">
        <v>0</v>
      </c>
      <c r="I78" s="44">
        <v>0</v>
      </c>
      <c r="J78" s="42" t="e">
        <f>NA()</f>
        <v>#N/A</v>
      </c>
      <c r="K78" s="57" t="e">
        <v>#N/A</v>
      </c>
      <c r="L78" s="49">
        <v>3.2629999999999999E-2</v>
      </c>
    </row>
    <row r="79" spans="7:12" x14ac:dyDescent="0.35">
      <c r="G79" s="2">
        <v>55</v>
      </c>
      <c r="H79" s="40">
        <v>0</v>
      </c>
      <c r="I79" s="44">
        <v>0</v>
      </c>
      <c r="J79" s="42" t="e">
        <f>NA()</f>
        <v>#N/A</v>
      </c>
      <c r="K79" s="57" t="e">
        <v>#N/A</v>
      </c>
      <c r="L79" s="49">
        <v>3.2629999999999999E-2</v>
      </c>
    </row>
    <row r="80" spans="7:12" x14ac:dyDescent="0.35">
      <c r="G80" s="7">
        <v>56</v>
      </c>
      <c r="H80" s="40">
        <v>0</v>
      </c>
      <c r="I80" s="44">
        <v>0</v>
      </c>
      <c r="J80" s="42" t="e">
        <f>NA()</f>
        <v>#N/A</v>
      </c>
      <c r="K80" s="57" t="e">
        <v>#N/A</v>
      </c>
      <c r="L80" s="49">
        <v>3.2640000000000002E-2</v>
      </c>
    </row>
    <row r="81" spans="7:12" x14ac:dyDescent="0.35">
      <c r="G81" s="7">
        <v>57</v>
      </c>
      <c r="H81" s="40">
        <v>0</v>
      </c>
      <c r="I81" s="44">
        <v>0</v>
      </c>
      <c r="J81" s="42" t="e">
        <f>NA()</f>
        <v>#N/A</v>
      </c>
      <c r="K81" s="57" t="e">
        <v>#N/A</v>
      </c>
      <c r="L81" s="49">
        <v>3.2649999999999998E-2</v>
      </c>
    </row>
    <row r="82" spans="7:12" x14ac:dyDescent="0.35">
      <c r="G82" s="7">
        <v>58</v>
      </c>
      <c r="H82" s="40">
        <v>0</v>
      </c>
      <c r="I82" s="44">
        <v>0</v>
      </c>
      <c r="J82" s="42" t="e">
        <f>NA()</f>
        <v>#N/A</v>
      </c>
      <c r="K82" s="57" t="e">
        <v>#N/A</v>
      </c>
      <c r="L82" s="49">
        <v>3.2649999999999998E-2</v>
      </c>
    </row>
    <row r="83" spans="7:12" x14ac:dyDescent="0.35">
      <c r="G83" s="2">
        <v>59</v>
      </c>
      <c r="H83" s="40">
        <v>0</v>
      </c>
      <c r="I83" s="44">
        <v>0</v>
      </c>
      <c r="J83" s="42" t="e">
        <f>NA()</f>
        <v>#N/A</v>
      </c>
      <c r="K83" s="57" t="e">
        <v>#N/A</v>
      </c>
      <c r="L83" s="49">
        <v>3.2660000000000002E-2</v>
      </c>
    </row>
    <row r="84" spans="7:12" x14ac:dyDescent="0.35">
      <c r="G84" s="2">
        <v>60</v>
      </c>
      <c r="H84" s="40">
        <v>0</v>
      </c>
      <c r="I84" s="44">
        <v>0</v>
      </c>
      <c r="J84" s="42" t="e">
        <f>NA()</f>
        <v>#N/A</v>
      </c>
      <c r="K84" s="57" t="e">
        <v>#N/A</v>
      </c>
      <c r="L84" s="49">
        <v>3.2660000000000002E-2</v>
      </c>
    </row>
    <row r="85" spans="7:12" x14ac:dyDescent="0.35">
      <c r="G85" s="7">
        <v>61</v>
      </c>
      <c r="H85" s="40">
        <v>0</v>
      </c>
      <c r="I85" s="44">
        <v>0</v>
      </c>
      <c r="J85" s="42" t="e">
        <f>NA()</f>
        <v>#N/A</v>
      </c>
      <c r="K85" s="57" t="e">
        <v>#N/A</v>
      </c>
      <c r="L85" s="49">
        <v>3.2669999999999998E-2</v>
      </c>
    </row>
    <row r="86" spans="7:12" x14ac:dyDescent="0.35">
      <c r="G86" s="7">
        <v>62</v>
      </c>
      <c r="H86" s="40">
        <v>0</v>
      </c>
      <c r="I86" s="44">
        <v>0</v>
      </c>
      <c r="J86" s="42" t="e">
        <f>NA()</f>
        <v>#N/A</v>
      </c>
      <c r="K86" s="57" t="e">
        <v>#N/A</v>
      </c>
      <c r="L86" s="49">
        <v>3.2669999999999998E-2</v>
      </c>
    </row>
    <row r="87" spans="7:12" x14ac:dyDescent="0.35">
      <c r="G87" s="7">
        <v>63</v>
      </c>
      <c r="H87" s="40">
        <v>0</v>
      </c>
      <c r="I87" s="44">
        <v>0</v>
      </c>
      <c r="J87" s="42" t="e">
        <f>NA()</f>
        <v>#N/A</v>
      </c>
      <c r="K87" s="57" t="e">
        <v>#N/A</v>
      </c>
      <c r="L87" s="49">
        <v>3.2680000000000001E-2</v>
      </c>
    </row>
    <row r="88" spans="7:12" x14ac:dyDescent="0.35">
      <c r="G88" s="2">
        <v>64</v>
      </c>
      <c r="H88" s="40">
        <v>0</v>
      </c>
      <c r="I88" s="44">
        <v>0</v>
      </c>
      <c r="J88" s="42" t="e">
        <f>NA()</f>
        <v>#N/A</v>
      </c>
      <c r="K88" s="57" t="e">
        <v>#N/A</v>
      </c>
      <c r="L88" s="49">
        <v>3.2680000000000001E-2</v>
      </c>
    </row>
    <row r="89" spans="7:12" x14ac:dyDescent="0.35">
      <c r="G89" s="2">
        <v>65</v>
      </c>
      <c r="H89" s="40">
        <v>0</v>
      </c>
      <c r="I89" s="44">
        <v>0</v>
      </c>
      <c r="J89" s="42" t="e">
        <f>NA()</f>
        <v>#N/A</v>
      </c>
      <c r="K89" s="57" t="e">
        <v>#N/A</v>
      </c>
      <c r="L89" s="49">
        <v>3.2689999999999997E-2</v>
      </c>
    </row>
    <row r="90" spans="7:12" x14ac:dyDescent="0.35">
      <c r="G90" s="7">
        <v>66</v>
      </c>
      <c r="H90" s="40">
        <v>0</v>
      </c>
      <c r="I90" s="44">
        <v>0</v>
      </c>
      <c r="J90" s="42" t="e">
        <f>NA()</f>
        <v>#N/A</v>
      </c>
      <c r="K90" s="57" t="e">
        <v>#N/A</v>
      </c>
      <c r="L90" s="49">
        <v>3.2689999999999997E-2</v>
      </c>
    </row>
    <row r="91" spans="7:12" x14ac:dyDescent="0.35">
      <c r="G91" s="7">
        <v>67</v>
      </c>
      <c r="H91" s="40">
        <v>0</v>
      </c>
      <c r="I91" s="44">
        <v>0</v>
      </c>
      <c r="J91" s="42" t="e">
        <f>NA()</f>
        <v>#N/A</v>
      </c>
      <c r="K91" s="57" t="e">
        <v>#N/A</v>
      </c>
      <c r="L91" s="49">
        <v>3.27E-2</v>
      </c>
    </row>
    <row r="92" spans="7:12" x14ac:dyDescent="0.35">
      <c r="G92" s="7">
        <v>68</v>
      </c>
      <c r="H92" s="40">
        <v>0</v>
      </c>
      <c r="I92" s="44">
        <v>0</v>
      </c>
      <c r="J92" s="42" t="e">
        <f>NA()</f>
        <v>#N/A</v>
      </c>
      <c r="K92" s="57" t="e">
        <v>#N/A</v>
      </c>
      <c r="L92" s="49">
        <v>3.27E-2</v>
      </c>
    </row>
    <row r="93" spans="7:12" x14ac:dyDescent="0.35">
      <c r="G93" s="2">
        <v>69</v>
      </c>
      <c r="H93" s="40">
        <v>0</v>
      </c>
      <c r="I93" s="44">
        <v>0</v>
      </c>
      <c r="J93" s="42" t="e">
        <f>NA()</f>
        <v>#N/A</v>
      </c>
      <c r="K93" s="57" t="e">
        <v>#N/A</v>
      </c>
      <c r="L93" s="49">
        <v>3.2710000000000003E-2</v>
      </c>
    </row>
    <row r="94" spans="7:12" x14ac:dyDescent="0.35">
      <c r="G94" s="2">
        <v>70</v>
      </c>
      <c r="H94" s="40">
        <v>0</v>
      </c>
      <c r="I94" s="44">
        <v>0</v>
      </c>
      <c r="J94" s="42" t="e">
        <f>NA()</f>
        <v>#N/A</v>
      </c>
      <c r="K94" s="57" t="e">
        <v>#N/A</v>
      </c>
      <c r="L94" s="49">
        <v>3.2710000000000003E-2</v>
      </c>
    </row>
    <row r="95" spans="7:12" x14ac:dyDescent="0.35">
      <c r="G95" s="7">
        <v>71</v>
      </c>
      <c r="H95" s="40">
        <v>0</v>
      </c>
      <c r="I95" s="44">
        <v>0</v>
      </c>
      <c r="J95" s="42" t="e">
        <f>NA()</f>
        <v>#N/A</v>
      </c>
      <c r="K95" s="57" t="e">
        <v>#N/A</v>
      </c>
      <c r="L95" s="49">
        <v>3.2719999999999999E-2</v>
      </c>
    </row>
    <row r="96" spans="7:12" x14ac:dyDescent="0.35">
      <c r="G96" s="7">
        <v>72</v>
      </c>
      <c r="H96" s="40">
        <v>0</v>
      </c>
      <c r="I96" s="44">
        <v>0</v>
      </c>
      <c r="J96" s="42" t="e">
        <f>NA()</f>
        <v>#N/A</v>
      </c>
      <c r="K96" s="57" t="e">
        <v>#N/A</v>
      </c>
      <c r="L96" s="49">
        <v>3.2719999999999999E-2</v>
      </c>
    </row>
    <row r="97" spans="7:12" x14ac:dyDescent="0.35">
      <c r="G97" s="7">
        <v>73</v>
      </c>
      <c r="H97" s="40">
        <v>0</v>
      </c>
      <c r="I97" s="44">
        <v>0</v>
      </c>
      <c r="J97" s="42" t="e">
        <f>NA()</f>
        <v>#N/A</v>
      </c>
      <c r="K97" s="57" t="e">
        <v>#N/A</v>
      </c>
      <c r="L97" s="49">
        <v>3.2719999999999999E-2</v>
      </c>
    </row>
    <row r="98" spans="7:12" x14ac:dyDescent="0.35">
      <c r="G98" s="2">
        <v>74</v>
      </c>
      <c r="H98" s="40">
        <v>0</v>
      </c>
      <c r="I98" s="44">
        <v>0</v>
      </c>
      <c r="J98" s="42" t="e">
        <f>NA()</f>
        <v>#N/A</v>
      </c>
      <c r="K98" s="57" t="e">
        <v>#N/A</v>
      </c>
      <c r="L98" s="49">
        <v>3.2730000000000002E-2</v>
      </c>
    </row>
    <row r="99" spans="7:12" x14ac:dyDescent="0.35">
      <c r="G99" s="2">
        <v>75</v>
      </c>
      <c r="H99" s="40">
        <v>0</v>
      </c>
      <c r="I99" s="44">
        <v>0</v>
      </c>
      <c r="J99" s="42" t="e">
        <f>NA()</f>
        <v>#N/A</v>
      </c>
      <c r="K99" s="57" t="e">
        <v>#N/A</v>
      </c>
      <c r="L99" s="49">
        <v>3.2730000000000002E-2</v>
      </c>
    </row>
    <row r="100" spans="7:12" x14ac:dyDescent="0.35">
      <c r="G100" s="7">
        <v>76</v>
      </c>
      <c r="H100" s="40">
        <v>0</v>
      </c>
      <c r="I100" s="44">
        <v>0</v>
      </c>
      <c r="J100" s="42" t="e">
        <f>NA()</f>
        <v>#N/A</v>
      </c>
      <c r="K100" s="57" t="e">
        <v>#N/A</v>
      </c>
      <c r="L100" s="49">
        <v>3.2730000000000002E-2</v>
      </c>
    </row>
    <row r="101" spans="7:12" x14ac:dyDescent="0.35">
      <c r="G101" s="7">
        <v>77</v>
      </c>
      <c r="H101" s="40">
        <v>0</v>
      </c>
      <c r="I101" s="44">
        <v>0</v>
      </c>
      <c r="J101" s="42" t="e">
        <f>NA()</f>
        <v>#N/A</v>
      </c>
      <c r="K101" s="57" t="e">
        <v>#N/A</v>
      </c>
      <c r="L101" s="49">
        <v>3.2739999999999998E-2</v>
      </c>
    </row>
    <row r="102" spans="7:12" x14ac:dyDescent="0.35">
      <c r="G102" s="7">
        <v>78</v>
      </c>
      <c r="H102" s="40">
        <v>0</v>
      </c>
      <c r="I102" s="44">
        <v>0</v>
      </c>
      <c r="J102" s="42" t="e">
        <f>NA()</f>
        <v>#N/A</v>
      </c>
      <c r="K102" s="57" t="e">
        <v>#N/A</v>
      </c>
      <c r="L102" s="49">
        <v>3.2739999999999998E-2</v>
      </c>
    </row>
    <row r="103" spans="7:12" x14ac:dyDescent="0.35">
      <c r="G103" s="2">
        <v>79</v>
      </c>
      <c r="H103" s="40">
        <v>0</v>
      </c>
      <c r="I103" s="44">
        <v>0</v>
      </c>
      <c r="J103" s="42" t="e">
        <f>NA()</f>
        <v>#N/A</v>
      </c>
      <c r="K103" s="57" t="e">
        <v>#N/A</v>
      </c>
      <c r="L103" s="49">
        <v>3.2739999999999998E-2</v>
      </c>
    </row>
    <row r="104" spans="7:12" x14ac:dyDescent="0.35">
      <c r="G104" s="2">
        <v>80</v>
      </c>
      <c r="H104" s="40">
        <v>0</v>
      </c>
      <c r="I104" s="44">
        <v>0</v>
      </c>
      <c r="J104" s="42" t="e">
        <f>NA()</f>
        <v>#N/A</v>
      </c>
      <c r="K104" s="57" t="e">
        <v>#N/A</v>
      </c>
      <c r="L104" s="49">
        <v>3.2750000000000001E-2</v>
      </c>
    </row>
    <row r="105" spans="7:12" x14ac:dyDescent="0.35">
      <c r="G105" s="7">
        <v>81</v>
      </c>
      <c r="H105" s="40">
        <v>0</v>
      </c>
      <c r="I105" s="44">
        <v>0</v>
      </c>
      <c r="J105" s="42" t="e">
        <f>NA()</f>
        <v>#N/A</v>
      </c>
      <c r="K105" s="57" t="e">
        <v>#N/A</v>
      </c>
      <c r="L105" s="49">
        <v>3.2750000000000001E-2</v>
      </c>
    </row>
    <row r="106" spans="7:12" x14ac:dyDescent="0.35">
      <c r="G106" s="7">
        <v>82</v>
      </c>
      <c r="H106" s="40">
        <v>0</v>
      </c>
      <c r="I106" s="44">
        <v>0</v>
      </c>
      <c r="J106" s="42" t="e">
        <f>NA()</f>
        <v>#N/A</v>
      </c>
      <c r="K106" s="57" t="e">
        <v>#N/A</v>
      </c>
      <c r="L106" s="49">
        <v>3.2750000000000001E-2</v>
      </c>
    </row>
    <row r="107" spans="7:12" x14ac:dyDescent="0.35">
      <c r="G107" s="7">
        <v>83</v>
      </c>
      <c r="H107" s="40">
        <v>0</v>
      </c>
      <c r="I107" s="44">
        <v>0</v>
      </c>
      <c r="J107" s="42" t="e">
        <f>NA()</f>
        <v>#N/A</v>
      </c>
      <c r="K107" s="57" t="e">
        <v>#N/A</v>
      </c>
      <c r="L107" s="49">
        <v>3.2759999999999997E-2</v>
      </c>
    </row>
    <row r="108" spans="7:12" x14ac:dyDescent="0.35">
      <c r="G108" s="2">
        <v>84</v>
      </c>
      <c r="H108" s="40">
        <v>0</v>
      </c>
      <c r="I108" s="44">
        <v>0</v>
      </c>
      <c r="J108" s="42" t="e">
        <f>NA()</f>
        <v>#N/A</v>
      </c>
      <c r="K108" s="57" t="e">
        <v>#N/A</v>
      </c>
      <c r="L108" s="49">
        <v>3.2759999999999997E-2</v>
      </c>
    </row>
    <row r="109" spans="7:12" x14ac:dyDescent="0.35">
      <c r="G109" s="2">
        <v>85</v>
      </c>
      <c r="H109" s="40">
        <v>0</v>
      </c>
      <c r="I109" s="44">
        <v>0</v>
      </c>
      <c r="J109" s="42" t="e">
        <f>NA()</f>
        <v>#N/A</v>
      </c>
      <c r="K109" s="57" t="e">
        <v>#N/A</v>
      </c>
      <c r="L109" s="49">
        <v>3.2759999999999997E-2</v>
      </c>
    </row>
    <row r="110" spans="7:12" x14ac:dyDescent="0.35">
      <c r="G110" s="7">
        <v>86</v>
      </c>
      <c r="H110" s="40">
        <v>0</v>
      </c>
      <c r="I110" s="44">
        <v>0</v>
      </c>
      <c r="J110" s="42" t="e">
        <f>NA()</f>
        <v>#N/A</v>
      </c>
      <c r="K110" s="57" t="e">
        <v>#N/A</v>
      </c>
      <c r="L110" s="49">
        <v>3.2759999999999997E-2</v>
      </c>
    </row>
    <row r="111" spans="7:12" x14ac:dyDescent="0.35">
      <c r="G111" s="7">
        <v>87</v>
      </c>
      <c r="H111" s="40">
        <v>0</v>
      </c>
      <c r="I111" s="44">
        <v>0</v>
      </c>
      <c r="J111" s="42" t="e">
        <f>NA()</f>
        <v>#N/A</v>
      </c>
      <c r="K111" s="57" t="e">
        <v>#N/A</v>
      </c>
      <c r="L111" s="49">
        <v>3.2770000000000001E-2</v>
      </c>
    </row>
    <row r="112" spans="7:12" x14ac:dyDescent="0.35">
      <c r="G112" s="7">
        <v>88</v>
      </c>
      <c r="H112" s="40">
        <v>0</v>
      </c>
      <c r="I112" s="44">
        <v>0</v>
      </c>
      <c r="J112" s="42" t="e">
        <f>NA()</f>
        <v>#N/A</v>
      </c>
      <c r="K112" s="57" t="e">
        <v>#N/A</v>
      </c>
      <c r="L112" s="49">
        <v>3.2770000000000001E-2</v>
      </c>
    </row>
    <row r="113" spans="7:12" x14ac:dyDescent="0.35">
      <c r="G113" s="2">
        <v>89</v>
      </c>
      <c r="H113" s="40">
        <v>0</v>
      </c>
      <c r="I113" s="44">
        <v>0</v>
      </c>
      <c r="J113" s="42" t="e">
        <f>NA()</f>
        <v>#N/A</v>
      </c>
      <c r="K113" s="57" t="e">
        <v>#N/A</v>
      </c>
      <c r="L113" s="49">
        <v>3.2770000000000001E-2</v>
      </c>
    </row>
    <row r="114" spans="7:12" x14ac:dyDescent="0.35">
      <c r="G114" s="2">
        <v>90</v>
      </c>
      <c r="H114" s="40">
        <v>0</v>
      </c>
      <c r="I114" s="44">
        <v>0</v>
      </c>
      <c r="J114" s="42" t="e">
        <f>NA()</f>
        <v>#N/A</v>
      </c>
      <c r="K114" s="57" t="e">
        <v>#N/A</v>
      </c>
      <c r="L114" s="49">
        <v>3.2779999999999997E-2</v>
      </c>
    </row>
    <row r="115" spans="7:12" x14ac:dyDescent="0.35">
      <c r="G115" s="7">
        <v>91</v>
      </c>
      <c r="H115" s="40">
        <v>0</v>
      </c>
      <c r="I115" s="44">
        <v>0</v>
      </c>
      <c r="J115" s="42" t="e">
        <f>NA()</f>
        <v>#N/A</v>
      </c>
      <c r="K115" s="57" t="e">
        <v>#N/A</v>
      </c>
      <c r="L115" s="49">
        <v>3.2779999999999997E-2</v>
      </c>
    </row>
    <row r="116" spans="7:12" x14ac:dyDescent="0.35">
      <c r="G116" s="7">
        <v>92</v>
      </c>
      <c r="H116" s="40">
        <v>0</v>
      </c>
      <c r="I116" s="44">
        <v>0</v>
      </c>
      <c r="J116" s="42" t="e">
        <f>NA()</f>
        <v>#N/A</v>
      </c>
      <c r="K116" s="57" t="e">
        <v>#N/A</v>
      </c>
      <c r="L116" s="49">
        <v>3.2779999999999997E-2</v>
      </c>
    </row>
    <row r="117" spans="7:12" x14ac:dyDescent="0.35">
      <c r="G117" s="7">
        <v>93</v>
      </c>
      <c r="H117" s="40">
        <v>0</v>
      </c>
      <c r="I117" s="44">
        <v>0</v>
      </c>
      <c r="J117" s="42" t="e">
        <f>NA()</f>
        <v>#N/A</v>
      </c>
      <c r="K117" s="57" t="e">
        <v>#N/A</v>
      </c>
      <c r="L117" s="49">
        <v>3.2779999999999997E-2</v>
      </c>
    </row>
    <row r="118" spans="7:12" x14ac:dyDescent="0.35">
      <c r="G118" s="2">
        <v>94</v>
      </c>
      <c r="H118" s="40">
        <v>0</v>
      </c>
      <c r="I118" s="44">
        <v>0</v>
      </c>
      <c r="J118" s="42" t="e">
        <f>NA()</f>
        <v>#N/A</v>
      </c>
      <c r="K118" s="57" t="e">
        <v>#N/A</v>
      </c>
      <c r="L118" s="49">
        <v>3.2779999999999997E-2</v>
      </c>
    </row>
    <row r="119" spans="7:12" x14ac:dyDescent="0.35">
      <c r="G119" s="2">
        <v>95</v>
      </c>
      <c r="H119" s="40">
        <v>0</v>
      </c>
      <c r="I119" s="44">
        <v>0</v>
      </c>
      <c r="J119" s="42" t="e">
        <f>NA()</f>
        <v>#N/A</v>
      </c>
      <c r="K119" s="57" t="e">
        <v>#N/A</v>
      </c>
      <c r="L119" s="49">
        <v>3.279E-2</v>
      </c>
    </row>
    <row r="120" spans="7:12" x14ac:dyDescent="0.35">
      <c r="G120" s="7">
        <v>96</v>
      </c>
      <c r="H120" s="40">
        <v>0</v>
      </c>
      <c r="I120" s="44">
        <v>0</v>
      </c>
      <c r="J120" s="42" t="e">
        <f>NA()</f>
        <v>#N/A</v>
      </c>
      <c r="K120" s="57" t="e">
        <v>#N/A</v>
      </c>
      <c r="L120" s="49">
        <v>3.279E-2</v>
      </c>
    </row>
    <row r="121" spans="7:12" x14ac:dyDescent="0.35">
      <c r="G121" s="7">
        <v>97</v>
      </c>
      <c r="H121" s="40">
        <v>0</v>
      </c>
      <c r="I121" s="44">
        <v>0</v>
      </c>
      <c r="J121" s="42" t="e">
        <f>NA()</f>
        <v>#N/A</v>
      </c>
      <c r="K121" s="57" t="e">
        <v>#N/A</v>
      </c>
      <c r="L121" s="49">
        <v>3.279E-2</v>
      </c>
    </row>
    <row r="122" spans="7:12" x14ac:dyDescent="0.35">
      <c r="G122" s="7">
        <v>98</v>
      </c>
      <c r="H122" s="40">
        <v>0</v>
      </c>
      <c r="I122" s="44">
        <v>0</v>
      </c>
      <c r="J122" s="42" t="e">
        <f>NA()</f>
        <v>#N/A</v>
      </c>
      <c r="K122" s="57" t="e">
        <v>#N/A</v>
      </c>
      <c r="L122" s="49">
        <v>3.279E-2</v>
      </c>
    </row>
    <row r="123" spans="7:12" x14ac:dyDescent="0.35">
      <c r="G123" s="2">
        <v>99</v>
      </c>
      <c r="H123" s="40">
        <v>0</v>
      </c>
      <c r="I123" s="44">
        <v>0</v>
      </c>
      <c r="J123" s="42" t="e">
        <f>NA()</f>
        <v>#N/A</v>
      </c>
      <c r="K123" s="57" t="e">
        <v>#N/A</v>
      </c>
      <c r="L123" s="49">
        <v>3.2800000000000003E-2</v>
      </c>
    </row>
    <row r="124" spans="7:12" x14ac:dyDescent="0.35">
      <c r="G124" s="2">
        <v>100</v>
      </c>
      <c r="H124" s="40">
        <v>0</v>
      </c>
      <c r="I124" s="44">
        <v>0</v>
      </c>
      <c r="J124" s="42" t="e">
        <f>NA()</f>
        <v>#N/A</v>
      </c>
      <c r="K124" s="57" t="e">
        <v>#N/A</v>
      </c>
      <c r="L124" s="49">
        <v>3.2800000000000003E-2</v>
      </c>
    </row>
    <row r="125" spans="7:12" x14ac:dyDescent="0.35">
      <c r="G125" s="7">
        <v>101</v>
      </c>
      <c r="H125" s="40">
        <v>0</v>
      </c>
      <c r="I125" s="44">
        <v>0</v>
      </c>
      <c r="J125" s="42" t="e">
        <f>NA()</f>
        <v>#N/A</v>
      </c>
      <c r="K125" s="57" t="e">
        <v>#N/A</v>
      </c>
      <c r="L125" s="49">
        <v>3.2800000000000003E-2</v>
      </c>
    </row>
    <row r="126" spans="7:12" x14ac:dyDescent="0.35">
      <c r="G126" s="7">
        <v>102</v>
      </c>
      <c r="H126" s="40">
        <v>0</v>
      </c>
      <c r="I126" s="44">
        <v>0</v>
      </c>
      <c r="J126" s="42" t="e">
        <f>NA()</f>
        <v>#N/A</v>
      </c>
      <c r="K126" s="57" t="e">
        <v>#N/A</v>
      </c>
      <c r="L126" s="49">
        <v>3.2800000000000003E-2</v>
      </c>
    </row>
    <row r="127" spans="7:12" x14ac:dyDescent="0.35">
      <c r="G127" s="7">
        <v>103</v>
      </c>
      <c r="H127" s="40">
        <v>0</v>
      </c>
      <c r="I127" s="44">
        <v>0</v>
      </c>
      <c r="J127" s="42" t="e">
        <f>NA()</f>
        <v>#N/A</v>
      </c>
      <c r="K127" s="57" t="e">
        <v>#N/A</v>
      </c>
      <c r="L127" s="49">
        <v>3.2800000000000003E-2</v>
      </c>
    </row>
    <row r="128" spans="7:12" x14ac:dyDescent="0.35">
      <c r="G128" s="2">
        <v>104</v>
      </c>
      <c r="H128" s="40">
        <v>0</v>
      </c>
      <c r="I128" s="44">
        <v>0</v>
      </c>
      <c r="J128" s="42" t="e">
        <f>NA()</f>
        <v>#N/A</v>
      </c>
      <c r="K128" s="57" t="e">
        <v>#N/A</v>
      </c>
      <c r="L128" s="49">
        <v>3.2809999999999999E-2</v>
      </c>
    </row>
    <row r="129" spans="7:12" x14ac:dyDescent="0.35">
      <c r="G129" s="2">
        <v>105</v>
      </c>
      <c r="H129" s="40">
        <v>0</v>
      </c>
      <c r="I129" s="44">
        <v>0</v>
      </c>
      <c r="J129" s="42" t="e">
        <f>NA()</f>
        <v>#N/A</v>
      </c>
      <c r="K129" s="57" t="e">
        <v>#N/A</v>
      </c>
      <c r="L129" s="49">
        <v>3.2809999999999999E-2</v>
      </c>
    </row>
    <row r="130" spans="7:12" x14ac:dyDescent="0.35">
      <c r="G130" s="7">
        <v>106</v>
      </c>
      <c r="H130" s="40">
        <v>0</v>
      </c>
      <c r="I130" s="44">
        <v>0</v>
      </c>
      <c r="J130" s="42" t="e">
        <f>NA()</f>
        <v>#N/A</v>
      </c>
      <c r="K130" s="57" t="e">
        <v>#N/A</v>
      </c>
      <c r="L130" s="49">
        <v>3.2809999999999999E-2</v>
      </c>
    </row>
    <row r="131" spans="7:12" x14ac:dyDescent="0.35">
      <c r="G131" s="7">
        <v>107</v>
      </c>
      <c r="H131" s="40">
        <v>0</v>
      </c>
      <c r="I131" s="44">
        <v>0</v>
      </c>
      <c r="J131" s="42" t="e">
        <f>NA()</f>
        <v>#N/A</v>
      </c>
      <c r="K131" s="57" t="e">
        <v>#N/A</v>
      </c>
      <c r="L131" s="49">
        <v>3.2809999999999999E-2</v>
      </c>
    </row>
    <row r="132" spans="7:12" x14ac:dyDescent="0.35">
      <c r="G132" s="7">
        <v>108</v>
      </c>
      <c r="H132" s="40">
        <v>0</v>
      </c>
      <c r="I132" s="44">
        <v>0</v>
      </c>
      <c r="J132" s="42" t="e">
        <f>NA()</f>
        <v>#N/A</v>
      </c>
      <c r="K132" s="57" t="e">
        <v>#N/A</v>
      </c>
      <c r="L132" s="49">
        <v>3.2809999999999999E-2</v>
      </c>
    </row>
    <row r="133" spans="7:12" x14ac:dyDescent="0.35">
      <c r="G133" s="2">
        <v>109</v>
      </c>
      <c r="H133" s="40">
        <v>0</v>
      </c>
      <c r="I133" s="44">
        <v>0</v>
      </c>
      <c r="J133" s="42" t="e">
        <f>NA()</f>
        <v>#N/A</v>
      </c>
      <c r="K133" s="57" t="e">
        <v>#N/A</v>
      </c>
      <c r="L133" s="49">
        <v>3.2809999999999999E-2</v>
      </c>
    </row>
    <row r="134" spans="7:12" x14ac:dyDescent="0.35">
      <c r="G134" s="2">
        <v>110</v>
      </c>
      <c r="H134" s="40">
        <v>0</v>
      </c>
      <c r="I134" s="44">
        <v>0</v>
      </c>
      <c r="J134" s="42" t="e">
        <f>NA()</f>
        <v>#N/A</v>
      </c>
      <c r="K134" s="57" t="e">
        <v>#N/A</v>
      </c>
      <c r="L134" s="49">
        <v>3.2820000000000002E-2</v>
      </c>
    </row>
    <row r="135" spans="7:12" x14ac:dyDescent="0.35">
      <c r="G135" s="7">
        <v>111</v>
      </c>
      <c r="H135" s="40">
        <v>0</v>
      </c>
      <c r="I135" s="44">
        <v>0</v>
      </c>
      <c r="J135" s="42" t="e">
        <f>NA()</f>
        <v>#N/A</v>
      </c>
      <c r="K135" s="57" t="e">
        <v>#N/A</v>
      </c>
      <c r="L135" s="49">
        <v>3.2820000000000002E-2</v>
      </c>
    </row>
    <row r="136" spans="7:12" x14ac:dyDescent="0.35">
      <c r="G136" s="7">
        <v>112</v>
      </c>
      <c r="H136" s="40">
        <v>0</v>
      </c>
      <c r="I136" s="44">
        <v>0</v>
      </c>
      <c r="J136" s="42" t="e">
        <f>NA()</f>
        <v>#N/A</v>
      </c>
      <c r="K136" s="57" t="e">
        <v>#N/A</v>
      </c>
      <c r="L136" s="49">
        <v>3.2820000000000002E-2</v>
      </c>
    </row>
    <row r="137" spans="7:12" x14ac:dyDescent="0.35">
      <c r="G137" s="7">
        <v>113</v>
      </c>
      <c r="H137" s="40">
        <v>0</v>
      </c>
      <c r="I137" s="44">
        <v>0</v>
      </c>
      <c r="J137" s="42" t="e">
        <f>NA()</f>
        <v>#N/A</v>
      </c>
      <c r="K137" s="57" t="e">
        <v>#N/A</v>
      </c>
      <c r="L137" s="49">
        <v>3.2820000000000002E-2</v>
      </c>
    </row>
    <row r="138" spans="7:12" x14ac:dyDescent="0.35">
      <c r="G138" s="2">
        <v>114</v>
      </c>
      <c r="H138" s="40">
        <v>0</v>
      </c>
      <c r="I138" s="44">
        <v>0</v>
      </c>
      <c r="J138" s="42" t="e">
        <f>NA()</f>
        <v>#N/A</v>
      </c>
      <c r="K138" s="57" t="e">
        <v>#N/A</v>
      </c>
      <c r="L138" s="49">
        <v>3.2820000000000002E-2</v>
      </c>
    </row>
    <row r="139" spans="7:12" x14ac:dyDescent="0.35">
      <c r="G139" s="2">
        <v>115</v>
      </c>
      <c r="H139" s="40">
        <v>0</v>
      </c>
      <c r="I139" s="44">
        <v>0</v>
      </c>
      <c r="J139" s="42" t="e">
        <f>NA()</f>
        <v>#N/A</v>
      </c>
      <c r="K139" s="57" t="e">
        <v>#N/A</v>
      </c>
      <c r="L139" s="49">
        <v>3.2820000000000002E-2</v>
      </c>
    </row>
    <row r="140" spans="7:12" x14ac:dyDescent="0.35">
      <c r="G140" s="7">
        <v>116</v>
      </c>
      <c r="H140" s="40">
        <v>0</v>
      </c>
      <c r="I140" s="44">
        <v>0</v>
      </c>
      <c r="J140" s="42" t="e">
        <f>NA()</f>
        <v>#N/A</v>
      </c>
      <c r="K140" s="57" t="e">
        <v>#N/A</v>
      </c>
      <c r="L140" s="49">
        <v>3.2829999999999998E-2</v>
      </c>
    </row>
    <row r="141" spans="7:12" x14ac:dyDescent="0.35">
      <c r="G141" s="7">
        <v>117</v>
      </c>
      <c r="H141" s="40">
        <v>0</v>
      </c>
      <c r="I141" s="44">
        <v>0</v>
      </c>
      <c r="J141" s="42" t="e">
        <f>NA()</f>
        <v>#N/A</v>
      </c>
      <c r="K141" s="57" t="e">
        <v>#N/A</v>
      </c>
      <c r="L141" s="49">
        <v>3.2829999999999998E-2</v>
      </c>
    </row>
    <row r="142" spans="7:12" x14ac:dyDescent="0.35">
      <c r="G142" s="7">
        <v>118</v>
      </c>
      <c r="H142" s="40">
        <v>0</v>
      </c>
      <c r="I142" s="44">
        <v>0</v>
      </c>
      <c r="J142" s="42" t="e">
        <f>NA()</f>
        <v>#N/A</v>
      </c>
      <c r="K142" s="57" t="e">
        <v>#N/A</v>
      </c>
      <c r="L142" s="49">
        <v>3.2829999999999998E-2</v>
      </c>
    </row>
    <row r="143" spans="7:12" x14ac:dyDescent="0.35">
      <c r="G143" s="2">
        <v>119</v>
      </c>
      <c r="H143" s="40">
        <v>0</v>
      </c>
      <c r="I143" s="44">
        <v>0</v>
      </c>
      <c r="J143" s="42" t="e">
        <f>NA()</f>
        <v>#N/A</v>
      </c>
      <c r="K143" s="57" t="e">
        <v>#N/A</v>
      </c>
      <c r="L143" s="49">
        <v>3.2829999999999998E-2</v>
      </c>
    </row>
    <row r="144" spans="7:12" x14ac:dyDescent="0.35">
      <c r="G144" s="2">
        <v>120</v>
      </c>
      <c r="H144" s="40">
        <v>0</v>
      </c>
      <c r="I144" s="44">
        <v>0</v>
      </c>
      <c r="J144" s="42" t="e">
        <f>NA()</f>
        <v>#N/A</v>
      </c>
      <c r="K144" s="57" t="e">
        <v>#N/A</v>
      </c>
      <c r="L144" s="49">
        <v>3.2829999999999998E-2</v>
      </c>
    </row>
    <row r="145" spans="7:12" x14ac:dyDescent="0.35">
      <c r="G145" s="7">
        <v>121</v>
      </c>
      <c r="H145" s="40">
        <v>0</v>
      </c>
      <c r="I145" s="44">
        <v>0</v>
      </c>
      <c r="J145" s="42" t="e">
        <f>NA()</f>
        <v>#N/A</v>
      </c>
      <c r="K145" s="57" t="e">
        <v>#N/A</v>
      </c>
      <c r="L145" s="49">
        <v>3.2829999999999998E-2</v>
      </c>
    </row>
    <row r="146" spans="7:12" x14ac:dyDescent="0.35">
      <c r="G146" s="7">
        <v>122</v>
      </c>
      <c r="H146" s="40">
        <v>0</v>
      </c>
      <c r="I146" s="44">
        <v>0</v>
      </c>
      <c r="J146" s="42" t="e">
        <f>NA()</f>
        <v>#N/A</v>
      </c>
      <c r="K146" s="57" t="e">
        <v>#N/A</v>
      </c>
      <c r="L146" s="49">
        <v>3.2829999999999998E-2</v>
      </c>
    </row>
    <row r="147" spans="7:12" x14ac:dyDescent="0.35">
      <c r="G147" s="7">
        <v>123</v>
      </c>
      <c r="H147" s="40">
        <v>0</v>
      </c>
      <c r="I147" s="44">
        <v>0</v>
      </c>
      <c r="J147" s="42" t="e">
        <f>NA()</f>
        <v>#N/A</v>
      </c>
      <c r="K147" s="57" t="e">
        <v>#N/A</v>
      </c>
      <c r="L147" s="49">
        <v>3.2840000000000001E-2</v>
      </c>
    </row>
    <row r="148" spans="7:12" x14ac:dyDescent="0.35">
      <c r="G148" s="2">
        <v>124</v>
      </c>
      <c r="H148" s="40">
        <v>0</v>
      </c>
      <c r="I148" s="44">
        <v>0</v>
      </c>
      <c r="J148" s="42" t="e">
        <f>NA()</f>
        <v>#N/A</v>
      </c>
      <c r="K148" s="57" t="e">
        <v>#N/A</v>
      </c>
      <c r="L148" s="49">
        <v>3.2840000000000001E-2</v>
      </c>
    </row>
    <row r="149" spans="7:12" x14ac:dyDescent="0.35">
      <c r="G149" s="2">
        <v>125</v>
      </c>
      <c r="H149" s="40">
        <v>0</v>
      </c>
      <c r="I149" s="44">
        <v>0</v>
      </c>
      <c r="J149" s="42" t="e">
        <f>NA()</f>
        <v>#N/A</v>
      </c>
      <c r="K149" s="57" t="e">
        <v>#N/A</v>
      </c>
      <c r="L149" s="49">
        <v>3.2840000000000001E-2</v>
      </c>
    </row>
    <row r="150" spans="7:12" x14ac:dyDescent="0.35">
      <c r="G150" s="7">
        <v>126</v>
      </c>
      <c r="H150" s="40">
        <v>0</v>
      </c>
      <c r="I150" s="44">
        <v>0</v>
      </c>
      <c r="J150" s="42" t="e">
        <f>NA()</f>
        <v>#N/A</v>
      </c>
      <c r="K150" s="57" t="e">
        <v>#N/A</v>
      </c>
      <c r="L150" s="49">
        <v>3.2840000000000001E-2</v>
      </c>
    </row>
    <row r="151" spans="7:12" x14ac:dyDescent="0.35">
      <c r="G151" s="7">
        <v>127</v>
      </c>
      <c r="H151" s="40">
        <v>0</v>
      </c>
      <c r="I151" s="44">
        <v>0</v>
      </c>
      <c r="J151" s="42" t="e">
        <f>NA()</f>
        <v>#N/A</v>
      </c>
      <c r="K151" s="57" t="e">
        <v>#N/A</v>
      </c>
      <c r="L151" s="49">
        <v>3.2840000000000001E-2</v>
      </c>
    </row>
    <row r="152" spans="7:12" x14ac:dyDescent="0.35">
      <c r="G152" s="7">
        <v>128</v>
      </c>
      <c r="H152" s="40">
        <v>0</v>
      </c>
      <c r="I152" s="44">
        <v>0</v>
      </c>
      <c r="J152" s="42" t="e">
        <f>NA()</f>
        <v>#N/A</v>
      </c>
      <c r="K152" s="57" t="e">
        <v>#N/A</v>
      </c>
      <c r="L152" s="49">
        <v>3.2840000000000001E-2</v>
      </c>
    </row>
    <row r="153" spans="7:12" x14ac:dyDescent="0.35">
      <c r="G153" s="2">
        <v>129</v>
      </c>
      <c r="H153" s="40">
        <v>0</v>
      </c>
      <c r="I153" s="44">
        <v>0</v>
      </c>
      <c r="J153" s="42" t="e">
        <f>NA()</f>
        <v>#N/A</v>
      </c>
      <c r="K153" s="57" t="e">
        <v>#N/A</v>
      </c>
      <c r="L153" s="49">
        <v>3.2840000000000001E-2</v>
      </c>
    </row>
    <row r="154" spans="7:12" x14ac:dyDescent="0.35">
      <c r="G154" s="2">
        <v>130</v>
      </c>
      <c r="H154" s="40">
        <v>0</v>
      </c>
      <c r="I154" s="44">
        <v>0</v>
      </c>
      <c r="J154" s="42" t="e">
        <f>NA()</f>
        <v>#N/A</v>
      </c>
      <c r="K154" s="57" t="e">
        <v>#N/A</v>
      </c>
      <c r="L154" s="49">
        <v>3.2840000000000001E-2</v>
      </c>
    </row>
    <row r="155" spans="7:12" x14ac:dyDescent="0.35">
      <c r="G155" s="7">
        <v>131</v>
      </c>
      <c r="H155" s="40">
        <v>0</v>
      </c>
      <c r="I155" s="44">
        <v>0</v>
      </c>
      <c r="J155" s="42" t="e">
        <f>NA()</f>
        <v>#N/A</v>
      </c>
      <c r="K155" s="57" t="e">
        <v>#N/A</v>
      </c>
      <c r="L155" s="49">
        <v>3.2849999999999997E-2</v>
      </c>
    </row>
    <row r="156" spans="7:12" x14ac:dyDescent="0.35">
      <c r="G156" s="7">
        <v>132</v>
      </c>
      <c r="H156" s="40">
        <v>0</v>
      </c>
      <c r="I156" s="44">
        <v>0</v>
      </c>
      <c r="J156" s="42" t="e">
        <f>NA()</f>
        <v>#N/A</v>
      </c>
      <c r="K156" s="57" t="e">
        <v>#N/A</v>
      </c>
      <c r="L156" s="49">
        <v>3.2849999999999997E-2</v>
      </c>
    </row>
    <row r="157" spans="7:12" x14ac:dyDescent="0.35">
      <c r="G157" s="7">
        <v>133</v>
      </c>
      <c r="H157" s="40">
        <v>0</v>
      </c>
      <c r="I157" s="44">
        <v>0</v>
      </c>
      <c r="J157" s="42" t="e">
        <f>NA()</f>
        <v>#N/A</v>
      </c>
      <c r="K157" s="57" t="e">
        <v>#N/A</v>
      </c>
      <c r="L157" s="49">
        <v>3.2849999999999997E-2</v>
      </c>
    </row>
    <row r="158" spans="7:12" x14ac:dyDescent="0.35">
      <c r="G158" s="2">
        <v>134</v>
      </c>
      <c r="H158" s="40">
        <v>0</v>
      </c>
      <c r="I158" s="44">
        <v>0</v>
      </c>
      <c r="J158" s="42" t="e">
        <f>NA()</f>
        <v>#N/A</v>
      </c>
      <c r="K158" s="57" t="e">
        <v>#N/A</v>
      </c>
      <c r="L158" s="49">
        <v>3.2849999999999997E-2</v>
      </c>
    </row>
    <row r="159" spans="7:12" x14ac:dyDescent="0.35">
      <c r="G159" s="2">
        <v>135</v>
      </c>
      <c r="H159" s="40">
        <v>0</v>
      </c>
      <c r="I159" s="44">
        <v>0</v>
      </c>
      <c r="J159" s="42" t="e">
        <f>NA()</f>
        <v>#N/A</v>
      </c>
      <c r="K159" s="57" t="e">
        <v>#N/A</v>
      </c>
      <c r="L159" s="49">
        <v>3.2849999999999997E-2</v>
      </c>
    </row>
    <row r="160" spans="7:12" x14ac:dyDescent="0.35">
      <c r="G160" s="7">
        <v>136</v>
      </c>
      <c r="H160" s="40">
        <v>0</v>
      </c>
      <c r="I160" s="44">
        <v>0</v>
      </c>
      <c r="J160" s="42" t="e">
        <f>NA()</f>
        <v>#N/A</v>
      </c>
      <c r="K160" s="57" t="e">
        <v>#N/A</v>
      </c>
      <c r="L160" s="49">
        <v>3.2849999999999997E-2</v>
      </c>
    </row>
    <row r="161" spans="7:12" x14ac:dyDescent="0.35">
      <c r="G161" s="7">
        <v>137</v>
      </c>
      <c r="H161" s="40">
        <v>0</v>
      </c>
      <c r="I161" s="44">
        <v>0</v>
      </c>
      <c r="J161" s="42" t="e">
        <f>NA()</f>
        <v>#N/A</v>
      </c>
      <c r="K161" s="57" t="e">
        <v>#N/A</v>
      </c>
      <c r="L161" s="49">
        <v>3.2849999999999997E-2</v>
      </c>
    </row>
    <row r="162" spans="7:12" x14ac:dyDescent="0.35">
      <c r="G162" s="7">
        <v>138</v>
      </c>
      <c r="H162" s="40">
        <v>0</v>
      </c>
      <c r="I162" s="44">
        <v>0</v>
      </c>
      <c r="J162" s="42" t="e">
        <f>NA()</f>
        <v>#N/A</v>
      </c>
      <c r="K162" s="57" t="e">
        <v>#N/A</v>
      </c>
      <c r="L162" s="49">
        <v>3.2849999999999997E-2</v>
      </c>
    </row>
    <row r="163" spans="7:12" x14ac:dyDescent="0.35">
      <c r="G163" s="2">
        <v>139</v>
      </c>
      <c r="H163" s="40">
        <v>0</v>
      </c>
      <c r="I163" s="44">
        <v>0</v>
      </c>
      <c r="J163" s="42" t="e">
        <f>NA()</f>
        <v>#N/A</v>
      </c>
      <c r="K163" s="57" t="e">
        <v>#N/A</v>
      </c>
      <c r="L163" s="49">
        <v>3.2849999999999997E-2</v>
      </c>
    </row>
    <row r="164" spans="7:12" x14ac:dyDescent="0.35">
      <c r="G164" s="2">
        <v>140</v>
      </c>
      <c r="H164" s="40">
        <v>0</v>
      </c>
      <c r="I164" s="44">
        <v>0</v>
      </c>
      <c r="J164" s="42" t="e">
        <f>NA()</f>
        <v>#N/A</v>
      </c>
      <c r="K164" s="57" t="e">
        <v>#N/A</v>
      </c>
      <c r="L164" s="49">
        <v>3.286E-2</v>
      </c>
    </row>
    <row r="165" spans="7:12" x14ac:dyDescent="0.35">
      <c r="G165" s="7">
        <v>141</v>
      </c>
      <c r="H165" s="40">
        <v>0</v>
      </c>
      <c r="I165" s="44">
        <v>0</v>
      </c>
      <c r="J165" s="42" t="e">
        <f>NA()</f>
        <v>#N/A</v>
      </c>
      <c r="K165" s="57" t="e">
        <v>#N/A</v>
      </c>
      <c r="L165" s="49">
        <v>3.286E-2</v>
      </c>
    </row>
    <row r="166" spans="7:12" x14ac:dyDescent="0.35">
      <c r="G166" s="7">
        <v>142</v>
      </c>
      <c r="H166" s="40">
        <v>0</v>
      </c>
      <c r="I166" s="44">
        <v>0</v>
      </c>
      <c r="J166" s="42" t="e">
        <f>NA()</f>
        <v>#N/A</v>
      </c>
      <c r="K166" s="57" t="e">
        <v>#N/A</v>
      </c>
      <c r="L166" s="49">
        <v>3.286E-2</v>
      </c>
    </row>
    <row r="167" spans="7:12" x14ac:dyDescent="0.35">
      <c r="G167" s="7">
        <v>143</v>
      </c>
      <c r="H167" s="40">
        <v>0</v>
      </c>
      <c r="I167" s="44">
        <v>0</v>
      </c>
      <c r="J167" s="42" t="e">
        <f>NA()</f>
        <v>#N/A</v>
      </c>
      <c r="K167" s="57" t="e">
        <v>#N/A</v>
      </c>
      <c r="L167" s="49">
        <v>3.286E-2</v>
      </c>
    </row>
    <row r="168" spans="7:12" x14ac:dyDescent="0.35">
      <c r="G168" s="2">
        <v>144</v>
      </c>
      <c r="H168" s="40">
        <v>0</v>
      </c>
      <c r="I168" s="44">
        <v>0</v>
      </c>
      <c r="J168" s="42" t="e">
        <f>NA()</f>
        <v>#N/A</v>
      </c>
      <c r="K168" s="57" t="e">
        <v>#N/A</v>
      </c>
      <c r="L168" s="49">
        <v>3.286E-2</v>
      </c>
    </row>
    <row r="169" spans="7:12" x14ac:dyDescent="0.35">
      <c r="G169" s="2">
        <v>145</v>
      </c>
      <c r="H169" s="40">
        <v>0</v>
      </c>
      <c r="I169" s="44">
        <v>0</v>
      </c>
      <c r="J169" s="42" t="e">
        <f>NA()</f>
        <v>#N/A</v>
      </c>
      <c r="K169" s="57" t="e">
        <v>#N/A</v>
      </c>
      <c r="L169" s="49">
        <v>3.286E-2</v>
      </c>
    </row>
    <row r="170" spans="7:12" x14ac:dyDescent="0.35">
      <c r="G170" s="7">
        <v>146</v>
      </c>
      <c r="H170" s="40">
        <v>0</v>
      </c>
      <c r="I170" s="44">
        <v>0</v>
      </c>
      <c r="J170" s="42" t="e">
        <f>NA()</f>
        <v>#N/A</v>
      </c>
      <c r="K170" s="57" t="e">
        <v>#N/A</v>
      </c>
      <c r="L170" s="49">
        <v>3.286E-2</v>
      </c>
    </row>
    <row r="171" spans="7:12" x14ac:dyDescent="0.35">
      <c r="G171" s="7">
        <v>147</v>
      </c>
      <c r="H171" s="40">
        <v>0</v>
      </c>
      <c r="I171" s="44">
        <v>0</v>
      </c>
      <c r="J171" s="42" t="e">
        <f>NA()</f>
        <v>#N/A</v>
      </c>
      <c r="K171" s="57" t="e">
        <v>#N/A</v>
      </c>
      <c r="L171" s="49">
        <v>3.286E-2</v>
      </c>
    </row>
    <row r="172" spans="7:12" x14ac:dyDescent="0.35">
      <c r="G172" s="7">
        <v>148</v>
      </c>
      <c r="H172" s="40">
        <v>0</v>
      </c>
      <c r="I172" s="44">
        <v>0</v>
      </c>
      <c r="J172" s="42" t="e">
        <f>NA()</f>
        <v>#N/A</v>
      </c>
      <c r="K172" s="57" t="e">
        <v>#N/A</v>
      </c>
      <c r="L172" s="49">
        <v>3.286E-2</v>
      </c>
    </row>
    <row r="173" spans="7:12" x14ac:dyDescent="0.35">
      <c r="G173" s="2">
        <v>149</v>
      </c>
      <c r="H173" s="40">
        <v>0</v>
      </c>
      <c r="I173" s="44">
        <v>0</v>
      </c>
      <c r="J173" s="42" t="e">
        <f>NA()</f>
        <v>#N/A</v>
      </c>
      <c r="K173" s="57" t="e">
        <v>#N/A</v>
      </c>
      <c r="L173" s="49">
        <v>3.286E-2</v>
      </c>
    </row>
    <row r="174" spans="7:12" x14ac:dyDescent="0.35">
      <c r="G174" s="2">
        <v>150</v>
      </c>
      <c r="H174" s="40">
        <v>0</v>
      </c>
      <c r="I174" s="44">
        <v>0</v>
      </c>
      <c r="J174" s="42" t="e">
        <f>NA()</f>
        <v>#N/A</v>
      </c>
      <c r="K174" s="57" t="e">
        <v>#N/A</v>
      </c>
      <c r="L174" s="50">
        <v>3.2870000000000003E-2</v>
      </c>
    </row>
    <row r="175" spans="7:12" x14ac:dyDescent="0.35">
      <c r="K175" s="7"/>
      <c r="L175" s="7"/>
    </row>
  </sheetData>
  <conditionalFormatting sqref="H25:H174">
    <cfRule type="expression" dxfId="5" priority="10">
      <formula>H25=1</formula>
    </cfRule>
  </conditionalFormatting>
  <conditionalFormatting sqref="H12">
    <cfRule type="expression" dxfId="4" priority="7">
      <formula>V.INSTRUMENT &lt;&gt; "SWP"</formula>
    </cfRule>
  </conditionalFormatting>
  <conditionalFormatting sqref="H11:H12 I22">
    <cfRule type="expression" dxfId="3" priority="5">
      <formula>V.EXTRAPOLATION_SELECTED = FALSE</formula>
    </cfRule>
  </conditionalFormatting>
  <conditionalFormatting sqref="I22">
    <cfRule type="expression" dxfId="2" priority="2">
      <formula>V.LLFR_SUM_ERROR = "OK"</formula>
    </cfRule>
    <cfRule type="expression" dxfId="1" priority="3">
      <formula>V.LLFR_SUM_ERROR = "ERROR"</formula>
    </cfRule>
  </conditionalFormatting>
  <conditionalFormatting sqref="H17">
    <cfRule type="expression" dxfId="0" priority="1">
      <formula>V.EXTRAPOLATION_SELECTED</formula>
    </cfRule>
  </conditionalFormatting>
  <dataValidations count="2">
    <dataValidation type="list" allowBlank="1" showInputMessage="1" showErrorMessage="1" sqref="H11" xr:uid="{2DE0B64D-C951-45FB-9B76-84037C3EBA31}">
      <formula1>L.INSTRUMENT</formula1>
    </dataValidation>
    <dataValidation type="list" allowBlank="1" showInputMessage="1" showErrorMessage="1" sqref="H10" xr:uid="{C455E42B-754C-4AC6-92FF-1889A73399C4}">
      <formula1>L.BOOL</formula1>
    </dataValidation>
  </dataValidations>
  <pageMargins left="0.7" right="0.7" top="0.75" bottom="0.75" header="0.3" footer="0.3"/>
  <headerFooter>
    <oddHeader>&amp;R&amp;"Aptos"&amp;10&amp;K000000 PUBLIC&amp;1#_x000D_</oddHead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E8400-B354-47C8-A4E4-B0A3F010A5A2}">
  <sheetPr codeName="shCSSR">
    <tabColor theme="3" tint="0.499984740745262"/>
  </sheetPr>
  <dimension ref="A1:O173"/>
  <sheetViews>
    <sheetView workbookViewId="0"/>
  </sheetViews>
  <sheetFormatPr defaultColWidth="0" defaultRowHeight="14.5" x14ac:dyDescent="0.35"/>
  <cols>
    <col min="1" max="7" width="9.1796875" style="2" customWidth="1"/>
    <col min="8" max="8" width="12.54296875" style="2" customWidth="1"/>
    <col min="9" max="10" width="11.81640625" style="2" customWidth="1"/>
    <col min="11" max="11" width="12.1796875" style="2" customWidth="1"/>
    <col min="12" max="12" width="14" style="2" customWidth="1"/>
    <col min="13" max="13" width="14.1796875" style="2" customWidth="1"/>
    <col min="14" max="14" width="2.1796875" style="2" customWidth="1"/>
    <col min="15" max="16384" width="9.1796875" style="2" hidden="1"/>
  </cols>
  <sheetData>
    <row r="1" spans="1:15" x14ac:dyDescent="0.35">
      <c r="A1" s="3"/>
      <c r="B1" s="4"/>
      <c r="C1" s="4"/>
      <c r="D1" s="4"/>
      <c r="E1" s="4"/>
      <c r="F1" s="4"/>
      <c r="G1" s="4"/>
      <c r="H1" s="4"/>
      <c r="I1" s="4"/>
      <c r="J1" s="4"/>
      <c r="K1" s="4"/>
      <c r="L1" s="4"/>
      <c r="M1" s="4"/>
      <c r="N1" s="4"/>
    </row>
    <row r="2" spans="1:15" x14ac:dyDescent="0.35">
      <c r="A2" s="3"/>
      <c r="B2" s="4"/>
      <c r="C2" s="4"/>
      <c r="D2" s="4"/>
      <c r="E2" s="4"/>
      <c r="F2" s="4"/>
      <c r="G2" s="4"/>
      <c r="H2" s="4"/>
      <c r="I2" s="4"/>
      <c r="J2" s="4"/>
      <c r="K2" s="4"/>
      <c r="L2" s="4"/>
      <c r="M2" s="4"/>
      <c r="N2" s="4"/>
    </row>
    <row r="3" spans="1:15" ht="18.75" customHeight="1" x14ac:dyDescent="0.35">
      <c r="A3" s="3"/>
      <c r="B3" s="3"/>
      <c r="C3" s="4"/>
      <c r="D3" s="4"/>
      <c r="E3" s="4"/>
      <c r="F3" s="4"/>
      <c r="G3" s="4"/>
      <c r="H3" s="4"/>
      <c r="I3" s="4"/>
      <c r="J3" s="4"/>
      <c r="K3" s="4"/>
      <c r="L3" s="4"/>
      <c r="M3" s="5" t="str">
        <f>V.COPYRIGHT</f>
        <v>©EIOPA, 2026.</v>
      </c>
      <c r="N3" s="4"/>
    </row>
    <row r="4" spans="1:15" x14ac:dyDescent="0.35">
      <c r="A4" s="1"/>
    </row>
    <row r="6" spans="1:15" ht="20" thickBot="1" x14ac:dyDescent="0.5">
      <c r="F6" s="6" t="s">
        <v>14</v>
      </c>
      <c r="G6" s="6"/>
      <c r="H6" s="6"/>
      <c r="I6" s="6"/>
      <c r="J6" s="6"/>
      <c r="K6" s="6"/>
      <c r="L6" s="6"/>
      <c r="M6" s="6"/>
    </row>
    <row r="7" spans="1:15" ht="15" thickTop="1" x14ac:dyDescent="0.35"/>
    <row r="8" spans="1:15" ht="15" customHeight="1" thickBot="1" x14ac:dyDescent="0.4">
      <c r="F8" s="7"/>
      <c r="G8" s="62"/>
      <c r="H8" s="62" t="s">
        <v>15</v>
      </c>
      <c r="K8" s="63"/>
      <c r="L8" s="64" t="s">
        <v>18</v>
      </c>
    </row>
    <row r="9" spans="1:15" x14ac:dyDescent="0.35">
      <c r="F9" s="7"/>
    </row>
    <row r="10" spans="1:15" x14ac:dyDescent="0.35">
      <c r="F10" s="7"/>
      <c r="G10" s="16" t="s">
        <v>16</v>
      </c>
      <c r="H10" s="33">
        <f>ROUND(85% * V.RCS_CU, 4)</f>
        <v>8.5000000000000006E-3</v>
      </c>
      <c r="K10" s="12"/>
      <c r="L10" s="26">
        <v>500000</v>
      </c>
      <c r="N10" s="7"/>
    </row>
    <row r="11" spans="1:15" x14ac:dyDescent="0.35">
      <c r="F11" s="7"/>
      <c r="K11" s="12"/>
      <c r="L11" s="26">
        <v>490000</v>
      </c>
      <c r="N11" s="7"/>
    </row>
    <row r="12" spans="1:15" x14ac:dyDescent="0.35">
      <c r="F12" s="7"/>
      <c r="G12" s="23"/>
      <c r="H12" s="7"/>
      <c r="K12" s="12"/>
      <c r="L12" s="51">
        <f>(V.MVFI-V.MVFI_NOTIONAL)/V.NOTIONAL_VA</f>
        <v>1176470.588235294</v>
      </c>
      <c r="N12" s="7"/>
    </row>
    <row r="13" spans="1:15" x14ac:dyDescent="0.35">
      <c r="F13" s="7"/>
      <c r="K13" s="12"/>
      <c r="L13" s="26">
        <v>870000</v>
      </c>
      <c r="N13" s="7"/>
    </row>
    <row r="14" spans="1:15" x14ac:dyDescent="0.35">
      <c r="F14" s="7"/>
      <c r="K14" s="12"/>
      <c r="L14" s="26">
        <v>850000</v>
      </c>
      <c r="N14" s="7"/>
    </row>
    <row r="15" spans="1:15" x14ac:dyDescent="0.35">
      <c r="F15" s="7"/>
      <c r="K15" s="12"/>
      <c r="L15" s="52">
        <f>(V.BEL-V.BEL_NOTIONAL)/V.NOTIONAL_VA</f>
        <v>2352941.176470588</v>
      </c>
      <c r="N15" s="7"/>
      <c r="O15" s="7"/>
    </row>
    <row r="16" spans="1:15" x14ac:dyDescent="0.35">
      <c r="F16" s="7"/>
      <c r="K16" s="12" t="s">
        <v>19</v>
      </c>
      <c r="L16" s="53">
        <f>IF(V.PVBP_BEL &lt;= 0, 1, MAX(MIN(V.PVBP_MVFI/V.PVBP_BEL, 1), 0))</f>
        <v>0.5</v>
      </c>
      <c r="N16" s="7"/>
      <c r="O16" s="7"/>
    </row>
    <row r="17" spans="6:14" x14ac:dyDescent="0.35">
      <c r="F17" s="7"/>
      <c r="K17" s="7"/>
      <c r="L17" s="7"/>
      <c r="M17" s="7"/>
      <c r="N17" s="7"/>
    </row>
    <row r="18" spans="6:14" ht="15" thickBot="1" x14ac:dyDescent="0.4">
      <c r="F18" s="64" t="s">
        <v>69</v>
      </c>
      <c r="G18" s="58"/>
      <c r="H18" s="62"/>
      <c r="I18" s="58"/>
      <c r="J18" s="58"/>
      <c r="K18" s="63"/>
      <c r="L18" s="63"/>
      <c r="M18" s="7"/>
      <c r="N18" s="7"/>
    </row>
    <row r="19" spans="6:14" x14ac:dyDescent="0.35">
      <c r="F19" s="7"/>
      <c r="H19" s="23"/>
      <c r="I19" s="23"/>
      <c r="K19" s="7"/>
      <c r="L19" s="7"/>
      <c r="M19" s="7"/>
      <c r="N19" s="7"/>
    </row>
    <row r="20" spans="6:14" x14ac:dyDescent="0.35">
      <c r="J20" s="12" t="s">
        <v>32</v>
      </c>
      <c r="K20" s="24" cm="1">
        <f t="array" ref="K20">_xlfn.LET(_xlpm.FIRST_LLFR_FORWARD, INDEX(R.FORWARDS_CC, V.FSP),
     _xlpm.FIRST_LLFR_WEIGHT, INDEX(R.LLFR_WEIGHTS, V.FSP),
     V.LLFR - _xlpm.FIRST_LLFR_WEIGHT * _xlpm.FIRST_LLFR_FORWARD + _xlpm.FIRST_LLFR_WEIGHT * INDEX(R.NOTIONAL_VA_CURVE, V.FSP))</f>
        <v>3.5042017154306604E-2</v>
      </c>
      <c r="L20" s="7"/>
      <c r="M20" s="7"/>
      <c r="N20" s="7"/>
    </row>
    <row r="21" spans="6:14" x14ac:dyDescent="0.35">
      <c r="F21" s="7"/>
      <c r="H21" s="23"/>
      <c r="I21" s="23"/>
    </row>
    <row r="22" spans="6:14" x14ac:dyDescent="0.35">
      <c r="F22" s="7"/>
      <c r="H22" s="23"/>
    </row>
    <row r="23" spans="6:14" ht="29" x14ac:dyDescent="0.35">
      <c r="G23" s="37" t="s">
        <v>13</v>
      </c>
      <c r="H23" s="37" t="s">
        <v>43</v>
      </c>
      <c r="I23" s="37" t="s">
        <v>89</v>
      </c>
      <c r="J23" s="85" t="s">
        <v>93</v>
      </c>
      <c r="K23" s="37" t="s">
        <v>90</v>
      </c>
      <c r="L23" s="11" t="s">
        <v>17</v>
      </c>
    </row>
    <row r="24" spans="6:14" x14ac:dyDescent="0.35">
      <c r="G24" s="7">
        <v>1</v>
      </c>
      <c r="H24" s="24" cm="1">
        <f t="array" ref="H24:H173">R.BASIC_RFR</f>
        <v>2.0760000000000001E-2</v>
      </c>
      <c r="I24" s="29">
        <f>LN(1+H24)</f>
        <v>2.0547447887660109E-2</v>
      </c>
      <c r="J24" s="29">
        <f>I24</f>
        <v>2.0547447887660109E-2</v>
      </c>
      <c r="K24" s="29">
        <f t="shared" ref="K24:K55" si="0">J24+LN(1+V.NOTIONAL_VA)</f>
        <v>2.9011526299789474E-2</v>
      </c>
      <c r="L24" s="30" cm="1">
        <f t="array" ref="L24:L173">ROUND(Extrapolation(R.NOTIONAL_VA_CURVE,"F", V.FSP,V.UFR,V.NOTIONAL_VA_LLFR,V.ALPHA,"A"), 5)</f>
        <v>2.9440000000000001E-2</v>
      </c>
    </row>
    <row r="25" spans="6:14" x14ac:dyDescent="0.35">
      <c r="G25" s="7">
        <v>2</v>
      </c>
      <c r="H25" s="24">
        <v>2.163E-2</v>
      </c>
      <c r="I25" s="29">
        <f t="shared" ref="I25:I88" si="1">LN(1+H25)</f>
        <v>2.139939100589016E-2</v>
      </c>
      <c r="J25" s="29">
        <f>G25*I25-G24*I24</f>
        <v>2.2251334124120212E-2</v>
      </c>
      <c r="K25" s="29">
        <f t="shared" si="0"/>
        <v>3.0715412536249577E-2</v>
      </c>
      <c r="L25" s="31">
        <v>3.031E-2</v>
      </c>
    </row>
    <row r="26" spans="6:14" x14ac:dyDescent="0.35">
      <c r="G26" s="7">
        <v>3</v>
      </c>
      <c r="H26" s="24">
        <v>2.283E-2</v>
      </c>
      <c r="I26" s="29">
        <f t="shared" si="1"/>
        <v>2.2573295252297509E-2</v>
      </c>
      <c r="J26" s="29">
        <f t="shared" ref="J26:J89" si="2">G26*I26-G25*I25</f>
        <v>2.4921103745112208E-2</v>
      </c>
      <c r="K26" s="29">
        <f t="shared" si="0"/>
        <v>3.3385182157241573E-2</v>
      </c>
      <c r="L26" s="31">
        <v>3.1519999999999999E-2</v>
      </c>
    </row>
    <row r="27" spans="6:14" x14ac:dyDescent="0.35">
      <c r="G27" s="2">
        <v>4</v>
      </c>
      <c r="H27" s="25">
        <v>2.3859999999999999E-2</v>
      </c>
      <c r="I27" s="29">
        <f t="shared" si="1"/>
        <v>2.3579798520455796E-2</v>
      </c>
      <c r="J27" s="29">
        <f t="shared" si="2"/>
        <v>2.6599308324930654E-2</v>
      </c>
      <c r="K27" s="29">
        <f t="shared" si="0"/>
        <v>3.5063386737060019E-2</v>
      </c>
      <c r="L27" s="31">
        <v>3.2559999999999999E-2</v>
      </c>
    </row>
    <row r="28" spans="6:14" x14ac:dyDescent="0.35">
      <c r="G28" s="2">
        <v>5</v>
      </c>
      <c r="H28" s="25">
        <v>2.479E-2</v>
      </c>
      <c r="I28" s="29">
        <f t="shared" si="1"/>
        <v>2.448771355121664E-2</v>
      </c>
      <c r="J28" s="29">
        <f t="shared" si="2"/>
        <v>2.8119373674260012E-2</v>
      </c>
      <c r="K28" s="29">
        <f t="shared" si="0"/>
        <v>3.6583452086389377E-2</v>
      </c>
      <c r="L28" s="31">
        <v>3.3500000000000002E-2</v>
      </c>
    </row>
    <row r="29" spans="6:14" x14ac:dyDescent="0.35">
      <c r="G29" s="7">
        <v>6</v>
      </c>
      <c r="H29" s="24">
        <v>2.5649999999999999E-2</v>
      </c>
      <c r="I29" s="29">
        <f t="shared" si="1"/>
        <v>2.5326557946008802E-2</v>
      </c>
      <c r="J29" s="29">
        <f t="shared" si="2"/>
        <v>2.9520779919969625E-2</v>
      </c>
      <c r="K29" s="29">
        <f t="shared" si="0"/>
        <v>3.798485833209899E-2</v>
      </c>
      <c r="L29" s="31">
        <v>3.4369999999999998E-2</v>
      </c>
    </row>
    <row r="30" spans="6:14" x14ac:dyDescent="0.35">
      <c r="G30" s="7">
        <v>7</v>
      </c>
      <c r="H30" s="24">
        <v>2.6509999999999999E-2</v>
      </c>
      <c r="I30" s="29">
        <f t="shared" si="1"/>
        <v>2.6164699270607803E-2</v>
      </c>
      <c r="J30" s="29">
        <f t="shared" si="2"/>
        <v>3.1193547218201806E-2</v>
      </c>
      <c r="K30" s="29">
        <f t="shared" si="0"/>
        <v>3.9657625630331171E-2</v>
      </c>
      <c r="L30" s="31">
        <v>3.524E-2</v>
      </c>
    </row>
    <row r="31" spans="6:14" x14ac:dyDescent="0.35">
      <c r="G31" s="7">
        <v>8</v>
      </c>
      <c r="H31" s="24">
        <v>2.724E-2</v>
      </c>
      <c r="I31" s="29">
        <f t="shared" si="1"/>
        <v>2.6875594005354799E-2</v>
      </c>
      <c r="J31" s="29">
        <f t="shared" si="2"/>
        <v>3.1851857148583768E-2</v>
      </c>
      <c r="K31" s="29">
        <f t="shared" si="0"/>
        <v>4.0315935560713133E-2</v>
      </c>
      <c r="L31" s="31">
        <v>3.5970000000000002E-2</v>
      </c>
    </row>
    <row r="32" spans="6:14" x14ac:dyDescent="0.35">
      <c r="G32" s="2">
        <v>9</v>
      </c>
      <c r="H32" s="25">
        <v>2.793E-2</v>
      </c>
      <c r="I32" s="29">
        <f t="shared" si="1"/>
        <v>2.7547071329299563E-2</v>
      </c>
      <c r="J32" s="29">
        <f t="shared" si="2"/>
        <v>3.2918889920857675E-2</v>
      </c>
      <c r="K32" s="29">
        <f t="shared" si="0"/>
        <v>4.138296833298704E-2</v>
      </c>
      <c r="L32" s="31">
        <v>3.6670000000000001E-2</v>
      </c>
    </row>
    <row r="33" spans="7:12" x14ac:dyDescent="0.35">
      <c r="G33" s="2">
        <v>10</v>
      </c>
      <c r="H33" s="25">
        <v>2.8629999999999999E-2</v>
      </c>
      <c r="I33" s="29">
        <f t="shared" si="1"/>
        <v>2.8227819789867374E-2</v>
      </c>
      <c r="J33" s="29">
        <f t="shared" si="2"/>
        <v>3.4354555934977687E-2</v>
      </c>
      <c r="K33" s="29">
        <f t="shared" si="0"/>
        <v>4.2818634347107053E-2</v>
      </c>
      <c r="L33" s="31">
        <v>3.737E-2</v>
      </c>
    </row>
    <row r="34" spans="7:12" x14ac:dyDescent="0.35">
      <c r="G34" s="7">
        <v>11</v>
      </c>
      <c r="H34" s="24">
        <v>2.921E-2</v>
      </c>
      <c r="I34" s="29">
        <f t="shared" si="1"/>
        <v>2.8791517662742034E-2</v>
      </c>
      <c r="J34" s="29">
        <f t="shared" si="2"/>
        <v>3.4428496391488594E-2</v>
      </c>
      <c r="K34" s="29">
        <f t="shared" si="0"/>
        <v>4.289257480361796E-2</v>
      </c>
      <c r="L34" s="31">
        <v>3.7960000000000001E-2</v>
      </c>
    </row>
    <row r="35" spans="7:12" x14ac:dyDescent="0.35">
      <c r="G35" s="7">
        <v>12</v>
      </c>
      <c r="H35" s="24">
        <v>2.9749999999999999E-2</v>
      </c>
      <c r="I35" s="29">
        <f t="shared" si="1"/>
        <v>2.9316054334053016E-2</v>
      </c>
      <c r="J35" s="29">
        <f t="shared" si="2"/>
        <v>3.5085957718473837E-2</v>
      </c>
      <c r="K35" s="29">
        <f t="shared" si="0"/>
        <v>4.3550036130603202E-2</v>
      </c>
      <c r="L35" s="31">
        <v>3.85E-2</v>
      </c>
    </row>
    <row r="36" spans="7:12" x14ac:dyDescent="0.35">
      <c r="G36" s="7">
        <v>13</v>
      </c>
      <c r="H36" s="24">
        <v>3.0329999999999999E-2</v>
      </c>
      <c r="I36" s="29">
        <f t="shared" si="1"/>
        <v>2.9879139277671531E-2</v>
      </c>
      <c r="J36" s="29">
        <f t="shared" si="2"/>
        <v>3.6636158601093705E-2</v>
      </c>
      <c r="K36" s="29">
        <f t="shared" si="0"/>
        <v>4.510023701322307E-2</v>
      </c>
      <c r="L36" s="31">
        <v>3.909E-2</v>
      </c>
    </row>
    <row r="37" spans="7:12" x14ac:dyDescent="0.35">
      <c r="G37" s="2">
        <v>14</v>
      </c>
      <c r="H37" s="25">
        <v>3.073E-2</v>
      </c>
      <c r="I37" s="29">
        <f t="shared" si="1"/>
        <v>3.0267289069547523E-2</v>
      </c>
      <c r="J37" s="29">
        <f t="shared" si="2"/>
        <v>3.5313236363935463E-2</v>
      </c>
      <c r="K37" s="29">
        <f t="shared" si="0"/>
        <v>4.3777314776064828E-2</v>
      </c>
      <c r="L37" s="31">
        <v>3.9489999999999997E-2</v>
      </c>
    </row>
    <row r="38" spans="7:12" x14ac:dyDescent="0.35">
      <c r="G38" s="2">
        <v>15</v>
      </c>
      <c r="H38" s="25">
        <v>3.107E-2</v>
      </c>
      <c r="I38" s="29">
        <f t="shared" si="1"/>
        <v>3.0597097977377509E-2</v>
      </c>
      <c r="J38" s="29">
        <f t="shared" si="2"/>
        <v>3.521442268699726E-2</v>
      </c>
      <c r="K38" s="29">
        <f t="shared" si="0"/>
        <v>4.3678501099126625E-2</v>
      </c>
      <c r="L38" s="31">
        <v>3.9829999999999997E-2</v>
      </c>
    </row>
    <row r="39" spans="7:12" x14ac:dyDescent="0.35">
      <c r="G39" s="7">
        <v>16</v>
      </c>
      <c r="H39" s="24">
        <v>3.1329999999999997E-2</v>
      </c>
      <c r="I39" s="29">
        <f t="shared" si="1"/>
        <v>3.084923141548605E-2</v>
      </c>
      <c r="J39" s="29">
        <f t="shared" si="2"/>
        <v>3.463123298711418E-2</v>
      </c>
      <c r="K39" s="29">
        <f t="shared" si="0"/>
        <v>4.3095311399243545E-2</v>
      </c>
      <c r="L39" s="31">
        <v>4.0099999999999997E-2</v>
      </c>
    </row>
    <row r="40" spans="7:12" x14ac:dyDescent="0.35">
      <c r="G40" s="7">
        <v>17</v>
      </c>
      <c r="H40" s="24">
        <v>3.1550000000000002E-2</v>
      </c>
      <c r="I40" s="29">
        <f t="shared" si="1"/>
        <v>3.1062525451817733E-2</v>
      </c>
      <c r="J40" s="29">
        <f t="shared" si="2"/>
        <v>3.4475230033124638E-2</v>
      </c>
      <c r="K40" s="29">
        <f t="shared" si="0"/>
        <v>4.2939308445254003E-2</v>
      </c>
      <c r="L40" s="31">
        <v>4.0320000000000002E-2</v>
      </c>
    </row>
    <row r="41" spans="7:12" x14ac:dyDescent="0.35">
      <c r="G41" s="7">
        <v>18</v>
      </c>
      <c r="H41" s="24">
        <v>3.175E-2</v>
      </c>
      <c r="I41" s="29">
        <f t="shared" si="1"/>
        <v>3.1256389650554092E-2</v>
      </c>
      <c r="J41" s="29">
        <f t="shared" si="2"/>
        <v>3.4552081029072257E-2</v>
      </c>
      <c r="K41" s="29">
        <f t="shared" si="0"/>
        <v>4.3016159441201622E-2</v>
      </c>
      <c r="L41" s="31">
        <v>4.052E-2</v>
      </c>
    </row>
    <row r="42" spans="7:12" x14ac:dyDescent="0.35">
      <c r="G42" s="2">
        <v>19</v>
      </c>
      <c r="H42" s="25">
        <v>3.193E-2</v>
      </c>
      <c r="I42" s="29">
        <f t="shared" si="1"/>
        <v>3.1430835301484994E-2</v>
      </c>
      <c r="J42" s="29">
        <f t="shared" si="2"/>
        <v>3.4570857018241252E-2</v>
      </c>
      <c r="K42" s="29">
        <f t="shared" si="0"/>
        <v>4.3034935430370617E-2</v>
      </c>
      <c r="L42" s="31">
        <v>4.07E-2</v>
      </c>
    </row>
    <row r="43" spans="7:12" x14ac:dyDescent="0.35">
      <c r="G43" s="2">
        <v>20</v>
      </c>
      <c r="H43" s="25">
        <v>3.209E-2</v>
      </c>
      <c r="I43" s="29">
        <f t="shared" si="1"/>
        <v>3.1585872559186393E-2</v>
      </c>
      <c r="J43" s="29">
        <f t="shared" si="2"/>
        <v>3.4531580455512856E-2</v>
      </c>
      <c r="K43" s="29">
        <f t="shared" si="0"/>
        <v>4.2995658867642221E-2</v>
      </c>
      <c r="L43" s="31">
        <v>4.086E-2</v>
      </c>
    </row>
    <row r="44" spans="7:12" x14ac:dyDescent="0.35">
      <c r="G44" s="7">
        <v>21</v>
      </c>
      <c r="H44" s="24">
        <v>3.2120000000000003E-2</v>
      </c>
      <c r="I44" s="29">
        <f t="shared" si="1"/>
        <v>3.1614939369251346E-2</v>
      </c>
      <c r="J44" s="29">
        <f t="shared" si="2"/>
        <v>3.2196275570550492E-2</v>
      </c>
      <c r="K44" s="29">
        <f t="shared" si="0"/>
        <v>4.0660353982679857E-2</v>
      </c>
      <c r="L44" s="31">
        <v>4.061E-2</v>
      </c>
    </row>
    <row r="45" spans="7:12" x14ac:dyDescent="0.35">
      <c r="G45" s="7">
        <v>22</v>
      </c>
      <c r="H45" s="24">
        <v>3.2149999999999998E-2</v>
      </c>
      <c r="I45" s="29">
        <f t="shared" si="1"/>
        <v>3.1644005334461406E-2</v>
      </c>
      <c r="J45" s="29">
        <f t="shared" si="2"/>
        <v>3.2254390603872585E-2</v>
      </c>
      <c r="K45" s="29">
        <f t="shared" si="0"/>
        <v>4.071846901600195E-2</v>
      </c>
      <c r="L45" s="31">
        <v>4.036E-2</v>
      </c>
    </row>
    <row r="46" spans="7:12" x14ac:dyDescent="0.35">
      <c r="G46" s="7">
        <v>23</v>
      </c>
      <c r="H46" s="24">
        <v>3.218E-2</v>
      </c>
      <c r="I46" s="29">
        <f t="shared" si="1"/>
        <v>3.1673070454865906E-2</v>
      </c>
      <c r="J46" s="29">
        <f t="shared" si="2"/>
        <v>3.2312503103764989E-2</v>
      </c>
      <c r="K46" s="29">
        <f t="shared" si="0"/>
        <v>4.0776581515894354E-2</v>
      </c>
      <c r="L46" s="31">
        <v>4.0129999999999999E-2</v>
      </c>
    </row>
    <row r="47" spans="7:12" x14ac:dyDescent="0.35">
      <c r="G47" s="2">
        <v>24</v>
      </c>
      <c r="H47" s="25">
        <v>3.2210000000000003E-2</v>
      </c>
      <c r="I47" s="29">
        <f t="shared" si="1"/>
        <v>3.1702134730513518E-2</v>
      </c>
      <c r="J47" s="29">
        <f t="shared" si="2"/>
        <v>3.237061307040856E-2</v>
      </c>
      <c r="K47" s="29">
        <f t="shared" si="0"/>
        <v>4.0834691482537926E-2</v>
      </c>
      <c r="L47" s="31">
        <v>3.9910000000000001E-2</v>
      </c>
    </row>
    <row r="48" spans="7:12" x14ac:dyDescent="0.35">
      <c r="G48" s="2">
        <v>25</v>
      </c>
      <c r="H48" s="25">
        <v>3.2239999999999998E-2</v>
      </c>
      <c r="I48" s="29">
        <f t="shared" si="1"/>
        <v>3.1731198161453561E-2</v>
      </c>
      <c r="J48" s="29">
        <f t="shared" si="2"/>
        <v>3.2428720504014574E-2</v>
      </c>
      <c r="K48" s="29">
        <f t="shared" si="0"/>
        <v>4.089279891614394E-2</v>
      </c>
      <c r="L48" s="31">
        <v>3.9699999999999999E-2</v>
      </c>
    </row>
    <row r="49" spans="7:12" x14ac:dyDescent="0.35">
      <c r="G49" s="7">
        <v>26</v>
      </c>
      <c r="H49" s="24">
        <v>3.2259999999999997E-2</v>
      </c>
      <c r="I49" s="29">
        <f t="shared" si="1"/>
        <v>3.1750573312822446E-2</v>
      </c>
      <c r="J49" s="29">
        <f t="shared" si="2"/>
        <v>3.2234952097044633E-2</v>
      </c>
      <c r="K49" s="29">
        <f t="shared" si="0"/>
        <v>4.0699030509173999E-2</v>
      </c>
      <c r="L49" s="31">
        <v>3.95E-2</v>
      </c>
    </row>
    <row r="50" spans="7:12" x14ac:dyDescent="0.35">
      <c r="G50" s="7">
        <v>27</v>
      </c>
      <c r="H50" s="24">
        <v>3.2289999999999999E-2</v>
      </c>
      <c r="I50" s="29">
        <f t="shared" si="1"/>
        <v>3.1779635336025652E-2</v>
      </c>
      <c r="J50" s="29">
        <f t="shared" si="2"/>
        <v>3.2535247939308953E-2</v>
      </c>
      <c r="K50" s="29">
        <f t="shared" si="0"/>
        <v>4.0999326351438319E-2</v>
      </c>
      <c r="L50" s="31">
        <v>3.9300000000000002E-2</v>
      </c>
    </row>
    <row r="51" spans="7:12" x14ac:dyDescent="0.35">
      <c r="G51" s="7">
        <v>28</v>
      </c>
      <c r="H51" s="24">
        <v>3.2309999999999998E-2</v>
      </c>
      <c r="I51" s="29">
        <f t="shared" si="1"/>
        <v>3.1799009548948987E-2</v>
      </c>
      <c r="J51" s="29">
        <f t="shared" si="2"/>
        <v>3.232211329787904E-2</v>
      </c>
      <c r="K51" s="29">
        <f t="shared" si="0"/>
        <v>4.0786191710008406E-2</v>
      </c>
      <c r="L51" s="31">
        <v>3.9120000000000002E-2</v>
      </c>
    </row>
    <row r="52" spans="7:12" x14ac:dyDescent="0.35">
      <c r="G52" s="2">
        <v>29</v>
      </c>
      <c r="H52" s="25">
        <v>3.2329999999999998E-2</v>
      </c>
      <c r="I52" s="29">
        <f t="shared" si="1"/>
        <v>3.1818383386519246E-2</v>
      </c>
      <c r="J52" s="29">
        <f t="shared" si="2"/>
        <v>3.2360850838486499E-2</v>
      </c>
      <c r="K52" s="29">
        <f t="shared" si="0"/>
        <v>4.0824929250615864E-2</v>
      </c>
      <c r="L52" s="31">
        <v>3.8940000000000002E-2</v>
      </c>
    </row>
    <row r="53" spans="7:12" x14ac:dyDescent="0.35">
      <c r="G53" s="2">
        <v>30</v>
      </c>
      <c r="H53" s="25">
        <v>3.2349999999999997E-2</v>
      </c>
      <c r="I53" s="29">
        <f t="shared" si="1"/>
        <v>3.1837756848751418E-2</v>
      </c>
      <c r="J53" s="29">
        <f t="shared" si="2"/>
        <v>3.2399587253484463E-2</v>
      </c>
      <c r="K53" s="29">
        <f t="shared" si="0"/>
        <v>4.0863665665613828E-2</v>
      </c>
      <c r="L53" s="31">
        <v>3.8780000000000002E-2</v>
      </c>
    </row>
    <row r="54" spans="7:12" x14ac:dyDescent="0.35">
      <c r="G54" s="7">
        <v>31</v>
      </c>
      <c r="H54" s="24">
        <v>3.2370000000000003E-2</v>
      </c>
      <c r="I54" s="29">
        <f t="shared" si="1"/>
        <v>3.1857129935659603E-2</v>
      </c>
      <c r="J54" s="29">
        <f t="shared" si="2"/>
        <v>3.2438322542905129E-2</v>
      </c>
      <c r="K54" s="29">
        <f t="shared" si="0"/>
        <v>4.0902400955034494E-2</v>
      </c>
      <c r="L54" s="31">
        <v>3.8620000000000002E-2</v>
      </c>
    </row>
    <row r="55" spans="7:12" x14ac:dyDescent="0.35">
      <c r="G55" s="7">
        <v>32</v>
      </c>
      <c r="H55" s="24">
        <v>3.2379999999999999E-2</v>
      </c>
      <c r="I55" s="29">
        <f t="shared" si="1"/>
        <v>3.1866816338371934E-2</v>
      </c>
      <c r="J55" s="29">
        <f t="shared" si="2"/>
        <v>3.2167094822454168E-2</v>
      </c>
      <c r="K55" s="29">
        <f t="shared" si="0"/>
        <v>4.0631173234583533E-2</v>
      </c>
      <c r="L55" s="31">
        <v>3.8460000000000001E-2</v>
      </c>
    </row>
    <row r="56" spans="7:12" x14ac:dyDescent="0.35">
      <c r="G56" s="7">
        <v>33</v>
      </c>
      <c r="H56" s="24">
        <v>3.2399999999999998E-2</v>
      </c>
      <c r="I56" s="29">
        <f t="shared" si="1"/>
        <v>3.1886188862321731E-2</v>
      </c>
      <c r="J56" s="29">
        <f t="shared" si="2"/>
        <v>3.2506109628715141E-2</v>
      </c>
      <c r="K56" s="29">
        <f t="shared" ref="K56:K87" si="3">J56+LN(1+V.NOTIONAL_VA)</f>
        <v>4.0970188040844506E-2</v>
      </c>
      <c r="L56" s="31">
        <v>3.832E-2</v>
      </c>
    </row>
    <row r="57" spans="7:12" x14ac:dyDescent="0.35">
      <c r="G57" s="2">
        <v>34</v>
      </c>
      <c r="H57" s="25">
        <v>3.2419999999999997E-2</v>
      </c>
      <c r="I57" s="29">
        <f t="shared" si="1"/>
        <v>3.1905561010984122E-2</v>
      </c>
      <c r="J57" s="29">
        <f t="shared" si="2"/>
        <v>3.2544841916843037E-2</v>
      </c>
      <c r="K57" s="29">
        <f t="shared" si="3"/>
        <v>4.1008920328972402E-2</v>
      </c>
      <c r="L57" s="31">
        <v>3.8179999999999999E-2</v>
      </c>
    </row>
    <row r="58" spans="7:12" x14ac:dyDescent="0.35">
      <c r="G58" s="2">
        <v>35</v>
      </c>
      <c r="H58" s="25">
        <v>3.243E-2</v>
      </c>
      <c r="I58" s="29">
        <f t="shared" si="1"/>
        <v>3.1915246944587181E-2</v>
      </c>
      <c r="J58" s="29">
        <f t="shared" si="2"/>
        <v>3.2244568687091357E-2</v>
      </c>
      <c r="K58" s="29">
        <f t="shared" si="3"/>
        <v>4.0708647099220722E-2</v>
      </c>
      <c r="L58" s="31">
        <v>3.805E-2</v>
      </c>
    </row>
    <row r="59" spans="7:12" x14ac:dyDescent="0.35">
      <c r="G59" s="7">
        <v>36</v>
      </c>
      <c r="H59" s="24">
        <v>3.245E-2</v>
      </c>
      <c r="I59" s="29">
        <f t="shared" si="1"/>
        <v>3.1934618530345925E-2</v>
      </c>
      <c r="J59" s="29">
        <f t="shared" si="2"/>
        <v>3.2612624031901793E-2</v>
      </c>
      <c r="K59" s="29">
        <f t="shared" si="3"/>
        <v>4.1076702444031159E-2</v>
      </c>
      <c r="L59" s="31">
        <v>3.7920000000000002E-2</v>
      </c>
    </row>
    <row r="60" spans="7:12" x14ac:dyDescent="0.35">
      <c r="G60" s="7">
        <v>37</v>
      </c>
      <c r="H60" s="24">
        <v>3.2460000000000003E-2</v>
      </c>
      <c r="I60" s="29">
        <f t="shared" si="1"/>
        <v>3.1944304182505025E-2</v>
      </c>
      <c r="J60" s="29">
        <f t="shared" si="2"/>
        <v>3.2292987660232697E-2</v>
      </c>
      <c r="K60" s="29">
        <f t="shared" si="3"/>
        <v>4.0757066072362062E-2</v>
      </c>
      <c r="L60" s="31">
        <v>3.78E-2</v>
      </c>
    </row>
    <row r="61" spans="7:12" x14ac:dyDescent="0.35">
      <c r="G61" s="7">
        <v>38</v>
      </c>
      <c r="H61" s="24">
        <v>3.2469999999999999E-2</v>
      </c>
      <c r="I61" s="29">
        <f t="shared" si="1"/>
        <v>3.1953989740853388E-2</v>
      </c>
      <c r="J61" s="29">
        <f t="shared" si="2"/>
        <v>3.2312355399742865E-2</v>
      </c>
      <c r="K61" s="29">
        <f t="shared" si="3"/>
        <v>4.077643381187223E-2</v>
      </c>
      <c r="L61" s="31">
        <v>3.7679999999999998E-2</v>
      </c>
    </row>
    <row r="62" spans="7:12" x14ac:dyDescent="0.35">
      <c r="G62" s="2">
        <v>39</v>
      </c>
      <c r="H62" s="25">
        <v>3.2489999999999998E-2</v>
      </c>
      <c r="I62" s="29">
        <f t="shared" si="1"/>
        <v>3.1973360576124321E-2</v>
      </c>
      <c r="J62" s="29">
        <f t="shared" si="2"/>
        <v>3.2709452316419751E-2</v>
      </c>
      <c r="K62" s="29">
        <f t="shared" si="3"/>
        <v>4.1173530728549117E-2</v>
      </c>
      <c r="L62" s="31">
        <v>3.7569999999999999E-2</v>
      </c>
    </row>
    <row r="63" spans="7:12" x14ac:dyDescent="0.35">
      <c r="G63" s="2">
        <v>40</v>
      </c>
      <c r="H63" s="25">
        <v>3.2500000000000001E-2</v>
      </c>
      <c r="I63" s="29">
        <f t="shared" si="1"/>
        <v>3.1983045853050743E-2</v>
      </c>
      <c r="J63" s="29">
        <f t="shared" si="2"/>
        <v>3.2360771653181075E-2</v>
      </c>
      <c r="K63" s="29">
        <f t="shared" si="3"/>
        <v>4.082485006531044E-2</v>
      </c>
      <c r="L63" s="31">
        <v>3.746E-2</v>
      </c>
    </row>
    <row r="64" spans="7:12" x14ac:dyDescent="0.35">
      <c r="G64" s="7">
        <v>41</v>
      </c>
      <c r="H64" s="24">
        <v>3.2509999999999997E-2</v>
      </c>
      <c r="I64" s="29">
        <f t="shared" si="1"/>
        <v>3.1992731036173484E-2</v>
      </c>
      <c r="J64" s="29">
        <f t="shared" si="2"/>
        <v>3.2380138361083333E-2</v>
      </c>
      <c r="K64" s="29">
        <f t="shared" si="3"/>
        <v>4.0844216773212698E-2</v>
      </c>
      <c r="L64" s="31">
        <v>3.7359999999999997E-2</v>
      </c>
    </row>
    <row r="65" spans="7:12" x14ac:dyDescent="0.35">
      <c r="G65" s="7">
        <v>42</v>
      </c>
      <c r="H65" s="24">
        <v>3.252E-2</v>
      </c>
      <c r="I65" s="29">
        <f t="shared" si="1"/>
        <v>3.2002416125494357E-2</v>
      </c>
      <c r="J65" s="29">
        <f t="shared" si="2"/>
        <v>3.2399504787649969E-2</v>
      </c>
      <c r="K65" s="29">
        <f t="shared" si="3"/>
        <v>4.0863583199779334E-2</v>
      </c>
      <c r="L65" s="31">
        <v>3.7260000000000001E-2</v>
      </c>
    </row>
    <row r="66" spans="7:12" x14ac:dyDescent="0.35">
      <c r="G66" s="7">
        <v>43</v>
      </c>
      <c r="H66" s="24">
        <v>3.2530000000000003E-2</v>
      </c>
      <c r="I66" s="29">
        <f t="shared" si="1"/>
        <v>3.201210112101497E-2</v>
      </c>
      <c r="J66" s="29">
        <f t="shared" si="2"/>
        <v>3.2418870932880761E-2</v>
      </c>
      <c r="K66" s="29">
        <f t="shared" si="3"/>
        <v>4.0882949345010126E-2</v>
      </c>
      <c r="L66" s="31">
        <v>3.7170000000000002E-2</v>
      </c>
    </row>
    <row r="67" spans="7:12" x14ac:dyDescent="0.35">
      <c r="G67" s="2">
        <v>44</v>
      </c>
      <c r="H67" s="25">
        <v>3.2539999999999999E-2</v>
      </c>
      <c r="I67" s="29">
        <f t="shared" si="1"/>
        <v>3.2021786022737572E-2</v>
      </c>
      <c r="J67" s="29">
        <f t="shared" si="2"/>
        <v>3.2438236796809461E-2</v>
      </c>
      <c r="K67" s="29">
        <f t="shared" si="3"/>
        <v>4.0902315208938826E-2</v>
      </c>
      <c r="L67" s="31">
        <v>3.7080000000000002E-2</v>
      </c>
    </row>
    <row r="68" spans="7:12" x14ac:dyDescent="0.35">
      <c r="G68" s="2">
        <v>45</v>
      </c>
      <c r="H68" s="25">
        <v>3.2550000000000003E-2</v>
      </c>
      <c r="I68" s="29">
        <f t="shared" si="1"/>
        <v>3.2031470830663759E-2</v>
      </c>
      <c r="J68" s="29">
        <f t="shared" si="2"/>
        <v>3.2457602379416084E-2</v>
      </c>
      <c r="K68" s="29">
        <f t="shared" si="3"/>
        <v>4.0921680791545449E-2</v>
      </c>
      <c r="L68" s="31">
        <v>3.6990000000000002E-2</v>
      </c>
    </row>
    <row r="69" spans="7:12" x14ac:dyDescent="0.35">
      <c r="G69" s="7">
        <v>46</v>
      </c>
      <c r="H69" s="24">
        <v>3.2559999999999999E-2</v>
      </c>
      <c r="I69" s="29">
        <f t="shared" si="1"/>
        <v>3.2041155544795127E-2</v>
      </c>
      <c r="J69" s="29">
        <f t="shared" si="2"/>
        <v>3.2476967680706625E-2</v>
      </c>
      <c r="K69" s="29">
        <f t="shared" si="3"/>
        <v>4.0941046092835991E-2</v>
      </c>
      <c r="L69" s="31">
        <v>3.6909999999999998E-2</v>
      </c>
    </row>
    <row r="70" spans="7:12" x14ac:dyDescent="0.35">
      <c r="G70" s="7">
        <v>47</v>
      </c>
      <c r="H70" s="24">
        <v>3.2570000000000002E-2</v>
      </c>
      <c r="I70" s="29">
        <f t="shared" si="1"/>
        <v>3.2050840165133938E-2</v>
      </c>
      <c r="J70" s="29">
        <f t="shared" si="2"/>
        <v>3.2496332700719277E-2</v>
      </c>
      <c r="K70" s="29">
        <f t="shared" si="3"/>
        <v>4.0960411112848642E-2</v>
      </c>
      <c r="L70" s="31">
        <v>3.6830000000000002E-2</v>
      </c>
    </row>
    <row r="71" spans="7:12" x14ac:dyDescent="0.35">
      <c r="G71" s="7">
        <v>48</v>
      </c>
      <c r="H71" s="24">
        <v>3.2579999999999998E-2</v>
      </c>
      <c r="I71" s="29">
        <f t="shared" si="1"/>
        <v>3.2060524691681788E-2</v>
      </c>
      <c r="J71" s="29">
        <f t="shared" si="2"/>
        <v>3.2515697439430724E-2</v>
      </c>
      <c r="K71" s="29">
        <f t="shared" si="3"/>
        <v>4.0979775851560089E-2</v>
      </c>
      <c r="L71" s="31">
        <v>3.6749999999999998E-2</v>
      </c>
    </row>
    <row r="72" spans="7:12" x14ac:dyDescent="0.35">
      <c r="G72" s="2">
        <v>49</v>
      </c>
      <c r="H72" s="25">
        <v>3.2590000000000001E-2</v>
      </c>
      <c r="I72" s="29">
        <f t="shared" si="1"/>
        <v>3.2070209124440273E-2</v>
      </c>
      <c r="J72" s="29">
        <f t="shared" si="2"/>
        <v>3.2535061896847628E-2</v>
      </c>
      <c r="K72" s="29">
        <f t="shared" si="3"/>
        <v>4.0999140308976993E-2</v>
      </c>
      <c r="L72" s="31">
        <v>3.6679999999999997E-2</v>
      </c>
    </row>
    <row r="73" spans="7:12" x14ac:dyDescent="0.35">
      <c r="G73" s="2">
        <v>50</v>
      </c>
      <c r="H73" s="25">
        <v>3.2599999999999997E-2</v>
      </c>
      <c r="I73" s="29">
        <f t="shared" si="1"/>
        <v>3.2079893463411648E-2</v>
      </c>
      <c r="J73" s="29">
        <f t="shared" si="2"/>
        <v>3.2554426073008846E-2</v>
      </c>
      <c r="K73" s="29">
        <f t="shared" si="3"/>
        <v>4.1018504485138212E-2</v>
      </c>
      <c r="L73" s="31">
        <v>3.6609999999999997E-2</v>
      </c>
    </row>
    <row r="74" spans="7:12" x14ac:dyDescent="0.35">
      <c r="G74" s="7">
        <v>51</v>
      </c>
      <c r="H74" s="24">
        <v>3.2599999999999997E-2</v>
      </c>
      <c r="I74" s="29">
        <f t="shared" si="1"/>
        <v>3.2079893463411648E-2</v>
      </c>
      <c r="J74" s="29">
        <f t="shared" si="2"/>
        <v>3.2079893463411668E-2</v>
      </c>
      <c r="K74" s="29">
        <f t="shared" si="3"/>
        <v>4.0543971875541034E-2</v>
      </c>
      <c r="L74" s="31">
        <v>3.6540000000000003E-2</v>
      </c>
    </row>
    <row r="75" spans="7:12" x14ac:dyDescent="0.35">
      <c r="G75" s="7">
        <v>52</v>
      </c>
      <c r="H75" s="24">
        <v>3.261E-2</v>
      </c>
      <c r="I75" s="29">
        <f t="shared" si="1"/>
        <v>3.2089577708597508E-2</v>
      </c>
      <c r="J75" s="29">
        <f t="shared" si="2"/>
        <v>3.2583474213076391E-2</v>
      </c>
      <c r="K75" s="29">
        <f t="shared" si="3"/>
        <v>4.1047552625205756E-2</v>
      </c>
      <c r="L75" s="31">
        <v>3.6470000000000002E-2</v>
      </c>
    </row>
    <row r="76" spans="7:12" x14ac:dyDescent="0.35">
      <c r="G76" s="7">
        <v>53</v>
      </c>
      <c r="H76" s="24">
        <v>3.2620000000000003E-2</v>
      </c>
      <c r="I76" s="29">
        <f t="shared" si="1"/>
        <v>3.2099261859999666E-2</v>
      </c>
      <c r="J76" s="29">
        <f t="shared" si="2"/>
        <v>3.2602837732911949E-2</v>
      </c>
      <c r="K76" s="29">
        <f t="shared" si="3"/>
        <v>4.1066916145041314E-2</v>
      </c>
      <c r="L76" s="31">
        <v>3.6409999999999998E-2</v>
      </c>
    </row>
    <row r="77" spans="7:12" x14ac:dyDescent="0.35">
      <c r="G77" s="2">
        <v>54</v>
      </c>
      <c r="H77" s="25">
        <v>3.2629999999999999E-2</v>
      </c>
      <c r="I77" s="29">
        <f t="shared" si="1"/>
        <v>3.2108945917619737E-2</v>
      </c>
      <c r="J77" s="29">
        <f t="shared" si="2"/>
        <v>3.2622200971483384E-2</v>
      </c>
      <c r="K77" s="29">
        <f t="shared" si="3"/>
        <v>4.1086279383612749E-2</v>
      </c>
      <c r="L77" s="31">
        <v>3.6339999999999997E-2</v>
      </c>
    </row>
    <row r="78" spans="7:12" x14ac:dyDescent="0.35">
      <c r="G78" s="2">
        <v>55</v>
      </c>
      <c r="H78" s="25">
        <v>3.2629999999999999E-2</v>
      </c>
      <c r="I78" s="29">
        <f t="shared" si="1"/>
        <v>3.2108945917619737E-2</v>
      </c>
      <c r="J78" s="29">
        <f t="shared" si="2"/>
        <v>3.2108945917619813E-2</v>
      </c>
      <c r="K78" s="29">
        <f t="shared" si="3"/>
        <v>4.0573024329749179E-2</v>
      </c>
      <c r="L78" s="31">
        <v>3.628E-2</v>
      </c>
    </row>
    <row r="79" spans="7:12" x14ac:dyDescent="0.35">
      <c r="G79" s="7">
        <v>56</v>
      </c>
      <c r="H79" s="24">
        <v>3.2640000000000002E-2</v>
      </c>
      <c r="I79" s="29">
        <f t="shared" si="1"/>
        <v>3.2118629881459949E-2</v>
      </c>
      <c r="J79" s="29">
        <f t="shared" si="2"/>
        <v>3.2651247892671709E-2</v>
      </c>
      <c r="K79" s="29">
        <f t="shared" si="3"/>
        <v>4.1115326304801074E-2</v>
      </c>
      <c r="L79" s="31">
        <v>3.6229999999999998E-2</v>
      </c>
    </row>
    <row r="80" spans="7:12" x14ac:dyDescent="0.35">
      <c r="G80" s="7">
        <v>57</v>
      </c>
      <c r="H80" s="24">
        <v>3.2649999999999998E-2</v>
      </c>
      <c r="I80" s="29">
        <f t="shared" si="1"/>
        <v>3.2128313751521927E-2</v>
      </c>
      <c r="J80" s="29">
        <f t="shared" si="2"/>
        <v>3.2670610474992534E-2</v>
      </c>
      <c r="K80" s="29">
        <f t="shared" si="3"/>
        <v>4.1134688887121899E-2</v>
      </c>
      <c r="L80" s="31">
        <v>3.6170000000000001E-2</v>
      </c>
    </row>
    <row r="81" spans="7:12" x14ac:dyDescent="0.35">
      <c r="G81" s="7">
        <v>58</v>
      </c>
      <c r="H81" s="24">
        <v>3.2649999999999998E-2</v>
      </c>
      <c r="I81" s="29">
        <f t="shared" si="1"/>
        <v>3.2128313751521927E-2</v>
      </c>
      <c r="J81" s="29">
        <f t="shared" si="2"/>
        <v>3.2128313751522031E-2</v>
      </c>
      <c r="K81" s="29">
        <f t="shared" si="3"/>
        <v>4.0592392163651396E-2</v>
      </c>
      <c r="L81" s="31">
        <v>3.6119999999999999E-2</v>
      </c>
    </row>
    <row r="82" spans="7:12" x14ac:dyDescent="0.35">
      <c r="G82" s="2">
        <v>59</v>
      </c>
      <c r="H82" s="25">
        <v>3.2660000000000002E-2</v>
      </c>
      <c r="I82" s="29">
        <f t="shared" si="1"/>
        <v>3.2137997527807251E-2</v>
      </c>
      <c r="J82" s="29">
        <f t="shared" si="2"/>
        <v>3.2699656552356071E-2</v>
      </c>
      <c r="K82" s="29">
        <f t="shared" si="3"/>
        <v>4.1163734964485436E-2</v>
      </c>
      <c r="L82" s="31">
        <v>3.6060000000000002E-2</v>
      </c>
    </row>
    <row r="83" spans="7:12" x14ac:dyDescent="0.35">
      <c r="G83" s="2">
        <v>60</v>
      </c>
      <c r="H83" s="25">
        <v>3.2660000000000002E-2</v>
      </c>
      <c r="I83" s="29">
        <f t="shared" si="1"/>
        <v>3.2137997527807251E-2</v>
      </c>
      <c r="J83" s="29">
        <f t="shared" si="2"/>
        <v>3.2137997527807105E-2</v>
      </c>
      <c r="K83" s="29">
        <f t="shared" si="3"/>
        <v>4.060207593993647E-2</v>
      </c>
      <c r="L83" s="31">
        <v>3.601E-2</v>
      </c>
    </row>
    <row r="84" spans="7:12" x14ac:dyDescent="0.35">
      <c r="G84" s="7">
        <v>61</v>
      </c>
      <c r="H84" s="24">
        <v>3.2669999999999998E-2</v>
      </c>
      <c r="I84" s="29">
        <f t="shared" si="1"/>
        <v>3.214768121031817E-2</v>
      </c>
      <c r="J84" s="29">
        <f t="shared" si="2"/>
        <v>3.2728702160973455E-2</v>
      </c>
      <c r="K84" s="29">
        <f t="shared" si="3"/>
        <v>4.119278057310282E-2</v>
      </c>
      <c r="L84" s="31">
        <v>3.5959999999999999E-2</v>
      </c>
    </row>
    <row r="85" spans="7:12" x14ac:dyDescent="0.35">
      <c r="G85" s="7">
        <v>62</v>
      </c>
      <c r="H85" s="24">
        <v>3.2669999999999998E-2</v>
      </c>
      <c r="I85" s="29">
        <f t="shared" si="1"/>
        <v>3.214768121031817E-2</v>
      </c>
      <c r="J85" s="29">
        <f t="shared" si="2"/>
        <v>3.214768121031808E-2</v>
      </c>
      <c r="K85" s="29">
        <f t="shared" si="3"/>
        <v>4.0611759622447445E-2</v>
      </c>
      <c r="L85" s="31">
        <v>3.5920000000000001E-2</v>
      </c>
    </row>
    <row r="86" spans="7:12" x14ac:dyDescent="0.35">
      <c r="G86" s="7">
        <v>63</v>
      </c>
      <c r="H86" s="24">
        <v>3.2680000000000001E-2</v>
      </c>
      <c r="I86" s="29">
        <f t="shared" si="1"/>
        <v>3.2157364799056294E-2</v>
      </c>
      <c r="J86" s="29">
        <f t="shared" si="2"/>
        <v>3.2757747300819817E-2</v>
      </c>
      <c r="K86" s="29">
        <f t="shared" si="3"/>
        <v>4.1221825712949182E-2</v>
      </c>
      <c r="L86" s="31">
        <v>3.5869999999999999E-2</v>
      </c>
    </row>
    <row r="87" spans="7:12" x14ac:dyDescent="0.35">
      <c r="G87" s="2">
        <v>64</v>
      </c>
      <c r="H87" s="25">
        <v>3.2680000000000001E-2</v>
      </c>
      <c r="I87" s="29">
        <f t="shared" si="1"/>
        <v>3.2157364799056294E-2</v>
      </c>
      <c r="J87" s="29">
        <f t="shared" si="2"/>
        <v>3.2157364799056509E-2</v>
      </c>
      <c r="K87" s="29">
        <f t="shared" si="3"/>
        <v>4.0621443211185874E-2</v>
      </c>
      <c r="L87" s="31">
        <v>3.5830000000000001E-2</v>
      </c>
    </row>
    <row r="88" spans="7:12" x14ac:dyDescent="0.35">
      <c r="G88" s="2">
        <v>65</v>
      </c>
      <c r="H88" s="25">
        <v>3.2689999999999997E-2</v>
      </c>
      <c r="I88" s="29">
        <f t="shared" si="1"/>
        <v>3.2167048294023441E-2</v>
      </c>
      <c r="J88" s="29">
        <f t="shared" si="2"/>
        <v>3.2786791971920692E-2</v>
      </c>
      <c r="K88" s="29">
        <f t="shared" ref="K88:K119" si="4">J88+LN(1+V.NOTIONAL_VA)</f>
        <v>4.1250870384050058E-2</v>
      </c>
      <c r="L88" s="31">
        <v>3.5779999999999999E-2</v>
      </c>
    </row>
    <row r="89" spans="7:12" x14ac:dyDescent="0.35">
      <c r="G89" s="7">
        <v>66</v>
      </c>
      <c r="H89" s="24">
        <v>3.2689999999999997E-2</v>
      </c>
      <c r="I89" s="29">
        <f t="shared" ref="I89:I152" si="5">LN(1+H89)</f>
        <v>3.2167048294023441E-2</v>
      </c>
      <c r="J89" s="29">
        <f t="shared" si="2"/>
        <v>3.2167048294023726E-2</v>
      </c>
      <c r="K89" s="29">
        <f t="shared" si="4"/>
        <v>4.0631126706153091E-2</v>
      </c>
      <c r="L89" s="31">
        <v>3.5740000000000001E-2</v>
      </c>
    </row>
    <row r="90" spans="7:12" x14ac:dyDescent="0.35">
      <c r="G90" s="7">
        <v>67</v>
      </c>
      <c r="H90" s="24">
        <v>3.27E-2</v>
      </c>
      <c r="I90" s="29">
        <f t="shared" si="5"/>
        <v>3.21767316952212E-2</v>
      </c>
      <c r="J90" s="29">
        <f t="shared" ref="J90:J153" si="6">G90*I90-G89*I89</f>
        <v>3.2815836174273194E-2</v>
      </c>
      <c r="K90" s="29">
        <f t="shared" si="4"/>
        <v>4.1279914586402559E-2</v>
      </c>
      <c r="L90" s="31">
        <v>3.5700000000000003E-2</v>
      </c>
    </row>
    <row r="91" spans="7:12" x14ac:dyDescent="0.35">
      <c r="G91" s="7">
        <v>68</v>
      </c>
      <c r="H91" s="24">
        <v>3.27E-2</v>
      </c>
      <c r="I91" s="29">
        <f t="shared" si="5"/>
        <v>3.21767316952212E-2</v>
      </c>
      <c r="J91" s="29">
        <f t="shared" si="6"/>
        <v>3.2176731695221061E-2</v>
      </c>
      <c r="K91" s="29">
        <f t="shared" si="4"/>
        <v>4.0640810107350427E-2</v>
      </c>
      <c r="L91" s="31">
        <v>3.5659999999999997E-2</v>
      </c>
    </row>
    <row r="92" spans="7:12" x14ac:dyDescent="0.35">
      <c r="G92" s="2">
        <v>69</v>
      </c>
      <c r="H92" s="25">
        <v>3.2710000000000003E-2</v>
      </c>
      <c r="I92" s="29">
        <f t="shared" si="5"/>
        <v>3.2186415002651826E-2</v>
      </c>
      <c r="J92" s="29">
        <f t="shared" si="6"/>
        <v>3.2844879907934388E-2</v>
      </c>
      <c r="K92" s="29">
        <f t="shared" si="4"/>
        <v>4.1308958320063753E-2</v>
      </c>
      <c r="L92" s="31">
        <v>3.5619999999999999E-2</v>
      </c>
    </row>
    <row r="93" spans="7:12" x14ac:dyDescent="0.35">
      <c r="G93" s="2">
        <v>70</v>
      </c>
      <c r="H93" s="25">
        <v>3.2710000000000003E-2</v>
      </c>
      <c r="I93" s="29">
        <f t="shared" si="5"/>
        <v>3.2186415002651826E-2</v>
      </c>
      <c r="J93" s="29">
        <f t="shared" si="6"/>
        <v>3.2186415002652069E-2</v>
      </c>
      <c r="K93" s="29">
        <f t="shared" si="4"/>
        <v>4.0650493414781434E-2</v>
      </c>
      <c r="L93" s="31">
        <v>3.5589999999999997E-2</v>
      </c>
    </row>
    <row r="94" spans="7:12" x14ac:dyDescent="0.35">
      <c r="G94" s="7">
        <v>71</v>
      </c>
      <c r="H94" s="24">
        <v>3.2719999999999999E-2</v>
      </c>
      <c r="I94" s="29">
        <f t="shared" si="5"/>
        <v>3.2196098216316915E-2</v>
      </c>
      <c r="J94" s="29">
        <f t="shared" si="6"/>
        <v>3.2873923172873187E-2</v>
      </c>
      <c r="K94" s="29">
        <f t="shared" si="4"/>
        <v>4.1338001585002553E-2</v>
      </c>
      <c r="L94" s="31">
        <v>3.5549999999999998E-2</v>
      </c>
    </row>
    <row r="95" spans="7:12" x14ac:dyDescent="0.35">
      <c r="G95" s="7">
        <v>72</v>
      </c>
      <c r="H95" s="24">
        <v>3.2719999999999999E-2</v>
      </c>
      <c r="I95" s="29">
        <f t="shared" si="5"/>
        <v>3.2196098216316915E-2</v>
      </c>
      <c r="J95" s="29">
        <f t="shared" si="6"/>
        <v>3.2196098216316749E-2</v>
      </c>
      <c r="K95" s="29">
        <f t="shared" si="4"/>
        <v>4.0660176628446114E-2</v>
      </c>
      <c r="L95" s="31">
        <v>3.551E-2</v>
      </c>
    </row>
    <row r="96" spans="7:12" x14ac:dyDescent="0.35">
      <c r="G96" s="7">
        <v>73</v>
      </c>
      <c r="H96" s="24">
        <v>3.2719999999999999E-2</v>
      </c>
      <c r="I96" s="29">
        <f t="shared" si="5"/>
        <v>3.2196098216316915E-2</v>
      </c>
      <c r="J96" s="29">
        <f t="shared" si="6"/>
        <v>3.2196098216316749E-2</v>
      </c>
      <c r="K96" s="29">
        <f t="shared" si="4"/>
        <v>4.0660176628446114E-2</v>
      </c>
      <c r="L96" s="31">
        <v>3.5479999999999998E-2</v>
      </c>
    </row>
    <row r="97" spans="7:12" x14ac:dyDescent="0.35">
      <c r="G97" s="2">
        <v>74</v>
      </c>
      <c r="H97" s="25">
        <v>3.2730000000000002E-2</v>
      </c>
      <c r="I97" s="29">
        <f t="shared" si="5"/>
        <v>3.220578133621807E-2</v>
      </c>
      <c r="J97" s="29">
        <f t="shared" si="6"/>
        <v>3.2912649089002599E-2</v>
      </c>
      <c r="K97" s="29">
        <f t="shared" si="4"/>
        <v>4.1376727501131964E-2</v>
      </c>
      <c r="L97" s="31">
        <v>3.5450000000000002E-2</v>
      </c>
    </row>
    <row r="98" spans="7:12" x14ac:dyDescent="0.35">
      <c r="G98" s="2">
        <v>75</v>
      </c>
      <c r="H98" s="25">
        <v>3.2730000000000002E-2</v>
      </c>
      <c r="I98" s="29">
        <f t="shared" si="5"/>
        <v>3.220578133621807E-2</v>
      </c>
      <c r="J98" s="29">
        <f t="shared" si="6"/>
        <v>3.2205781336218209E-2</v>
      </c>
      <c r="K98" s="29">
        <f t="shared" si="4"/>
        <v>4.0669859748347574E-2</v>
      </c>
      <c r="L98" s="31">
        <v>3.5409999999999997E-2</v>
      </c>
    </row>
    <row r="99" spans="7:12" x14ac:dyDescent="0.35">
      <c r="G99" s="7">
        <v>76</v>
      </c>
      <c r="H99" s="24">
        <v>3.2730000000000002E-2</v>
      </c>
      <c r="I99" s="29">
        <f t="shared" si="5"/>
        <v>3.220578133621807E-2</v>
      </c>
      <c r="J99" s="29">
        <f t="shared" si="6"/>
        <v>3.2205781336217765E-2</v>
      </c>
      <c r="K99" s="29">
        <f t="shared" si="4"/>
        <v>4.066985974834713E-2</v>
      </c>
      <c r="L99" s="31">
        <v>3.5380000000000002E-2</v>
      </c>
    </row>
    <row r="100" spans="7:12" x14ac:dyDescent="0.35">
      <c r="G100" s="7">
        <v>77</v>
      </c>
      <c r="H100" s="24">
        <v>3.2739999999999998E-2</v>
      </c>
      <c r="I100" s="29">
        <f t="shared" si="5"/>
        <v>3.2215464362357539E-2</v>
      </c>
      <c r="J100" s="29">
        <f t="shared" si="6"/>
        <v>3.2951374348957341E-2</v>
      </c>
      <c r="K100" s="29">
        <f t="shared" si="4"/>
        <v>4.1415452761086706E-2</v>
      </c>
      <c r="L100" s="31">
        <v>3.5349999999999999E-2</v>
      </c>
    </row>
    <row r="101" spans="7:12" x14ac:dyDescent="0.35">
      <c r="G101" s="7">
        <v>78</v>
      </c>
      <c r="H101" s="24">
        <v>3.2739999999999998E-2</v>
      </c>
      <c r="I101" s="29">
        <f t="shared" si="5"/>
        <v>3.2215464362357539E-2</v>
      </c>
      <c r="J101" s="29">
        <f t="shared" si="6"/>
        <v>3.2215464362357338E-2</v>
      </c>
      <c r="K101" s="29">
        <f t="shared" si="4"/>
        <v>4.0679542774486703E-2</v>
      </c>
      <c r="L101" s="31">
        <v>3.5319999999999997E-2</v>
      </c>
    </row>
    <row r="102" spans="7:12" x14ac:dyDescent="0.35">
      <c r="G102" s="2">
        <v>79</v>
      </c>
      <c r="H102" s="25">
        <v>3.2739999999999998E-2</v>
      </c>
      <c r="I102" s="29">
        <f t="shared" si="5"/>
        <v>3.2215464362357539E-2</v>
      </c>
      <c r="J102" s="29">
        <f t="shared" si="6"/>
        <v>3.2215464362357782E-2</v>
      </c>
      <c r="K102" s="29">
        <f t="shared" si="4"/>
        <v>4.0679542774487147E-2</v>
      </c>
      <c r="L102" s="31">
        <v>3.5290000000000002E-2</v>
      </c>
    </row>
    <row r="103" spans="7:12" x14ac:dyDescent="0.35">
      <c r="G103" s="2">
        <v>80</v>
      </c>
      <c r="H103" s="25">
        <v>3.2750000000000001E-2</v>
      </c>
      <c r="I103" s="29">
        <f t="shared" si="5"/>
        <v>3.2225147294736918E-2</v>
      </c>
      <c r="J103" s="29">
        <f t="shared" si="6"/>
        <v>3.2990098952707658E-2</v>
      </c>
      <c r="K103" s="29">
        <f t="shared" si="4"/>
        <v>4.1454177364837023E-2</v>
      </c>
      <c r="L103" s="31">
        <v>3.526E-2</v>
      </c>
    </row>
    <row r="104" spans="7:12" x14ac:dyDescent="0.35">
      <c r="G104" s="7">
        <v>81</v>
      </c>
      <c r="H104" s="24">
        <v>3.2750000000000001E-2</v>
      </c>
      <c r="I104" s="29">
        <f t="shared" si="5"/>
        <v>3.2225147294736918E-2</v>
      </c>
      <c r="J104" s="29">
        <f t="shared" si="6"/>
        <v>3.2225147294737244E-2</v>
      </c>
      <c r="K104" s="29">
        <f t="shared" si="4"/>
        <v>4.0689225706866609E-2</v>
      </c>
      <c r="L104" s="31">
        <v>3.5229999999999997E-2</v>
      </c>
    </row>
    <row r="105" spans="7:12" x14ac:dyDescent="0.35">
      <c r="G105" s="7">
        <v>82</v>
      </c>
      <c r="H105" s="24">
        <v>3.2750000000000001E-2</v>
      </c>
      <c r="I105" s="29">
        <f t="shared" si="5"/>
        <v>3.2225147294736918E-2</v>
      </c>
      <c r="J105" s="29">
        <f t="shared" si="6"/>
        <v>3.22251472947368E-2</v>
      </c>
      <c r="K105" s="29">
        <f t="shared" si="4"/>
        <v>4.0689225706866165E-2</v>
      </c>
      <c r="L105" s="31">
        <v>3.5209999999999998E-2</v>
      </c>
    </row>
    <row r="106" spans="7:12" x14ac:dyDescent="0.35">
      <c r="G106" s="7">
        <v>83</v>
      </c>
      <c r="H106" s="24">
        <v>3.2759999999999997E-2</v>
      </c>
      <c r="I106" s="29">
        <f t="shared" si="5"/>
        <v>3.2234830133357817E-2</v>
      </c>
      <c r="J106" s="29">
        <f t="shared" si="6"/>
        <v>3.3028822900271315E-2</v>
      </c>
      <c r="K106" s="29">
        <f t="shared" si="4"/>
        <v>4.149290131240068E-2</v>
      </c>
      <c r="L106" s="31">
        <v>3.5180000000000003E-2</v>
      </c>
    </row>
    <row r="107" spans="7:12" x14ac:dyDescent="0.35">
      <c r="G107" s="2">
        <v>84</v>
      </c>
      <c r="H107" s="25">
        <v>3.2759999999999997E-2</v>
      </c>
      <c r="I107" s="29">
        <f t="shared" si="5"/>
        <v>3.2234830133357817E-2</v>
      </c>
      <c r="J107" s="29">
        <f t="shared" si="6"/>
        <v>3.2234830133357928E-2</v>
      </c>
      <c r="K107" s="29">
        <f t="shared" si="4"/>
        <v>4.0698908545487293E-2</v>
      </c>
      <c r="L107" s="31">
        <v>3.5150000000000001E-2</v>
      </c>
    </row>
    <row r="108" spans="7:12" x14ac:dyDescent="0.35">
      <c r="G108" s="2">
        <v>85</v>
      </c>
      <c r="H108" s="25">
        <v>3.2759999999999997E-2</v>
      </c>
      <c r="I108" s="29">
        <f t="shared" si="5"/>
        <v>3.2234830133357817E-2</v>
      </c>
      <c r="J108" s="29">
        <f t="shared" si="6"/>
        <v>3.2234830133357928E-2</v>
      </c>
      <c r="K108" s="29">
        <f t="shared" si="4"/>
        <v>4.0698908545487293E-2</v>
      </c>
      <c r="L108" s="31">
        <v>3.5130000000000002E-2</v>
      </c>
    </row>
    <row r="109" spans="7:12" x14ac:dyDescent="0.35">
      <c r="G109" s="7">
        <v>86</v>
      </c>
      <c r="H109" s="24">
        <v>3.2759999999999997E-2</v>
      </c>
      <c r="I109" s="29">
        <f t="shared" si="5"/>
        <v>3.2234830133357817E-2</v>
      </c>
      <c r="J109" s="29">
        <f t="shared" si="6"/>
        <v>3.2234830133357484E-2</v>
      </c>
      <c r="K109" s="29">
        <f t="shared" si="4"/>
        <v>4.0698908545486849E-2</v>
      </c>
      <c r="L109" s="31">
        <v>3.5099999999999999E-2</v>
      </c>
    </row>
    <row r="110" spans="7:12" x14ac:dyDescent="0.35">
      <c r="G110" s="7">
        <v>87</v>
      </c>
      <c r="H110" s="24">
        <v>3.2770000000000001E-2</v>
      </c>
      <c r="I110" s="29">
        <f t="shared" si="5"/>
        <v>3.224451287822247E-2</v>
      </c>
      <c r="J110" s="29">
        <f t="shared" si="6"/>
        <v>3.3077228936583047E-2</v>
      </c>
      <c r="K110" s="29">
        <f t="shared" si="4"/>
        <v>4.1541307348712413E-2</v>
      </c>
      <c r="L110" s="31">
        <v>3.508E-2</v>
      </c>
    </row>
    <row r="111" spans="7:12" x14ac:dyDescent="0.35">
      <c r="G111" s="7">
        <v>88</v>
      </c>
      <c r="H111" s="24">
        <v>3.2770000000000001E-2</v>
      </c>
      <c r="I111" s="29">
        <f t="shared" si="5"/>
        <v>3.224451287822247E-2</v>
      </c>
      <c r="J111" s="29">
        <f t="shared" si="6"/>
        <v>3.2244512878222054E-2</v>
      </c>
      <c r="K111" s="29">
        <f t="shared" si="4"/>
        <v>4.0708591290351419E-2</v>
      </c>
      <c r="L111" s="31">
        <v>3.5060000000000001E-2</v>
      </c>
    </row>
    <row r="112" spans="7:12" x14ac:dyDescent="0.35">
      <c r="G112" s="2">
        <v>89</v>
      </c>
      <c r="H112" s="25">
        <v>3.2770000000000001E-2</v>
      </c>
      <c r="I112" s="29">
        <f t="shared" si="5"/>
        <v>3.224451287822247E-2</v>
      </c>
      <c r="J112" s="29">
        <f t="shared" si="6"/>
        <v>3.2244512878222498E-2</v>
      </c>
      <c r="K112" s="29">
        <f t="shared" si="4"/>
        <v>4.0708591290351863E-2</v>
      </c>
      <c r="L112" s="31">
        <v>3.5029999999999999E-2</v>
      </c>
    </row>
    <row r="113" spans="7:12" x14ac:dyDescent="0.35">
      <c r="G113" s="2">
        <v>90</v>
      </c>
      <c r="H113" s="25">
        <v>3.2779999999999997E-2</v>
      </c>
      <c r="I113" s="29">
        <f t="shared" si="5"/>
        <v>3.225419552933248E-2</v>
      </c>
      <c r="J113" s="29">
        <f t="shared" si="6"/>
        <v>3.3115951478123407E-2</v>
      </c>
      <c r="K113" s="29">
        <f t="shared" si="4"/>
        <v>4.1580029890252772E-2</v>
      </c>
      <c r="L113" s="31">
        <v>3.5009999999999999E-2</v>
      </c>
    </row>
    <row r="114" spans="7:12" x14ac:dyDescent="0.35">
      <c r="G114" s="7">
        <v>91</v>
      </c>
      <c r="H114" s="24">
        <v>3.2779999999999997E-2</v>
      </c>
      <c r="I114" s="29">
        <f t="shared" si="5"/>
        <v>3.225419552933248E-2</v>
      </c>
      <c r="J114" s="29">
        <f t="shared" si="6"/>
        <v>3.225419552933273E-2</v>
      </c>
      <c r="K114" s="29">
        <f t="shared" si="4"/>
        <v>4.0718273941462095E-2</v>
      </c>
      <c r="L114" s="31">
        <v>3.499E-2</v>
      </c>
    </row>
    <row r="115" spans="7:12" x14ac:dyDescent="0.35">
      <c r="G115" s="7">
        <v>92</v>
      </c>
      <c r="H115" s="24">
        <v>3.2779999999999997E-2</v>
      </c>
      <c r="I115" s="29">
        <f t="shared" si="5"/>
        <v>3.225419552933248E-2</v>
      </c>
      <c r="J115" s="29">
        <f t="shared" si="6"/>
        <v>3.2254195529332286E-2</v>
      </c>
      <c r="K115" s="29">
        <f t="shared" si="4"/>
        <v>4.0718273941461651E-2</v>
      </c>
      <c r="L115" s="31">
        <v>3.4970000000000001E-2</v>
      </c>
    </row>
    <row r="116" spans="7:12" x14ac:dyDescent="0.35">
      <c r="G116" s="7">
        <v>93</v>
      </c>
      <c r="H116" s="24">
        <v>3.2779999999999997E-2</v>
      </c>
      <c r="I116" s="29">
        <f t="shared" si="5"/>
        <v>3.225419552933248E-2</v>
      </c>
      <c r="J116" s="29">
        <f t="shared" si="6"/>
        <v>3.225419552933273E-2</v>
      </c>
      <c r="K116" s="29">
        <f t="shared" si="4"/>
        <v>4.0718273941462095E-2</v>
      </c>
      <c r="L116" s="31">
        <v>3.4950000000000002E-2</v>
      </c>
    </row>
    <row r="117" spans="7:12" x14ac:dyDescent="0.35">
      <c r="G117" s="2">
        <v>94</v>
      </c>
      <c r="H117" s="25">
        <v>3.2779999999999997E-2</v>
      </c>
      <c r="I117" s="29">
        <f t="shared" si="5"/>
        <v>3.225419552933248E-2</v>
      </c>
      <c r="J117" s="29">
        <f t="shared" si="6"/>
        <v>3.2254195529332286E-2</v>
      </c>
      <c r="K117" s="29">
        <f t="shared" si="4"/>
        <v>4.0718273941461651E-2</v>
      </c>
      <c r="L117" s="31">
        <v>3.4930000000000003E-2</v>
      </c>
    </row>
    <row r="118" spans="7:12" x14ac:dyDescent="0.35">
      <c r="G118" s="2">
        <v>95</v>
      </c>
      <c r="H118" s="25">
        <v>3.279E-2</v>
      </c>
      <c r="I118" s="29">
        <f t="shared" si="5"/>
        <v>3.2263878086689672E-2</v>
      </c>
      <c r="J118" s="29">
        <f t="shared" si="6"/>
        <v>3.3174038478265722E-2</v>
      </c>
      <c r="K118" s="29">
        <f t="shared" si="4"/>
        <v>4.1638116890395087E-2</v>
      </c>
      <c r="L118" s="31">
        <v>3.4909999999999997E-2</v>
      </c>
    </row>
    <row r="119" spans="7:12" x14ac:dyDescent="0.35">
      <c r="G119" s="7">
        <v>96</v>
      </c>
      <c r="H119" s="24">
        <v>3.279E-2</v>
      </c>
      <c r="I119" s="29">
        <f t="shared" si="5"/>
        <v>3.2263878086689672E-2</v>
      </c>
      <c r="J119" s="29">
        <f t="shared" si="6"/>
        <v>3.2263878086689513E-2</v>
      </c>
      <c r="K119" s="29">
        <f t="shared" si="4"/>
        <v>4.0727956498818878E-2</v>
      </c>
      <c r="L119" s="31">
        <v>3.4889999999999997E-2</v>
      </c>
    </row>
    <row r="120" spans="7:12" x14ac:dyDescent="0.35">
      <c r="G120" s="7">
        <v>97</v>
      </c>
      <c r="H120" s="24">
        <v>3.279E-2</v>
      </c>
      <c r="I120" s="29">
        <f t="shared" si="5"/>
        <v>3.2263878086689672E-2</v>
      </c>
      <c r="J120" s="29">
        <f t="shared" si="6"/>
        <v>3.2263878086689957E-2</v>
      </c>
      <c r="K120" s="29">
        <f t="shared" ref="K120:K151" si="7">J120+LN(1+V.NOTIONAL_VA)</f>
        <v>4.0727956498819322E-2</v>
      </c>
      <c r="L120" s="31">
        <v>3.4869999999999998E-2</v>
      </c>
    </row>
    <row r="121" spans="7:12" x14ac:dyDescent="0.35">
      <c r="G121" s="7">
        <v>98</v>
      </c>
      <c r="H121" s="24">
        <v>3.279E-2</v>
      </c>
      <c r="I121" s="29">
        <f t="shared" si="5"/>
        <v>3.2263878086689672E-2</v>
      </c>
      <c r="J121" s="29">
        <f t="shared" si="6"/>
        <v>3.2263878086689513E-2</v>
      </c>
      <c r="K121" s="29">
        <f t="shared" si="7"/>
        <v>4.0727956498818878E-2</v>
      </c>
      <c r="L121" s="31">
        <v>3.4849999999999999E-2</v>
      </c>
    </row>
    <row r="122" spans="7:12" x14ac:dyDescent="0.35">
      <c r="G122" s="2">
        <v>99</v>
      </c>
      <c r="H122" s="25">
        <v>3.2800000000000003E-2</v>
      </c>
      <c r="I122" s="29">
        <f t="shared" si="5"/>
        <v>3.2273560550295635E-2</v>
      </c>
      <c r="J122" s="29">
        <f t="shared" si="6"/>
        <v>3.3222441983680184E-2</v>
      </c>
      <c r="K122" s="29">
        <f t="shared" si="7"/>
        <v>4.168652039580955E-2</v>
      </c>
      <c r="L122" s="31">
        <v>3.483E-2</v>
      </c>
    </row>
    <row r="123" spans="7:12" x14ac:dyDescent="0.35">
      <c r="G123" s="2">
        <v>100</v>
      </c>
      <c r="H123" s="25">
        <v>3.2800000000000003E-2</v>
      </c>
      <c r="I123" s="29">
        <f t="shared" si="5"/>
        <v>3.2273560550295635E-2</v>
      </c>
      <c r="J123" s="29">
        <f t="shared" si="6"/>
        <v>3.227356055029551E-2</v>
      </c>
      <c r="K123" s="29">
        <f t="shared" si="7"/>
        <v>4.0737638962424876E-2</v>
      </c>
      <c r="L123" s="31">
        <v>3.4810000000000001E-2</v>
      </c>
    </row>
    <row r="124" spans="7:12" x14ac:dyDescent="0.35">
      <c r="G124" s="7">
        <v>101</v>
      </c>
      <c r="H124" s="24">
        <v>3.2800000000000003E-2</v>
      </c>
      <c r="I124" s="29">
        <f t="shared" si="5"/>
        <v>3.2273560550295635E-2</v>
      </c>
      <c r="J124" s="29">
        <f t="shared" si="6"/>
        <v>3.227356055029551E-2</v>
      </c>
      <c r="K124" s="29">
        <f t="shared" si="7"/>
        <v>4.0737638962424876E-2</v>
      </c>
      <c r="L124" s="31">
        <v>3.4790000000000001E-2</v>
      </c>
    </row>
    <row r="125" spans="7:12" x14ac:dyDescent="0.35">
      <c r="G125" s="7">
        <v>102</v>
      </c>
      <c r="H125" s="24">
        <v>3.2800000000000003E-2</v>
      </c>
      <c r="I125" s="29">
        <f t="shared" si="5"/>
        <v>3.2273560550295635E-2</v>
      </c>
      <c r="J125" s="29">
        <f t="shared" si="6"/>
        <v>3.2273560550295954E-2</v>
      </c>
      <c r="K125" s="29">
        <f t="shared" si="7"/>
        <v>4.073763896242532E-2</v>
      </c>
      <c r="L125" s="31">
        <v>3.4770000000000002E-2</v>
      </c>
    </row>
    <row r="126" spans="7:12" x14ac:dyDescent="0.35">
      <c r="G126" s="7">
        <v>103</v>
      </c>
      <c r="H126" s="24">
        <v>3.2800000000000003E-2</v>
      </c>
      <c r="I126" s="29">
        <f t="shared" si="5"/>
        <v>3.2273560550295635E-2</v>
      </c>
      <c r="J126" s="29">
        <f t="shared" si="6"/>
        <v>3.227356055029551E-2</v>
      </c>
      <c r="K126" s="29">
        <f t="shared" si="7"/>
        <v>4.0737638962424876E-2</v>
      </c>
      <c r="L126" s="31">
        <v>3.4759999999999999E-2</v>
      </c>
    </row>
    <row r="127" spans="7:12" x14ac:dyDescent="0.35">
      <c r="G127" s="2">
        <v>104</v>
      </c>
      <c r="H127" s="25">
        <v>3.2809999999999999E-2</v>
      </c>
      <c r="I127" s="29">
        <f t="shared" si="5"/>
        <v>3.2283242920152617E-2</v>
      </c>
      <c r="J127" s="29">
        <f t="shared" si="6"/>
        <v>3.3280527015421946E-2</v>
      </c>
      <c r="K127" s="29">
        <f t="shared" si="7"/>
        <v>4.1744605427551311E-2</v>
      </c>
      <c r="L127" s="31">
        <v>3.474E-2</v>
      </c>
    </row>
    <row r="128" spans="7:12" x14ac:dyDescent="0.35">
      <c r="G128" s="2">
        <v>105</v>
      </c>
      <c r="H128" s="25">
        <v>3.2809999999999999E-2</v>
      </c>
      <c r="I128" s="29">
        <f t="shared" si="5"/>
        <v>3.2283242920152617E-2</v>
      </c>
      <c r="J128" s="29">
        <f t="shared" si="6"/>
        <v>3.22832429201525E-2</v>
      </c>
      <c r="K128" s="29">
        <f t="shared" si="7"/>
        <v>4.0747321332281865E-2</v>
      </c>
      <c r="L128" s="31">
        <v>3.4720000000000001E-2</v>
      </c>
    </row>
    <row r="129" spans="7:12" x14ac:dyDescent="0.35">
      <c r="G129" s="7">
        <v>106</v>
      </c>
      <c r="H129" s="24">
        <v>3.2809999999999999E-2</v>
      </c>
      <c r="I129" s="29">
        <f t="shared" si="5"/>
        <v>3.2283242920152617E-2</v>
      </c>
      <c r="J129" s="29">
        <f t="shared" si="6"/>
        <v>3.22832429201525E-2</v>
      </c>
      <c r="K129" s="29">
        <f t="shared" si="7"/>
        <v>4.0747321332281865E-2</v>
      </c>
      <c r="L129" s="31">
        <v>3.4709999999999998E-2</v>
      </c>
    </row>
    <row r="130" spans="7:12" x14ac:dyDescent="0.35">
      <c r="G130" s="7">
        <v>107</v>
      </c>
      <c r="H130" s="24">
        <v>3.2809999999999999E-2</v>
      </c>
      <c r="I130" s="29">
        <f t="shared" si="5"/>
        <v>3.2283242920152617E-2</v>
      </c>
      <c r="J130" s="29">
        <f t="shared" si="6"/>
        <v>3.22832429201525E-2</v>
      </c>
      <c r="K130" s="29">
        <f t="shared" si="7"/>
        <v>4.0747321332281865E-2</v>
      </c>
      <c r="L130" s="31">
        <v>3.4689999999999999E-2</v>
      </c>
    </row>
    <row r="131" spans="7:12" x14ac:dyDescent="0.35">
      <c r="G131" s="7">
        <v>108</v>
      </c>
      <c r="H131" s="24">
        <v>3.2809999999999999E-2</v>
      </c>
      <c r="I131" s="29">
        <f t="shared" si="5"/>
        <v>3.2283242920152617E-2</v>
      </c>
      <c r="J131" s="29">
        <f t="shared" si="6"/>
        <v>3.2283242920152944E-2</v>
      </c>
      <c r="K131" s="29">
        <f t="shared" si="7"/>
        <v>4.0747321332282309E-2</v>
      </c>
      <c r="L131" s="31">
        <v>3.4680000000000002E-2</v>
      </c>
    </row>
    <row r="132" spans="7:12" x14ac:dyDescent="0.35">
      <c r="G132" s="2">
        <v>109</v>
      </c>
      <c r="H132" s="25">
        <v>3.2809999999999999E-2</v>
      </c>
      <c r="I132" s="29">
        <f t="shared" si="5"/>
        <v>3.2283242920152617E-2</v>
      </c>
      <c r="J132" s="29">
        <f t="shared" si="6"/>
        <v>3.22832429201525E-2</v>
      </c>
      <c r="K132" s="29">
        <f t="shared" si="7"/>
        <v>4.0747321332281865E-2</v>
      </c>
      <c r="L132" s="31">
        <v>3.4660000000000003E-2</v>
      </c>
    </row>
    <row r="133" spans="7:12" x14ac:dyDescent="0.35">
      <c r="G133" s="2">
        <v>110</v>
      </c>
      <c r="H133" s="25">
        <v>3.2820000000000002E-2</v>
      </c>
      <c r="I133" s="29">
        <f t="shared" si="5"/>
        <v>3.2292925196262229E-2</v>
      </c>
      <c r="J133" s="29">
        <f t="shared" si="6"/>
        <v>3.3348293292209785E-2</v>
      </c>
      <c r="K133" s="29">
        <f t="shared" si="7"/>
        <v>4.181237170433915E-2</v>
      </c>
      <c r="L133" s="31">
        <v>3.465E-2</v>
      </c>
    </row>
    <row r="134" spans="7:12" x14ac:dyDescent="0.35">
      <c r="G134" s="7">
        <v>111</v>
      </c>
      <c r="H134" s="24">
        <v>3.2820000000000002E-2</v>
      </c>
      <c r="I134" s="29">
        <f t="shared" si="5"/>
        <v>3.2292925196262229E-2</v>
      </c>
      <c r="J134" s="29">
        <f t="shared" si="6"/>
        <v>3.2292925196262257E-2</v>
      </c>
      <c r="K134" s="29">
        <f t="shared" si="7"/>
        <v>4.0757003608391622E-2</v>
      </c>
      <c r="L134" s="31">
        <v>3.4630000000000001E-2</v>
      </c>
    </row>
    <row r="135" spans="7:12" x14ac:dyDescent="0.35">
      <c r="G135" s="7">
        <v>112</v>
      </c>
      <c r="H135" s="24">
        <v>3.2820000000000002E-2</v>
      </c>
      <c r="I135" s="29">
        <f t="shared" si="5"/>
        <v>3.2292925196262229E-2</v>
      </c>
      <c r="J135" s="29">
        <f t="shared" si="6"/>
        <v>3.2292925196262257E-2</v>
      </c>
      <c r="K135" s="29">
        <f t="shared" si="7"/>
        <v>4.0757003608391622E-2</v>
      </c>
      <c r="L135" s="31">
        <v>3.4619999999999998E-2</v>
      </c>
    </row>
    <row r="136" spans="7:12" x14ac:dyDescent="0.35">
      <c r="G136" s="7">
        <v>113</v>
      </c>
      <c r="H136" s="24">
        <v>3.2820000000000002E-2</v>
      </c>
      <c r="I136" s="29">
        <f t="shared" si="5"/>
        <v>3.2292925196262229E-2</v>
      </c>
      <c r="J136" s="29">
        <f t="shared" si="6"/>
        <v>3.2292925196262257E-2</v>
      </c>
      <c r="K136" s="29">
        <f t="shared" si="7"/>
        <v>4.0757003608391622E-2</v>
      </c>
      <c r="L136" s="31">
        <v>3.4599999999999999E-2</v>
      </c>
    </row>
    <row r="137" spans="7:12" x14ac:dyDescent="0.35">
      <c r="G137" s="2">
        <v>114</v>
      </c>
      <c r="H137" s="25">
        <v>3.2820000000000002E-2</v>
      </c>
      <c r="I137" s="29">
        <f t="shared" si="5"/>
        <v>3.2292925196262229E-2</v>
      </c>
      <c r="J137" s="29">
        <f t="shared" si="6"/>
        <v>3.2292925196262257E-2</v>
      </c>
      <c r="K137" s="29">
        <f t="shared" si="7"/>
        <v>4.0757003608391622E-2</v>
      </c>
      <c r="L137" s="31">
        <v>3.4590000000000003E-2</v>
      </c>
    </row>
    <row r="138" spans="7:12" x14ac:dyDescent="0.35">
      <c r="G138" s="2">
        <v>115</v>
      </c>
      <c r="H138" s="25">
        <v>3.2820000000000002E-2</v>
      </c>
      <c r="I138" s="29">
        <f t="shared" si="5"/>
        <v>3.2292925196262229E-2</v>
      </c>
      <c r="J138" s="29">
        <f t="shared" si="6"/>
        <v>3.2292925196262257E-2</v>
      </c>
      <c r="K138" s="29">
        <f t="shared" si="7"/>
        <v>4.0757003608391622E-2</v>
      </c>
      <c r="L138" s="31">
        <v>3.4569999999999997E-2</v>
      </c>
    </row>
    <row r="139" spans="7:12" x14ac:dyDescent="0.35">
      <c r="G139" s="7">
        <v>116</v>
      </c>
      <c r="H139" s="24">
        <v>3.2829999999999998E-2</v>
      </c>
      <c r="I139" s="29">
        <f t="shared" si="5"/>
        <v>3.2302607378626058E-2</v>
      </c>
      <c r="J139" s="29">
        <f t="shared" si="6"/>
        <v>3.3416058350466571E-2</v>
      </c>
      <c r="K139" s="29">
        <f t="shared" si="7"/>
        <v>4.1880136762595936E-2</v>
      </c>
      <c r="L139" s="31">
        <v>3.456E-2</v>
      </c>
    </row>
    <row r="140" spans="7:12" x14ac:dyDescent="0.35">
      <c r="G140" s="7">
        <v>117</v>
      </c>
      <c r="H140" s="24">
        <v>3.2829999999999998E-2</v>
      </c>
      <c r="I140" s="29">
        <f t="shared" si="5"/>
        <v>3.2302607378626058E-2</v>
      </c>
      <c r="J140" s="29">
        <f t="shared" si="6"/>
        <v>3.230260737862567E-2</v>
      </c>
      <c r="K140" s="29">
        <f t="shared" si="7"/>
        <v>4.0766685790755035E-2</v>
      </c>
      <c r="L140" s="31">
        <v>3.4549999999999997E-2</v>
      </c>
    </row>
    <row r="141" spans="7:12" x14ac:dyDescent="0.35">
      <c r="G141" s="7">
        <v>118</v>
      </c>
      <c r="H141" s="24">
        <v>3.2829999999999998E-2</v>
      </c>
      <c r="I141" s="29">
        <f t="shared" si="5"/>
        <v>3.2302607378626058E-2</v>
      </c>
      <c r="J141" s="29">
        <f t="shared" si="6"/>
        <v>3.2302607378626114E-2</v>
      </c>
      <c r="K141" s="29">
        <f t="shared" si="7"/>
        <v>4.0766685790755479E-2</v>
      </c>
      <c r="L141" s="31">
        <v>3.4529999999999998E-2</v>
      </c>
    </row>
    <row r="142" spans="7:12" x14ac:dyDescent="0.35">
      <c r="G142" s="2">
        <v>119</v>
      </c>
      <c r="H142" s="25">
        <v>3.2829999999999998E-2</v>
      </c>
      <c r="I142" s="29">
        <f t="shared" si="5"/>
        <v>3.2302607378626058E-2</v>
      </c>
      <c r="J142" s="29">
        <f t="shared" si="6"/>
        <v>3.2302607378626114E-2</v>
      </c>
      <c r="K142" s="29">
        <f t="shared" si="7"/>
        <v>4.0766685790755479E-2</v>
      </c>
      <c r="L142" s="31">
        <v>3.4520000000000002E-2</v>
      </c>
    </row>
    <row r="143" spans="7:12" x14ac:dyDescent="0.35">
      <c r="G143" s="2">
        <v>120</v>
      </c>
      <c r="H143" s="25">
        <v>3.2829999999999998E-2</v>
      </c>
      <c r="I143" s="29">
        <f t="shared" si="5"/>
        <v>3.2302607378626058E-2</v>
      </c>
      <c r="J143" s="29">
        <f t="shared" si="6"/>
        <v>3.2302607378626114E-2</v>
      </c>
      <c r="K143" s="29">
        <f t="shared" si="7"/>
        <v>4.0766685790755479E-2</v>
      </c>
      <c r="L143" s="31">
        <v>3.4509999999999999E-2</v>
      </c>
    </row>
    <row r="144" spans="7:12" x14ac:dyDescent="0.35">
      <c r="G144" s="7">
        <v>121</v>
      </c>
      <c r="H144" s="24">
        <v>3.2829999999999998E-2</v>
      </c>
      <c r="I144" s="29">
        <f t="shared" si="5"/>
        <v>3.2302607378626058E-2</v>
      </c>
      <c r="J144" s="29">
        <f t="shared" si="6"/>
        <v>3.2302607378626114E-2</v>
      </c>
      <c r="K144" s="29">
        <f t="shared" si="7"/>
        <v>4.0766685790755479E-2</v>
      </c>
      <c r="L144" s="31">
        <v>3.4500000000000003E-2</v>
      </c>
    </row>
    <row r="145" spans="7:12" x14ac:dyDescent="0.35">
      <c r="G145" s="7">
        <v>122</v>
      </c>
      <c r="H145" s="24">
        <v>3.2829999999999998E-2</v>
      </c>
      <c r="I145" s="29">
        <f t="shared" si="5"/>
        <v>3.2302607378626058E-2</v>
      </c>
      <c r="J145" s="29">
        <f t="shared" si="6"/>
        <v>3.2302607378626114E-2</v>
      </c>
      <c r="K145" s="29">
        <f t="shared" si="7"/>
        <v>4.0766685790755479E-2</v>
      </c>
      <c r="L145" s="31">
        <v>3.4479999999999997E-2</v>
      </c>
    </row>
    <row r="146" spans="7:12" x14ac:dyDescent="0.35">
      <c r="G146" s="7">
        <v>123</v>
      </c>
      <c r="H146" s="24">
        <v>3.2840000000000001E-2</v>
      </c>
      <c r="I146" s="29">
        <f t="shared" si="5"/>
        <v>3.2312289467246354E-2</v>
      </c>
      <c r="J146" s="29">
        <f t="shared" si="6"/>
        <v>3.349350427892217E-2</v>
      </c>
      <c r="K146" s="29">
        <f t="shared" si="7"/>
        <v>4.1957582691051536E-2</v>
      </c>
      <c r="L146" s="31">
        <v>3.4470000000000001E-2</v>
      </c>
    </row>
    <row r="147" spans="7:12" x14ac:dyDescent="0.35">
      <c r="G147" s="2">
        <v>124</v>
      </c>
      <c r="H147" s="25">
        <v>3.2840000000000001E-2</v>
      </c>
      <c r="I147" s="29">
        <f t="shared" si="5"/>
        <v>3.2312289467246354E-2</v>
      </c>
      <c r="J147" s="29">
        <f t="shared" si="6"/>
        <v>3.2312289467246735E-2</v>
      </c>
      <c r="K147" s="29">
        <f t="shared" si="7"/>
        <v>4.0776367879376101E-2</v>
      </c>
      <c r="L147" s="31">
        <v>3.4459999999999998E-2</v>
      </c>
    </row>
    <row r="148" spans="7:12" x14ac:dyDescent="0.35">
      <c r="G148" s="2">
        <v>125</v>
      </c>
      <c r="H148" s="25">
        <v>3.2840000000000001E-2</v>
      </c>
      <c r="I148" s="29">
        <f t="shared" si="5"/>
        <v>3.2312289467246354E-2</v>
      </c>
      <c r="J148" s="29">
        <f t="shared" si="6"/>
        <v>3.2312289467245847E-2</v>
      </c>
      <c r="K148" s="29">
        <f t="shared" si="7"/>
        <v>4.0776367879375212E-2</v>
      </c>
      <c r="L148" s="31">
        <v>3.4450000000000001E-2</v>
      </c>
    </row>
    <row r="149" spans="7:12" x14ac:dyDescent="0.35">
      <c r="G149" s="7">
        <v>126</v>
      </c>
      <c r="H149" s="24">
        <v>3.2840000000000001E-2</v>
      </c>
      <c r="I149" s="29">
        <f t="shared" si="5"/>
        <v>3.2312289467246354E-2</v>
      </c>
      <c r="J149" s="29">
        <f t="shared" si="6"/>
        <v>3.2312289467246735E-2</v>
      </c>
      <c r="K149" s="29">
        <f t="shared" si="7"/>
        <v>4.0776367879376101E-2</v>
      </c>
      <c r="L149" s="31">
        <v>3.4439999999999998E-2</v>
      </c>
    </row>
    <row r="150" spans="7:12" x14ac:dyDescent="0.35">
      <c r="G150" s="7">
        <v>127</v>
      </c>
      <c r="H150" s="24">
        <v>3.2840000000000001E-2</v>
      </c>
      <c r="I150" s="29">
        <f t="shared" si="5"/>
        <v>3.2312289467246354E-2</v>
      </c>
      <c r="J150" s="29">
        <f t="shared" si="6"/>
        <v>3.2312289467245847E-2</v>
      </c>
      <c r="K150" s="29">
        <f t="shared" si="7"/>
        <v>4.0776367879375212E-2</v>
      </c>
      <c r="L150" s="31">
        <v>3.4419999999999999E-2</v>
      </c>
    </row>
    <row r="151" spans="7:12" x14ac:dyDescent="0.35">
      <c r="G151" s="7">
        <v>128</v>
      </c>
      <c r="H151" s="24">
        <v>3.2840000000000001E-2</v>
      </c>
      <c r="I151" s="29">
        <f t="shared" si="5"/>
        <v>3.2312289467246354E-2</v>
      </c>
      <c r="J151" s="29">
        <f t="shared" si="6"/>
        <v>3.2312289467246735E-2</v>
      </c>
      <c r="K151" s="29">
        <f t="shared" si="7"/>
        <v>4.0776367879376101E-2</v>
      </c>
      <c r="L151" s="31">
        <v>3.4410000000000003E-2</v>
      </c>
    </row>
    <row r="152" spans="7:12" x14ac:dyDescent="0.35">
      <c r="G152" s="2">
        <v>129</v>
      </c>
      <c r="H152" s="25">
        <v>3.2840000000000001E-2</v>
      </c>
      <c r="I152" s="29">
        <f t="shared" si="5"/>
        <v>3.2312289467246354E-2</v>
      </c>
      <c r="J152" s="29">
        <f t="shared" si="6"/>
        <v>3.2312289467246735E-2</v>
      </c>
      <c r="K152" s="29">
        <f t="shared" ref="K152:K173" si="8">J152+LN(1+V.NOTIONAL_VA)</f>
        <v>4.0776367879376101E-2</v>
      </c>
      <c r="L152" s="31">
        <v>3.44E-2</v>
      </c>
    </row>
    <row r="153" spans="7:12" x14ac:dyDescent="0.35">
      <c r="G153" s="2">
        <v>130</v>
      </c>
      <c r="H153" s="25">
        <v>3.2840000000000001E-2</v>
      </c>
      <c r="I153" s="29">
        <f t="shared" ref="I153:I173" si="9">LN(1+H153)</f>
        <v>3.2312289467246354E-2</v>
      </c>
      <c r="J153" s="29">
        <f t="shared" si="6"/>
        <v>3.2312289467245847E-2</v>
      </c>
      <c r="K153" s="29">
        <f t="shared" si="8"/>
        <v>4.0776367879375212E-2</v>
      </c>
      <c r="L153" s="31">
        <v>3.4389999999999997E-2</v>
      </c>
    </row>
    <row r="154" spans="7:12" x14ac:dyDescent="0.35">
      <c r="G154" s="7">
        <v>131</v>
      </c>
      <c r="H154" s="24">
        <v>3.2849999999999997E-2</v>
      </c>
      <c r="I154" s="29">
        <f t="shared" si="9"/>
        <v>3.2321971462124718E-2</v>
      </c>
      <c r="J154" s="29">
        <f t="shared" ref="J154:J173" si="10">G154*I154-G153*I153</f>
        <v>3.3580630796312683E-2</v>
      </c>
      <c r="K154" s="29">
        <f t="shared" si="8"/>
        <v>4.2044709208442048E-2</v>
      </c>
      <c r="L154" s="31">
        <v>3.4380000000000001E-2</v>
      </c>
    </row>
    <row r="155" spans="7:12" x14ac:dyDescent="0.35">
      <c r="G155" s="7">
        <v>132</v>
      </c>
      <c r="H155" s="24">
        <v>3.2849999999999997E-2</v>
      </c>
      <c r="I155" s="29">
        <f t="shared" si="9"/>
        <v>3.2321971462124718E-2</v>
      </c>
      <c r="J155" s="29">
        <f t="shared" si="10"/>
        <v>3.2321971462124566E-2</v>
      </c>
      <c r="K155" s="29">
        <f t="shared" si="8"/>
        <v>4.0786049874253931E-2</v>
      </c>
      <c r="L155" s="31">
        <v>3.4369999999999998E-2</v>
      </c>
    </row>
    <row r="156" spans="7:12" x14ac:dyDescent="0.35">
      <c r="G156" s="7">
        <v>133</v>
      </c>
      <c r="H156" s="24">
        <v>3.2849999999999997E-2</v>
      </c>
      <c r="I156" s="29">
        <f t="shared" si="9"/>
        <v>3.2321971462124718E-2</v>
      </c>
      <c r="J156" s="29">
        <f t="shared" si="10"/>
        <v>3.2321971462124566E-2</v>
      </c>
      <c r="K156" s="29">
        <f t="shared" si="8"/>
        <v>4.0786049874253931E-2</v>
      </c>
      <c r="L156" s="31">
        <v>3.4360000000000002E-2</v>
      </c>
    </row>
    <row r="157" spans="7:12" x14ac:dyDescent="0.35">
      <c r="G157" s="2">
        <v>134</v>
      </c>
      <c r="H157" s="25">
        <v>3.2849999999999997E-2</v>
      </c>
      <c r="I157" s="29">
        <f t="shared" si="9"/>
        <v>3.2321971462124718E-2</v>
      </c>
      <c r="J157" s="29">
        <f t="shared" si="10"/>
        <v>3.2321971462124566E-2</v>
      </c>
      <c r="K157" s="29">
        <f t="shared" si="8"/>
        <v>4.0786049874253931E-2</v>
      </c>
      <c r="L157" s="31">
        <v>3.4349999999999999E-2</v>
      </c>
    </row>
    <row r="158" spans="7:12" x14ac:dyDescent="0.35">
      <c r="G158" s="2">
        <v>135</v>
      </c>
      <c r="H158" s="25">
        <v>3.2849999999999997E-2</v>
      </c>
      <c r="I158" s="29">
        <f t="shared" si="9"/>
        <v>3.2321971462124718E-2</v>
      </c>
      <c r="J158" s="29">
        <f t="shared" si="10"/>
        <v>3.2321971462124566E-2</v>
      </c>
      <c r="K158" s="29">
        <f t="shared" si="8"/>
        <v>4.0786049874253931E-2</v>
      </c>
      <c r="L158" s="31">
        <v>3.4340000000000002E-2</v>
      </c>
    </row>
    <row r="159" spans="7:12" x14ac:dyDescent="0.35">
      <c r="G159" s="7">
        <v>136</v>
      </c>
      <c r="H159" s="24">
        <v>3.2849999999999997E-2</v>
      </c>
      <c r="I159" s="29">
        <f t="shared" si="9"/>
        <v>3.2321971462124718E-2</v>
      </c>
      <c r="J159" s="29">
        <f t="shared" si="10"/>
        <v>3.2321971462124566E-2</v>
      </c>
      <c r="K159" s="29">
        <f t="shared" si="8"/>
        <v>4.0786049874253931E-2</v>
      </c>
      <c r="L159" s="31">
        <v>3.4329999999999999E-2</v>
      </c>
    </row>
    <row r="160" spans="7:12" x14ac:dyDescent="0.35">
      <c r="G160" s="7">
        <v>137</v>
      </c>
      <c r="H160" s="24">
        <v>3.2849999999999997E-2</v>
      </c>
      <c r="I160" s="29">
        <f t="shared" si="9"/>
        <v>3.2321971462124718E-2</v>
      </c>
      <c r="J160" s="29">
        <f t="shared" si="10"/>
        <v>3.2321971462125454E-2</v>
      </c>
      <c r="K160" s="29">
        <f t="shared" si="8"/>
        <v>4.0786049874254819E-2</v>
      </c>
      <c r="L160" s="31">
        <v>3.4320000000000003E-2</v>
      </c>
    </row>
    <row r="161" spans="7:12" x14ac:dyDescent="0.35">
      <c r="G161" s="7">
        <v>138</v>
      </c>
      <c r="H161" s="24">
        <v>3.2849999999999997E-2</v>
      </c>
      <c r="I161" s="29">
        <f t="shared" si="9"/>
        <v>3.2321971462124718E-2</v>
      </c>
      <c r="J161" s="29">
        <f t="shared" si="10"/>
        <v>3.2321971462124566E-2</v>
      </c>
      <c r="K161" s="29">
        <f t="shared" si="8"/>
        <v>4.0786049874253931E-2</v>
      </c>
      <c r="L161" s="31">
        <v>3.431E-2</v>
      </c>
    </row>
    <row r="162" spans="7:12" x14ac:dyDescent="0.35">
      <c r="G162" s="2">
        <v>139</v>
      </c>
      <c r="H162" s="25">
        <v>3.2849999999999997E-2</v>
      </c>
      <c r="I162" s="29">
        <f t="shared" si="9"/>
        <v>3.2321971462124718E-2</v>
      </c>
      <c r="J162" s="29">
        <f t="shared" si="10"/>
        <v>3.2321971462124566E-2</v>
      </c>
      <c r="K162" s="29">
        <f t="shared" si="8"/>
        <v>4.0786049874253931E-2</v>
      </c>
      <c r="L162" s="31">
        <v>3.4299999999999997E-2</v>
      </c>
    </row>
    <row r="163" spans="7:12" x14ac:dyDescent="0.35">
      <c r="G163" s="2">
        <v>140</v>
      </c>
      <c r="H163" s="25">
        <v>3.286E-2</v>
      </c>
      <c r="I163" s="29">
        <f t="shared" si="9"/>
        <v>3.2331653363262748E-2</v>
      </c>
      <c r="J163" s="29">
        <f t="shared" si="10"/>
        <v>3.3677437621448369E-2</v>
      </c>
      <c r="K163" s="29">
        <f t="shared" si="8"/>
        <v>4.2141516033577735E-2</v>
      </c>
      <c r="L163" s="31">
        <v>3.4290000000000001E-2</v>
      </c>
    </row>
    <row r="164" spans="7:12" x14ac:dyDescent="0.35">
      <c r="G164" s="7">
        <v>141</v>
      </c>
      <c r="H164" s="24">
        <v>3.286E-2</v>
      </c>
      <c r="I164" s="29">
        <f t="shared" si="9"/>
        <v>3.2331653363262748E-2</v>
      </c>
      <c r="J164" s="29">
        <f t="shared" si="10"/>
        <v>3.2331653363263158E-2</v>
      </c>
      <c r="K164" s="29">
        <f t="shared" si="8"/>
        <v>4.0795731775392523E-2</v>
      </c>
      <c r="L164" s="31">
        <v>3.4279999999999998E-2</v>
      </c>
    </row>
    <row r="165" spans="7:12" x14ac:dyDescent="0.35">
      <c r="G165" s="7">
        <v>142</v>
      </c>
      <c r="H165" s="24">
        <v>3.286E-2</v>
      </c>
      <c r="I165" s="29">
        <f t="shared" si="9"/>
        <v>3.2331653363262748E-2</v>
      </c>
      <c r="J165" s="29">
        <f t="shared" si="10"/>
        <v>3.2331653363263158E-2</v>
      </c>
      <c r="K165" s="29">
        <f t="shared" si="8"/>
        <v>4.0795731775392523E-2</v>
      </c>
      <c r="L165" s="31">
        <v>3.4270000000000002E-2</v>
      </c>
    </row>
    <row r="166" spans="7:12" x14ac:dyDescent="0.35">
      <c r="G166" s="7">
        <v>143</v>
      </c>
      <c r="H166" s="24">
        <v>3.286E-2</v>
      </c>
      <c r="I166" s="29">
        <f t="shared" si="9"/>
        <v>3.2331653363262748E-2</v>
      </c>
      <c r="J166" s="29">
        <f t="shared" si="10"/>
        <v>3.2331653363262269E-2</v>
      </c>
      <c r="K166" s="29">
        <f t="shared" si="8"/>
        <v>4.0795731775391635E-2</v>
      </c>
      <c r="L166" s="31">
        <v>3.4270000000000002E-2</v>
      </c>
    </row>
    <row r="167" spans="7:12" x14ac:dyDescent="0.35">
      <c r="G167" s="2">
        <v>144</v>
      </c>
      <c r="H167" s="25">
        <v>3.286E-2</v>
      </c>
      <c r="I167" s="29">
        <f t="shared" si="9"/>
        <v>3.2331653363262748E-2</v>
      </c>
      <c r="J167" s="29">
        <f t="shared" si="10"/>
        <v>3.2331653363263158E-2</v>
      </c>
      <c r="K167" s="29">
        <f t="shared" si="8"/>
        <v>4.0795731775392523E-2</v>
      </c>
      <c r="L167" s="31">
        <v>3.4259999999999999E-2</v>
      </c>
    </row>
    <row r="168" spans="7:12" x14ac:dyDescent="0.35">
      <c r="G168" s="2">
        <v>145</v>
      </c>
      <c r="H168" s="25">
        <v>3.286E-2</v>
      </c>
      <c r="I168" s="29">
        <f t="shared" si="9"/>
        <v>3.2331653363262748E-2</v>
      </c>
      <c r="J168" s="29">
        <f t="shared" si="10"/>
        <v>3.2331653363262269E-2</v>
      </c>
      <c r="K168" s="29">
        <f t="shared" si="8"/>
        <v>4.0795731775391635E-2</v>
      </c>
      <c r="L168" s="31">
        <v>3.4250000000000003E-2</v>
      </c>
    </row>
    <row r="169" spans="7:12" x14ac:dyDescent="0.35">
      <c r="G169" s="7">
        <v>146</v>
      </c>
      <c r="H169" s="24">
        <v>3.286E-2</v>
      </c>
      <c r="I169" s="29">
        <f t="shared" si="9"/>
        <v>3.2331653363262748E-2</v>
      </c>
      <c r="J169" s="29">
        <f t="shared" si="10"/>
        <v>3.2331653363263158E-2</v>
      </c>
      <c r="K169" s="29">
        <f t="shared" si="8"/>
        <v>4.0795731775392523E-2</v>
      </c>
      <c r="L169" s="31">
        <v>3.424E-2</v>
      </c>
    </row>
    <row r="170" spans="7:12" x14ac:dyDescent="0.35">
      <c r="G170" s="7">
        <v>147</v>
      </c>
      <c r="H170" s="24">
        <v>3.286E-2</v>
      </c>
      <c r="I170" s="29">
        <f t="shared" si="9"/>
        <v>3.2331653363262748E-2</v>
      </c>
      <c r="J170" s="29">
        <f t="shared" si="10"/>
        <v>3.2331653363262269E-2</v>
      </c>
      <c r="K170" s="29">
        <f t="shared" si="8"/>
        <v>4.0795731775391635E-2</v>
      </c>
      <c r="L170" s="31">
        <v>3.4229999999999997E-2</v>
      </c>
    </row>
    <row r="171" spans="7:12" x14ac:dyDescent="0.35">
      <c r="G171" s="7">
        <v>148</v>
      </c>
      <c r="H171" s="24">
        <v>3.286E-2</v>
      </c>
      <c r="I171" s="29">
        <f t="shared" si="9"/>
        <v>3.2331653363262748E-2</v>
      </c>
      <c r="J171" s="29">
        <f t="shared" si="10"/>
        <v>3.2331653363263158E-2</v>
      </c>
      <c r="K171" s="29">
        <f t="shared" si="8"/>
        <v>4.0795731775392523E-2</v>
      </c>
      <c r="L171" s="31">
        <v>3.422E-2</v>
      </c>
    </row>
    <row r="172" spans="7:12" x14ac:dyDescent="0.35">
      <c r="G172" s="2">
        <v>149</v>
      </c>
      <c r="H172" s="25">
        <v>3.286E-2</v>
      </c>
      <c r="I172" s="29">
        <f t="shared" si="9"/>
        <v>3.2331653363262748E-2</v>
      </c>
      <c r="J172" s="29">
        <f t="shared" si="10"/>
        <v>3.2331653363262269E-2</v>
      </c>
      <c r="K172" s="29">
        <f t="shared" si="8"/>
        <v>4.0795731775391635E-2</v>
      </c>
      <c r="L172" s="31">
        <v>3.4209999999999997E-2</v>
      </c>
    </row>
    <row r="173" spans="7:12" x14ac:dyDescent="0.35">
      <c r="G173" s="2">
        <v>150</v>
      </c>
      <c r="H173" s="25">
        <v>3.2870000000000003E-2</v>
      </c>
      <c r="I173" s="29">
        <f t="shared" si="9"/>
        <v>3.2341335170662691E-2</v>
      </c>
      <c r="J173" s="29">
        <f t="shared" si="10"/>
        <v>3.3783924473254068E-2</v>
      </c>
      <c r="K173" s="29">
        <f t="shared" si="8"/>
        <v>4.2248002885383433E-2</v>
      </c>
      <c r="L173" s="32">
        <v>3.4209999999999997E-2</v>
      </c>
    </row>
  </sheetData>
  <pageMargins left="0.7" right="0.7" top="0.75" bottom="0.75" header="0.3" footer="0.3"/>
  <headerFooter>
    <oddHeader>&amp;R&amp;"Aptos"&amp;10&amp;K000000 PUBLIC&amp;1#_x000D_</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2CB6-5101-4C48-A017-5FFB40A7F70B}">
  <sheetPr codeName="shVA">
    <tabColor theme="3" tint="0.499984740745262"/>
  </sheetPr>
  <dimension ref="A1:N172"/>
  <sheetViews>
    <sheetView tabSelected="1" workbookViewId="0">
      <selection activeCell="L11" sqref="L11"/>
    </sheetView>
  </sheetViews>
  <sheetFormatPr defaultColWidth="0" defaultRowHeight="14.5" x14ac:dyDescent="0.35"/>
  <cols>
    <col min="1" max="6" width="9.1796875" style="2" customWidth="1"/>
    <col min="7" max="7" width="12" style="2" customWidth="1"/>
    <col min="8" max="8" width="11.453125" style="2" customWidth="1"/>
    <col min="9" max="9" width="15.54296875" style="2" customWidth="1"/>
    <col min="10" max="10" width="13.1796875" style="2" customWidth="1"/>
    <col min="11" max="11" width="15.1796875" style="2" customWidth="1"/>
    <col min="12" max="12" width="12.81640625" style="2" customWidth="1"/>
    <col min="13" max="13" width="14.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85</v>
      </c>
      <c r="G6" s="6"/>
      <c r="H6" s="6"/>
      <c r="I6" s="6"/>
      <c r="J6" s="6"/>
      <c r="K6" s="6"/>
      <c r="L6" s="6"/>
      <c r="M6" s="6"/>
    </row>
    <row r="7" spans="1:14" ht="15" thickTop="1" x14ac:dyDescent="0.35"/>
    <row r="8" spans="1:14" ht="15" customHeight="1" thickBot="1" x14ac:dyDescent="0.4">
      <c r="F8" s="7"/>
      <c r="G8" s="58"/>
      <c r="H8" s="65" t="s">
        <v>20</v>
      </c>
      <c r="I8" s="7"/>
      <c r="K8" s="58"/>
      <c r="L8" s="65" t="s">
        <v>23</v>
      </c>
    </row>
    <row r="9" spans="1:14" x14ac:dyDescent="0.35">
      <c r="F9" s="7"/>
      <c r="G9" s="7"/>
      <c r="H9" s="23"/>
      <c r="I9" s="7"/>
      <c r="K9" s="7"/>
      <c r="L9" s="7"/>
    </row>
    <row r="10" spans="1:14" x14ac:dyDescent="0.35">
      <c r="F10" s="7"/>
      <c r="G10" s="12" t="s">
        <v>21</v>
      </c>
      <c r="H10" s="60" t="b">
        <v>0</v>
      </c>
      <c r="I10" s="7"/>
      <c r="K10" s="12" t="s">
        <v>24</v>
      </c>
      <c r="L10" s="82">
        <f>IF(V.USA_SELECTED,
    85% * V.CSSR * V.USA * V.RCS_CU,
    85% * V.CSSR * V.RCS_CU)</f>
        <v>3.4000000000000002E-3</v>
      </c>
      <c r="N10" s="7"/>
    </row>
    <row r="11" spans="1:14" x14ac:dyDescent="0.35">
      <c r="F11" s="7"/>
      <c r="G11" s="12" t="s">
        <v>28</v>
      </c>
      <c r="H11" s="60" t="b">
        <v>1</v>
      </c>
      <c r="I11" s="7"/>
      <c r="K11" s="12"/>
      <c r="L11" s="82">
        <f>MAX(MIN((V.RCS_CO * V.DTTA - 0.6%) / 0.3%, 1), 0)</f>
        <v>0.33333333333333331</v>
      </c>
      <c r="N11" s="7"/>
    </row>
    <row r="12" spans="1:14" x14ac:dyDescent="0.35">
      <c r="F12" s="7"/>
      <c r="G12" s="12" t="s">
        <v>29</v>
      </c>
      <c r="H12" s="67">
        <v>0.8</v>
      </c>
      <c r="I12" s="7"/>
      <c r="K12" s="12" t="s">
        <v>25</v>
      </c>
      <c r="L12" s="83" t="e">
        <f>IF(V.MACROVA_SELECTED, 85% * V.CSSR * MAX(V.RCS_CO - 1.3 * V.RCS_CU, 0) * V.W_CO, NA())</f>
        <v>#N/A</v>
      </c>
      <c r="N12" s="7"/>
    </row>
    <row r="13" spans="1:14" x14ac:dyDescent="0.35">
      <c r="F13" s="7"/>
      <c r="G13" s="7"/>
      <c r="H13" s="7"/>
      <c r="I13" s="7"/>
      <c r="K13" s="12" t="s">
        <v>26</v>
      </c>
      <c r="L13" s="88">
        <f>ROUND(IF(V.MACROVA_SELECTED, V.CURRENCY_VA + V.MACRO_VA, V.CURRENCY_VA), 4)</f>
        <v>3.3999999999999998E-3</v>
      </c>
      <c r="N13" s="7"/>
    </row>
    <row r="14" spans="1:14" x14ac:dyDescent="0.35">
      <c r="F14" s="7"/>
      <c r="I14" s="7"/>
      <c r="N14" s="7"/>
    </row>
    <row r="15" spans="1:14" x14ac:dyDescent="0.35">
      <c r="F15" s="7"/>
      <c r="I15" s="7"/>
      <c r="N15" s="7"/>
    </row>
    <row r="16" spans="1:14" x14ac:dyDescent="0.35">
      <c r="F16" s="7"/>
      <c r="I16" s="7"/>
      <c r="N16" s="7"/>
    </row>
    <row r="17" spans="6:12" x14ac:dyDescent="0.35">
      <c r="F17" s="7"/>
      <c r="I17" s="7"/>
    </row>
    <row r="18" spans="6:12" ht="15" thickBot="1" x14ac:dyDescent="0.4">
      <c r="F18" s="64" t="s">
        <v>84</v>
      </c>
      <c r="G18" s="63"/>
      <c r="H18" s="63"/>
      <c r="I18" s="58"/>
      <c r="J18" s="63"/>
      <c r="K18" s="58"/>
      <c r="L18" s="58"/>
    </row>
    <row r="19" spans="6:12" x14ac:dyDescent="0.35">
      <c r="G19" s="7"/>
      <c r="H19" s="7"/>
      <c r="I19" s="23"/>
      <c r="J19" s="7"/>
    </row>
    <row r="20" spans="6:12" x14ac:dyDescent="0.35">
      <c r="G20" s="7"/>
      <c r="J20" s="12" t="s">
        <v>32</v>
      </c>
      <c r="K20" s="34" cm="1">
        <f t="array" ref="K20">_xlfn.LET(_xlpm.FIRST_LLFR_FORWARD, INDEX(R.FWD_CURVE, V.FSP),
     _xlpm.FIRST_LLFR_WEIGHT, INDEX(R.LLFR_WEIGHTS, V.FSP),
     V.LLFR - _xlpm.FIRST_LLFR_WEIGHT * _xlpm.FIRST_LLFR_FORWARD + _xlpm.FIRST_LLFR_WEIGHT * INDEX(R.FWD_VA_CURVE, V.FSP))</f>
        <v>3.3368968190749068E-2</v>
      </c>
    </row>
    <row r="21" spans="6:12" x14ac:dyDescent="0.35">
      <c r="G21" s="7"/>
      <c r="H21" s="7"/>
      <c r="I21" s="23"/>
      <c r="J21" s="7"/>
    </row>
    <row r="22" spans="6:12" x14ac:dyDescent="0.35">
      <c r="G22" s="37" t="s">
        <v>13</v>
      </c>
      <c r="H22" s="37" t="s">
        <v>43</v>
      </c>
      <c r="I22" s="37" t="s">
        <v>89</v>
      </c>
      <c r="J22" s="37" t="s">
        <v>93</v>
      </c>
      <c r="K22" s="37" t="s">
        <v>91</v>
      </c>
      <c r="L22" s="37" t="s">
        <v>27</v>
      </c>
    </row>
    <row r="23" spans="6:12" x14ac:dyDescent="0.35">
      <c r="G23" s="7">
        <v>1</v>
      </c>
      <c r="H23" s="24" cm="1">
        <f t="array" ref="H23:H172">R.BASIC_RFR</f>
        <v>2.0760000000000001E-2</v>
      </c>
      <c r="I23" s="29">
        <f>LN(1+H23)</f>
        <v>2.0547447887660109E-2</v>
      </c>
      <c r="J23" s="29">
        <f>I23</f>
        <v>2.0547447887660109E-2</v>
      </c>
      <c r="K23" s="29">
        <f t="shared" ref="K23:K54" si="0">J23+LN(1+V.TOTAL_VA)</f>
        <v>2.3941680955675726E-2</v>
      </c>
      <c r="L23" s="30" cm="1">
        <f t="array" ref="L23:L172">ROUND(Extrapolation(K23:K172, "F", V.FSP,V.UFR,V.TOTAL_VA_LLFR,V.ALPHA,"A"), 5)</f>
        <v>2.4230000000000002E-2</v>
      </c>
    </row>
    <row r="24" spans="6:12" x14ac:dyDescent="0.35">
      <c r="G24" s="7">
        <v>2</v>
      </c>
      <c r="H24" s="24">
        <v>2.163E-2</v>
      </c>
      <c r="I24" s="29">
        <f t="shared" ref="I24:I87" si="1">LN(1+H24)</f>
        <v>2.139939100589016E-2</v>
      </c>
      <c r="J24" s="29">
        <f>G24*I24-G23*I23</f>
        <v>2.2251334124120212E-2</v>
      </c>
      <c r="K24" s="29">
        <f t="shared" si="0"/>
        <v>2.5645567192135829E-2</v>
      </c>
      <c r="L24" s="31">
        <v>2.5100000000000001E-2</v>
      </c>
    </row>
    <row r="25" spans="6:12" x14ac:dyDescent="0.35">
      <c r="G25" s="7">
        <v>3</v>
      </c>
      <c r="H25" s="24">
        <v>2.283E-2</v>
      </c>
      <c r="I25" s="29">
        <f t="shared" si="1"/>
        <v>2.2573295252297509E-2</v>
      </c>
      <c r="J25" s="29">
        <f t="shared" ref="J25:J88" si="2">G25*I25-G24*I24</f>
        <v>2.4921103745112208E-2</v>
      </c>
      <c r="K25" s="29">
        <f t="shared" si="0"/>
        <v>2.8315336813127825E-2</v>
      </c>
      <c r="L25" s="31">
        <v>2.631E-2</v>
      </c>
    </row>
    <row r="26" spans="6:12" x14ac:dyDescent="0.35">
      <c r="G26" s="2">
        <v>4</v>
      </c>
      <c r="H26" s="25">
        <v>2.3859999999999999E-2</v>
      </c>
      <c r="I26" s="29">
        <f t="shared" si="1"/>
        <v>2.3579798520455796E-2</v>
      </c>
      <c r="J26" s="29">
        <f t="shared" si="2"/>
        <v>2.6599308324930654E-2</v>
      </c>
      <c r="K26" s="29">
        <f t="shared" si="0"/>
        <v>2.9993541392946271E-2</v>
      </c>
      <c r="L26" s="31">
        <v>2.734E-2</v>
      </c>
    </row>
    <row r="27" spans="6:12" x14ac:dyDescent="0.35">
      <c r="G27" s="2">
        <v>5</v>
      </c>
      <c r="H27" s="25">
        <v>2.479E-2</v>
      </c>
      <c r="I27" s="29">
        <f t="shared" si="1"/>
        <v>2.448771355121664E-2</v>
      </c>
      <c r="J27" s="29">
        <f t="shared" si="2"/>
        <v>2.8119373674260012E-2</v>
      </c>
      <c r="K27" s="29">
        <f t="shared" si="0"/>
        <v>3.1513606742275629E-2</v>
      </c>
      <c r="L27" s="31">
        <v>2.827E-2</v>
      </c>
    </row>
    <row r="28" spans="6:12" x14ac:dyDescent="0.35">
      <c r="G28" s="7">
        <v>6</v>
      </c>
      <c r="H28" s="24">
        <v>2.5649999999999999E-2</v>
      </c>
      <c r="I28" s="29">
        <f t="shared" si="1"/>
        <v>2.5326557946008802E-2</v>
      </c>
      <c r="J28" s="29">
        <f t="shared" si="2"/>
        <v>2.9520779919969625E-2</v>
      </c>
      <c r="K28" s="29">
        <f t="shared" si="0"/>
        <v>3.2915012987985243E-2</v>
      </c>
      <c r="L28" s="31">
        <v>2.9139999999999999E-2</v>
      </c>
    </row>
    <row r="29" spans="6:12" x14ac:dyDescent="0.35">
      <c r="G29" s="7">
        <v>7</v>
      </c>
      <c r="H29" s="24">
        <v>2.6509999999999999E-2</v>
      </c>
      <c r="I29" s="29">
        <f t="shared" si="1"/>
        <v>2.6164699270607803E-2</v>
      </c>
      <c r="J29" s="29">
        <f t="shared" si="2"/>
        <v>3.1193547218201806E-2</v>
      </c>
      <c r="K29" s="29">
        <f t="shared" si="0"/>
        <v>3.4587780286217423E-2</v>
      </c>
      <c r="L29" s="31">
        <v>0.03</v>
      </c>
    </row>
    <row r="30" spans="6:12" x14ac:dyDescent="0.35">
      <c r="G30" s="7">
        <v>8</v>
      </c>
      <c r="H30" s="24">
        <v>2.724E-2</v>
      </c>
      <c r="I30" s="29">
        <f t="shared" si="1"/>
        <v>2.6875594005354799E-2</v>
      </c>
      <c r="J30" s="29">
        <f t="shared" si="2"/>
        <v>3.1851857148583768E-2</v>
      </c>
      <c r="K30" s="29">
        <f t="shared" si="0"/>
        <v>3.5246090216599385E-2</v>
      </c>
      <c r="L30" s="31">
        <v>3.073E-2</v>
      </c>
    </row>
    <row r="31" spans="6:12" x14ac:dyDescent="0.35">
      <c r="G31" s="2">
        <v>9</v>
      </c>
      <c r="H31" s="25">
        <v>2.793E-2</v>
      </c>
      <c r="I31" s="29">
        <f t="shared" si="1"/>
        <v>2.7547071329299563E-2</v>
      </c>
      <c r="J31" s="29">
        <f t="shared" si="2"/>
        <v>3.2918889920857675E-2</v>
      </c>
      <c r="K31" s="29">
        <f t="shared" si="0"/>
        <v>3.6313122988873292E-2</v>
      </c>
      <c r="L31" s="31">
        <v>3.1419999999999997E-2</v>
      </c>
    </row>
    <row r="32" spans="6:12" x14ac:dyDescent="0.35">
      <c r="G32" s="2">
        <v>10</v>
      </c>
      <c r="H32" s="25">
        <v>2.8629999999999999E-2</v>
      </c>
      <c r="I32" s="29">
        <f t="shared" si="1"/>
        <v>2.8227819789867374E-2</v>
      </c>
      <c r="J32" s="29">
        <f t="shared" si="2"/>
        <v>3.4354555934977687E-2</v>
      </c>
      <c r="K32" s="29">
        <f t="shared" si="0"/>
        <v>3.7748789002993305E-2</v>
      </c>
      <c r="L32" s="31">
        <v>3.2129999999999999E-2</v>
      </c>
    </row>
    <row r="33" spans="7:12" x14ac:dyDescent="0.35">
      <c r="G33" s="7">
        <v>11</v>
      </c>
      <c r="H33" s="24">
        <v>2.921E-2</v>
      </c>
      <c r="I33" s="29">
        <f t="shared" si="1"/>
        <v>2.8791517662742034E-2</v>
      </c>
      <c r="J33" s="29">
        <f t="shared" si="2"/>
        <v>3.4428496391488594E-2</v>
      </c>
      <c r="K33" s="29">
        <f t="shared" si="0"/>
        <v>3.7822729459504212E-2</v>
      </c>
      <c r="L33" s="31">
        <v>3.2710000000000003E-2</v>
      </c>
    </row>
    <row r="34" spans="7:12" x14ac:dyDescent="0.35">
      <c r="G34" s="7">
        <v>12</v>
      </c>
      <c r="H34" s="24">
        <v>2.9749999999999999E-2</v>
      </c>
      <c r="I34" s="29">
        <f t="shared" si="1"/>
        <v>2.9316054334053016E-2</v>
      </c>
      <c r="J34" s="29">
        <f t="shared" si="2"/>
        <v>3.5085957718473837E-2</v>
      </c>
      <c r="K34" s="29">
        <f t="shared" si="0"/>
        <v>3.8480190786489454E-2</v>
      </c>
      <c r="L34" s="31">
        <v>3.3250000000000002E-2</v>
      </c>
    </row>
    <row r="35" spans="7:12" x14ac:dyDescent="0.35">
      <c r="G35" s="7">
        <v>13</v>
      </c>
      <c r="H35" s="24">
        <v>3.0329999999999999E-2</v>
      </c>
      <c r="I35" s="29">
        <f t="shared" si="1"/>
        <v>2.9879139277671531E-2</v>
      </c>
      <c r="J35" s="29">
        <f t="shared" si="2"/>
        <v>3.6636158601093705E-2</v>
      </c>
      <c r="K35" s="29">
        <f t="shared" si="0"/>
        <v>4.0030391669109322E-2</v>
      </c>
      <c r="L35" s="31">
        <v>3.3829999999999999E-2</v>
      </c>
    </row>
    <row r="36" spans="7:12" x14ac:dyDescent="0.35">
      <c r="G36" s="2">
        <v>14</v>
      </c>
      <c r="H36" s="25">
        <v>3.073E-2</v>
      </c>
      <c r="I36" s="29">
        <f t="shared" si="1"/>
        <v>3.0267289069547523E-2</v>
      </c>
      <c r="J36" s="29">
        <f t="shared" si="2"/>
        <v>3.5313236363935463E-2</v>
      </c>
      <c r="K36" s="29">
        <f t="shared" si="0"/>
        <v>3.870746943195108E-2</v>
      </c>
      <c r="L36" s="31">
        <v>3.4229999999999997E-2</v>
      </c>
    </row>
    <row r="37" spans="7:12" x14ac:dyDescent="0.35">
      <c r="G37" s="2">
        <v>15</v>
      </c>
      <c r="H37" s="25">
        <v>3.107E-2</v>
      </c>
      <c r="I37" s="29">
        <f t="shared" si="1"/>
        <v>3.0597097977377509E-2</v>
      </c>
      <c r="J37" s="29">
        <f t="shared" si="2"/>
        <v>3.521442268699726E-2</v>
      </c>
      <c r="K37" s="29">
        <f t="shared" si="0"/>
        <v>3.8608655755012877E-2</v>
      </c>
      <c r="L37" s="31">
        <v>3.458E-2</v>
      </c>
    </row>
    <row r="38" spans="7:12" x14ac:dyDescent="0.35">
      <c r="G38" s="7">
        <v>16</v>
      </c>
      <c r="H38" s="24">
        <v>3.1329999999999997E-2</v>
      </c>
      <c r="I38" s="29">
        <f t="shared" si="1"/>
        <v>3.084923141548605E-2</v>
      </c>
      <c r="J38" s="29">
        <f t="shared" si="2"/>
        <v>3.463123298711418E-2</v>
      </c>
      <c r="K38" s="29">
        <f t="shared" si="0"/>
        <v>3.8025466055129797E-2</v>
      </c>
      <c r="L38" s="31">
        <v>3.4840000000000003E-2</v>
      </c>
    </row>
    <row r="39" spans="7:12" x14ac:dyDescent="0.35">
      <c r="G39" s="7">
        <v>17</v>
      </c>
      <c r="H39" s="24">
        <v>3.1550000000000002E-2</v>
      </c>
      <c r="I39" s="29">
        <f t="shared" si="1"/>
        <v>3.1062525451817733E-2</v>
      </c>
      <c r="J39" s="29">
        <f t="shared" si="2"/>
        <v>3.4475230033124638E-2</v>
      </c>
      <c r="K39" s="29">
        <f t="shared" si="0"/>
        <v>3.7869463101140255E-2</v>
      </c>
      <c r="L39" s="31">
        <v>3.5060000000000001E-2</v>
      </c>
    </row>
    <row r="40" spans="7:12" x14ac:dyDescent="0.35">
      <c r="G40" s="7">
        <v>18</v>
      </c>
      <c r="H40" s="24">
        <v>3.175E-2</v>
      </c>
      <c r="I40" s="29">
        <f t="shared" si="1"/>
        <v>3.1256389650554092E-2</v>
      </c>
      <c r="J40" s="29">
        <f t="shared" si="2"/>
        <v>3.4552081029072257E-2</v>
      </c>
      <c r="K40" s="29">
        <f t="shared" si="0"/>
        <v>3.7946314097087874E-2</v>
      </c>
      <c r="L40" s="31">
        <v>3.526E-2</v>
      </c>
    </row>
    <row r="41" spans="7:12" x14ac:dyDescent="0.35">
      <c r="G41" s="2">
        <v>19</v>
      </c>
      <c r="H41" s="25">
        <v>3.193E-2</v>
      </c>
      <c r="I41" s="29">
        <f t="shared" si="1"/>
        <v>3.1430835301484994E-2</v>
      </c>
      <c r="J41" s="29">
        <f t="shared" si="2"/>
        <v>3.4570857018241252E-2</v>
      </c>
      <c r="K41" s="29">
        <f t="shared" si="0"/>
        <v>3.796509008625687E-2</v>
      </c>
      <c r="L41" s="31">
        <v>3.5439999999999999E-2</v>
      </c>
    </row>
    <row r="42" spans="7:12" x14ac:dyDescent="0.35">
      <c r="G42" s="2">
        <v>20</v>
      </c>
      <c r="H42" s="25">
        <v>3.209E-2</v>
      </c>
      <c r="I42" s="29">
        <f t="shared" si="1"/>
        <v>3.1585872559186393E-2</v>
      </c>
      <c r="J42" s="29">
        <f t="shared" si="2"/>
        <v>3.4531580455512856E-2</v>
      </c>
      <c r="K42" s="29">
        <f t="shared" si="0"/>
        <v>3.7925813523528473E-2</v>
      </c>
      <c r="L42" s="31">
        <v>3.56E-2</v>
      </c>
    </row>
    <row r="43" spans="7:12" x14ac:dyDescent="0.35">
      <c r="G43" s="7">
        <v>21</v>
      </c>
      <c r="H43" s="24">
        <v>3.2120000000000003E-2</v>
      </c>
      <c r="I43" s="29">
        <f t="shared" si="1"/>
        <v>3.1614939369251346E-2</v>
      </c>
      <c r="J43" s="29">
        <f t="shared" si="2"/>
        <v>3.2196275570550492E-2</v>
      </c>
      <c r="K43" s="29">
        <f t="shared" si="0"/>
        <v>3.559050863856611E-2</v>
      </c>
      <c r="L43" s="31">
        <v>3.5520000000000003E-2</v>
      </c>
    </row>
    <row r="44" spans="7:12" x14ac:dyDescent="0.35">
      <c r="G44" s="7">
        <v>22</v>
      </c>
      <c r="H44" s="24">
        <v>3.2149999999999998E-2</v>
      </c>
      <c r="I44" s="29">
        <f t="shared" si="1"/>
        <v>3.1644005334461406E-2</v>
      </c>
      <c r="J44" s="29">
        <f t="shared" si="2"/>
        <v>3.2254390603872585E-2</v>
      </c>
      <c r="K44" s="29">
        <f t="shared" si="0"/>
        <v>3.5648623671888202E-2</v>
      </c>
      <c r="L44" s="31">
        <v>3.5439999999999999E-2</v>
      </c>
    </row>
    <row r="45" spans="7:12" x14ac:dyDescent="0.35">
      <c r="G45" s="7">
        <v>23</v>
      </c>
      <c r="H45" s="24">
        <v>3.218E-2</v>
      </c>
      <c r="I45" s="29">
        <f t="shared" si="1"/>
        <v>3.1673070454865906E-2</v>
      </c>
      <c r="J45" s="29">
        <f t="shared" si="2"/>
        <v>3.2312503103764989E-2</v>
      </c>
      <c r="K45" s="29">
        <f t="shared" si="0"/>
        <v>3.5706736171780606E-2</v>
      </c>
      <c r="L45" s="31">
        <v>3.5360000000000003E-2</v>
      </c>
    </row>
    <row r="46" spans="7:12" x14ac:dyDescent="0.35">
      <c r="G46" s="2">
        <v>24</v>
      </c>
      <c r="H46" s="25">
        <v>3.2210000000000003E-2</v>
      </c>
      <c r="I46" s="29">
        <f t="shared" si="1"/>
        <v>3.1702134730513518E-2</v>
      </c>
      <c r="J46" s="29">
        <f t="shared" si="2"/>
        <v>3.237061307040856E-2</v>
      </c>
      <c r="K46" s="29">
        <f t="shared" si="0"/>
        <v>3.5764846138424178E-2</v>
      </c>
      <c r="L46" s="31">
        <v>3.5290000000000002E-2</v>
      </c>
    </row>
    <row r="47" spans="7:12" x14ac:dyDescent="0.35">
      <c r="G47" s="2">
        <v>25</v>
      </c>
      <c r="H47" s="25">
        <v>3.2239999999999998E-2</v>
      </c>
      <c r="I47" s="29">
        <f t="shared" si="1"/>
        <v>3.1731198161453561E-2</v>
      </c>
      <c r="J47" s="29">
        <f t="shared" si="2"/>
        <v>3.2428720504014574E-2</v>
      </c>
      <c r="K47" s="29">
        <f t="shared" si="0"/>
        <v>3.5822953572030192E-2</v>
      </c>
      <c r="L47" s="31">
        <v>3.5220000000000001E-2</v>
      </c>
    </row>
    <row r="48" spans="7:12" x14ac:dyDescent="0.35">
      <c r="G48" s="7">
        <v>26</v>
      </c>
      <c r="H48" s="24">
        <v>3.2259999999999997E-2</v>
      </c>
      <c r="I48" s="29">
        <f t="shared" si="1"/>
        <v>3.1750573312822446E-2</v>
      </c>
      <c r="J48" s="29">
        <f t="shared" si="2"/>
        <v>3.2234952097044633E-2</v>
      </c>
      <c r="K48" s="29">
        <f t="shared" si="0"/>
        <v>3.5629185165060251E-2</v>
      </c>
      <c r="L48" s="31">
        <v>3.5159999999999997E-2</v>
      </c>
    </row>
    <row r="49" spans="7:12" x14ac:dyDescent="0.35">
      <c r="G49" s="7">
        <v>27</v>
      </c>
      <c r="H49" s="24">
        <v>3.2289999999999999E-2</v>
      </c>
      <c r="I49" s="29">
        <f t="shared" si="1"/>
        <v>3.1779635336025652E-2</v>
      </c>
      <c r="J49" s="29">
        <f t="shared" si="2"/>
        <v>3.2535247939308953E-2</v>
      </c>
      <c r="K49" s="29">
        <f t="shared" si="0"/>
        <v>3.5929481007324571E-2</v>
      </c>
      <c r="L49" s="31">
        <v>3.5090000000000003E-2</v>
      </c>
    </row>
    <row r="50" spans="7:12" x14ac:dyDescent="0.35">
      <c r="G50" s="7">
        <v>28</v>
      </c>
      <c r="H50" s="24">
        <v>3.2309999999999998E-2</v>
      </c>
      <c r="I50" s="29">
        <f t="shared" si="1"/>
        <v>3.1799009548948987E-2</v>
      </c>
      <c r="J50" s="29">
        <f t="shared" si="2"/>
        <v>3.232211329787904E-2</v>
      </c>
      <c r="K50" s="29">
        <f t="shared" si="0"/>
        <v>3.5716346365894658E-2</v>
      </c>
      <c r="L50" s="31">
        <v>3.5029999999999999E-2</v>
      </c>
    </row>
    <row r="51" spans="7:12" x14ac:dyDescent="0.35">
      <c r="G51" s="2">
        <v>29</v>
      </c>
      <c r="H51" s="25">
        <v>3.2329999999999998E-2</v>
      </c>
      <c r="I51" s="29">
        <f t="shared" si="1"/>
        <v>3.1818383386519246E-2</v>
      </c>
      <c r="J51" s="29">
        <f t="shared" si="2"/>
        <v>3.2360850838486499E-2</v>
      </c>
      <c r="K51" s="29">
        <f t="shared" si="0"/>
        <v>3.5755083906502116E-2</v>
      </c>
      <c r="L51" s="31">
        <v>3.4979999999999997E-2</v>
      </c>
    </row>
    <row r="52" spans="7:12" x14ac:dyDescent="0.35">
      <c r="G52" s="2">
        <v>30</v>
      </c>
      <c r="H52" s="25">
        <v>3.2349999999999997E-2</v>
      </c>
      <c r="I52" s="29">
        <f t="shared" si="1"/>
        <v>3.1837756848751418E-2</v>
      </c>
      <c r="J52" s="29">
        <f t="shared" si="2"/>
        <v>3.2399587253484463E-2</v>
      </c>
      <c r="K52" s="29">
        <f t="shared" si="0"/>
        <v>3.5793820321500081E-2</v>
      </c>
      <c r="L52" s="31">
        <v>3.492E-2</v>
      </c>
    </row>
    <row r="53" spans="7:12" x14ac:dyDescent="0.35">
      <c r="G53" s="7">
        <v>31</v>
      </c>
      <c r="H53" s="24">
        <v>3.2370000000000003E-2</v>
      </c>
      <c r="I53" s="29">
        <f t="shared" si="1"/>
        <v>3.1857129935659603E-2</v>
      </c>
      <c r="J53" s="29">
        <f t="shared" si="2"/>
        <v>3.2438322542905129E-2</v>
      </c>
      <c r="K53" s="29">
        <f t="shared" si="0"/>
        <v>3.5832555610920747E-2</v>
      </c>
      <c r="L53" s="31">
        <v>3.4869999999999998E-2</v>
      </c>
    </row>
    <row r="54" spans="7:12" x14ac:dyDescent="0.35">
      <c r="G54" s="7">
        <v>32</v>
      </c>
      <c r="H54" s="24">
        <v>3.2379999999999999E-2</v>
      </c>
      <c r="I54" s="29">
        <f t="shared" si="1"/>
        <v>3.1866816338371934E-2</v>
      </c>
      <c r="J54" s="29">
        <f t="shared" si="2"/>
        <v>3.2167094822454168E-2</v>
      </c>
      <c r="K54" s="29">
        <f t="shared" si="0"/>
        <v>3.5561327890469785E-2</v>
      </c>
      <c r="L54" s="31">
        <v>3.4819999999999997E-2</v>
      </c>
    </row>
    <row r="55" spans="7:12" x14ac:dyDescent="0.35">
      <c r="G55" s="7">
        <v>33</v>
      </c>
      <c r="H55" s="24">
        <v>3.2399999999999998E-2</v>
      </c>
      <c r="I55" s="29">
        <f t="shared" si="1"/>
        <v>3.1886188862321731E-2</v>
      </c>
      <c r="J55" s="29">
        <f t="shared" si="2"/>
        <v>3.2506109628715141E-2</v>
      </c>
      <c r="K55" s="29">
        <f t="shared" ref="K55:K86" si="3">J55+LN(1+V.TOTAL_VA)</f>
        <v>3.5900342696730758E-2</v>
      </c>
      <c r="L55" s="31">
        <v>3.4770000000000002E-2</v>
      </c>
    </row>
    <row r="56" spans="7:12" x14ac:dyDescent="0.35">
      <c r="G56" s="2">
        <v>34</v>
      </c>
      <c r="H56" s="25">
        <v>3.2419999999999997E-2</v>
      </c>
      <c r="I56" s="29">
        <f t="shared" si="1"/>
        <v>3.1905561010984122E-2</v>
      </c>
      <c r="J56" s="29">
        <f t="shared" si="2"/>
        <v>3.2544841916843037E-2</v>
      </c>
      <c r="K56" s="29">
        <f t="shared" si="3"/>
        <v>3.5939074984858654E-2</v>
      </c>
      <c r="L56" s="31">
        <v>3.4720000000000001E-2</v>
      </c>
    </row>
    <row r="57" spans="7:12" x14ac:dyDescent="0.35">
      <c r="G57" s="2">
        <v>35</v>
      </c>
      <c r="H57" s="25">
        <v>3.243E-2</v>
      </c>
      <c r="I57" s="29">
        <f t="shared" si="1"/>
        <v>3.1915246944587181E-2</v>
      </c>
      <c r="J57" s="29">
        <f t="shared" si="2"/>
        <v>3.2244568687091357E-2</v>
      </c>
      <c r="K57" s="29">
        <f t="shared" si="3"/>
        <v>3.5638801755106975E-2</v>
      </c>
      <c r="L57" s="31">
        <v>3.4680000000000002E-2</v>
      </c>
    </row>
    <row r="58" spans="7:12" x14ac:dyDescent="0.35">
      <c r="G58" s="7">
        <v>36</v>
      </c>
      <c r="H58" s="24">
        <v>3.245E-2</v>
      </c>
      <c r="I58" s="29">
        <f t="shared" si="1"/>
        <v>3.1934618530345925E-2</v>
      </c>
      <c r="J58" s="29">
        <f t="shared" si="2"/>
        <v>3.2612624031901793E-2</v>
      </c>
      <c r="K58" s="29">
        <f t="shared" si="3"/>
        <v>3.6006857099917411E-2</v>
      </c>
      <c r="L58" s="31">
        <v>3.4639999999999997E-2</v>
      </c>
    </row>
    <row r="59" spans="7:12" x14ac:dyDescent="0.35">
      <c r="G59" s="7">
        <v>37</v>
      </c>
      <c r="H59" s="24">
        <v>3.2460000000000003E-2</v>
      </c>
      <c r="I59" s="29">
        <f t="shared" si="1"/>
        <v>3.1944304182505025E-2</v>
      </c>
      <c r="J59" s="29">
        <f t="shared" si="2"/>
        <v>3.2292987660232697E-2</v>
      </c>
      <c r="K59" s="29">
        <f t="shared" si="3"/>
        <v>3.5687220728248314E-2</v>
      </c>
      <c r="L59" s="31">
        <v>3.4599999999999999E-2</v>
      </c>
    </row>
    <row r="60" spans="7:12" x14ac:dyDescent="0.35">
      <c r="G60" s="7">
        <v>38</v>
      </c>
      <c r="H60" s="24">
        <v>3.2469999999999999E-2</v>
      </c>
      <c r="I60" s="29">
        <f t="shared" si="1"/>
        <v>3.1953989740853388E-2</v>
      </c>
      <c r="J60" s="29">
        <f t="shared" si="2"/>
        <v>3.2312355399742865E-2</v>
      </c>
      <c r="K60" s="29">
        <f t="shared" si="3"/>
        <v>3.5706588467758482E-2</v>
      </c>
      <c r="L60" s="31">
        <v>3.456E-2</v>
      </c>
    </row>
    <row r="61" spans="7:12" x14ac:dyDescent="0.35">
      <c r="G61" s="2">
        <v>39</v>
      </c>
      <c r="H61" s="25">
        <v>3.2489999999999998E-2</v>
      </c>
      <c r="I61" s="29">
        <f t="shared" si="1"/>
        <v>3.1973360576124321E-2</v>
      </c>
      <c r="J61" s="29">
        <f t="shared" si="2"/>
        <v>3.2709452316419751E-2</v>
      </c>
      <c r="K61" s="29">
        <f t="shared" si="3"/>
        <v>3.6103685384435369E-2</v>
      </c>
      <c r="L61" s="31">
        <v>3.4520000000000002E-2</v>
      </c>
    </row>
    <row r="62" spans="7:12" x14ac:dyDescent="0.35">
      <c r="G62" s="2">
        <v>40</v>
      </c>
      <c r="H62" s="25">
        <v>3.2500000000000001E-2</v>
      </c>
      <c r="I62" s="29">
        <f t="shared" si="1"/>
        <v>3.1983045853050743E-2</v>
      </c>
      <c r="J62" s="29">
        <f t="shared" si="2"/>
        <v>3.2360771653181075E-2</v>
      </c>
      <c r="K62" s="29">
        <f t="shared" si="3"/>
        <v>3.5755004721196693E-2</v>
      </c>
      <c r="L62" s="31">
        <v>3.449E-2</v>
      </c>
    </row>
    <row r="63" spans="7:12" x14ac:dyDescent="0.35">
      <c r="G63" s="7">
        <v>41</v>
      </c>
      <c r="H63" s="24">
        <v>3.2509999999999997E-2</v>
      </c>
      <c r="I63" s="29">
        <f t="shared" si="1"/>
        <v>3.1992731036173484E-2</v>
      </c>
      <c r="J63" s="29">
        <f t="shared" si="2"/>
        <v>3.2380138361083333E-2</v>
      </c>
      <c r="K63" s="29">
        <f t="shared" si="3"/>
        <v>3.577437142909895E-2</v>
      </c>
      <c r="L63" s="31">
        <v>3.4450000000000001E-2</v>
      </c>
    </row>
    <row r="64" spans="7:12" x14ac:dyDescent="0.35">
      <c r="G64" s="7">
        <v>42</v>
      </c>
      <c r="H64" s="24">
        <v>3.252E-2</v>
      </c>
      <c r="I64" s="29">
        <f t="shared" si="1"/>
        <v>3.2002416125494357E-2</v>
      </c>
      <c r="J64" s="29">
        <f t="shared" si="2"/>
        <v>3.2399504787649969E-2</v>
      </c>
      <c r="K64" s="29">
        <f t="shared" si="3"/>
        <v>3.5793737855665586E-2</v>
      </c>
      <c r="L64" s="31">
        <v>3.4419999999999999E-2</v>
      </c>
    </row>
    <row r="65" spans="7:12" x14ac:dyDescent="0.35">
      <c r="G65" s="7">
        <v>43</v>
      </c>
      <c r="H65" s="24">
        <v>3.2530000000000003E-2</v>
      </c>
      <c r="I65" s="29">
        <f t="shared" si="1"/>
        <v>3.201210112101497E-2</v>
      </c>
      <c r="J65" s="29">
        <f t="shared" si="2"/>
        <v>3.2418870932880761E-2</v>
      </c>
      <c r="K65" s="29">
        <f t="shared" si="3"/>
        <v>3.5813104000896379E-2</v>
      </c>
      <c r="L65" s="31">
        <v>3.4389999999999997E-2</v>
      </c>
    </row>
    <row r="66" spans="7:12" x14ac:dyDescent="0.35">
      <c r="G66" s="2">
        <v>44</v>
      </c>
      <c r="H66" s="25">
        <v>3.2539999999999999E-2</v>
      </c>
      <c r="I66" s="29">
        <f t="shared" si="1"/>
        <v>3.2021786022737572E-2</v>
      </c>
      <c r="J66" s="29">
        <f t="shared" si="2"/>
        <v>3.2438236796809461E-2</v>
      </c>
      <c r="K66" s="29">
        <f t="shared" si="3"/>
        <v>3.5832469864825078E-2</v>
      </c>
      <c r="L66" s="31">
        <v>3.4360000000000002E-2</v>
      </c>
    </row>
    <row r="67" spans="7:12" x14ac:dyDescent="0.35">
      <c r="G67" s="2">
        <v>45</v>
      </c>
      <c r="H67" s="25">
        <v>3.2550000000000003E-2</v>
      </c>
      <c r="I67" s="29">
        <f t="shared" si="1"/>
        <v>3.2031470830663759E-2</v>
      </c>
      <c r="J67" s="29">
        <f t="shared" si="2"/>
        <v>3.2457602379416084E-2</v>
      </c>
      <c r="K67" s="29">
        <f t="shared" si="3"/>
        <v>3.5851835447431701E-2</v>
      </c>
      <c r="L67" s="31">
        <v>3.4329999999999999E-2</v>
      </c>
    </row>
    <row r="68" spans="7:12" x14ac:dyDescent="0.35">
      <c r="G68" s="7">
        <v>46</v>
      </c>
      <c r="H68" s="24">
        <v>3.2559999999999999E-2</v>
      </c>
      <c r="I68" s="29">
        <f t="shared" si="1"/>
        <v>3.2041155544795127E-2</v>
      </c>
      <c r="J68" s="29">
        <f t="shared" si="2"/>
        <v>3.2476967680706625E-2</v>
      </c>
      <c r="K68" s="29">
        <f t="shared" si="3"/>
        <v>3.5871200748722243E-2</v>
      </c>
      <c r="L68" s="31">
        <v>3.4299999999999997E-2</v>
      </c>
    </row>
    <row r="69" spans="7:12" x14ac:dyDescent="0.35">
      <c r="G69" s="7">
        <v>47</v>
      </c>
      <c r="H69" s="24">
        <v>3.2570000000000002E-2</v>
      </c>
      <c r="I69" s="29">
        <f t="shared" si="1"/>
        <v>3.2050840165133938E-2</v>
      </c>
      <c r="J69" s="29">
        <f t="shared" si="2"/>
        <v>3.2496332700719277E-2</v>
      </c>
      <c r="K69" s="29">
        <f t="shared" si="3"/>
        <v>3.5890565768734894E-2</v>
      </c>
      <c r="L69" s="31">
        <v>3.4279999999999998E-2</v>
      </c>
    </row>
    <row r="70" spans="7:12" x14ac:dyDescent="0.35">
      <c r="G70" s="7">
        <v>48</v>
      </c>
      <c r="H70" s="24">
        <v>3.2579999999999998E-2</v>
      </c>
      <c r="I70" s="29">
        <f t="shared" si="1"/>
        <v>3.2060524691681788E-2</v>
      </c>
      <c r="J70" s="29">
        <f t="shared" si="2"/>
        <v>3.2515697439430724E-2</v>
      </c>
      <c r="K70" s="29">
        <f t="shared" si="3"/>
        <v>3.5909930507446342E-2</v>
      </c>
      <c r="L70" s="31">
        <v>3.4250000000000003E-2</v>
      </c>
    </row>
    <row r="71" spans="7:12" x14ac:dyDescent="0.35">
      <c r="G71" s="2">
        <v>49</v>
      </c>
      <c r="H71" s="25">
        <v>3.2590000000000001E-2</v>
      </c>
      <c r="I71" s="29">
        <f t="shared" si="1"/>
        <v>3.2070209124440273E-2</v>
      </c>
      <c r="J71" s="29">
        <f t="shared" si="2"/>
        <v>3.2535061896847628E-2</v>
      </c>
      <c r="K71" s="29">
        <f t="shared" si="3"/>
        <v>3.5929294964863245E-2</v>
      </c>
      <c r="L71" s="31">
        <v>3.4229999999999997E-2</v>
      </c>
    </row>
    <row r="72" spans="7:12" x14ac:dyDescent="0.35">
      <c r="G72" s="2">
        <v>50</v>
      </c>
      <c r="H72" s="25">
        <v>3.2599999999999997E-2</v>
      </c>
      <c r="I72" s="29">
        <f t="shared" si="1"/>
        <v>3.2079893463411648E-2</v>
      </c>
      <c r="J72" s="29">
        <f t="shared" si="2"/>
        <v>3.2554426073008846E-2</v>
      </c>
      <c r="K72" s="29">
        <f t="shared" si="3"/>
        <v>3.5948659141024464E-2</v>
      </c>
      <c r="L72" s="31">
        <v>3.4200000000000001E-2</v>
      </c>
    </row>
    <row r="73" spans="7:12" x14ac:dyDescent="0.35">
      <c r="G73" s="7">
        <v>51</v>
      </c>
      <c r="H73" s="24">
        <v>3.2599999999999997E-2</v>
      </c>
      <c r="I73" s="29">
        <f t="shared" si="1"/>
        <v>3.2079893463411648E-2</v>
      </c>
      <c r="J73" s="29">
        <f t="shared" si="2"/>
        <v>3.2079893463411668E-2</v>
      </c>
      <c r="K73" s="29">
        <f t="shared" si="3"/>
        <v>3.5474126531427286E-2</v>
      </c>
      <c r="L73" s="31">
        <v>3.4180000000000002E-2</v>
      </c>
    </row>
    <row r="74" spans="7:12" x14ac:dyDescent="0.35">
      <c r="G74" s="7">
        <v>52</v>
      </c>
      <c r="H74" s="24">
        <v>3.261E-2</v>
      </c>
      <c r="I74" s="29">
        <f t="shared" si="1"/>
        <v>3.2089577708597508E-2</v>
      </c>
      <c r="J74" s="29">
        <f t="shared" si="2"/>
        <v>3.2583474213076391E-2</v>
      </c>
      <c r="K74" s="29">
        <f t="shared" si="3"/>
        <v>3.5977707281092008E-2</v>
      </c>
      <c r="L74" s="31">
        <v>3.4160000000000003E-2</v>
      </c>
    </row>
    <row r="75" spans="7:12" x14ac:dyDescent="0.35">
      <c r="G75" s="7">
        <v>53</v>
      </c>
      <c r="H75" s="24">
        <v>3.2620000000000003E-2</v>
      </c>
      <c r="I75" s="29">
        <f t="shared" si="1"/>
        <v>3.2099261859999666E-2</v>
      </c>
      <c r="J75" s="29">
        <f t="shared" si="2"/>
        <v>3.2602837732911949E-2</v>
      </c>
      <c r="K75" s="29">
        <f t="shared" si="3"/>
        <v>3.5997070800927566E-2</v>
      </c>
      <c r="L75" s="31">
        <v>3.4139999999999997E-2</v>
      </c>
    </row>
    <row r="76" spans="7:12" x14ac:dyDescent="0.35">
      <c r="G76" s="2">
        <v>54</v>
      </c>
      <c r="H76" s="25">
        <v>3.2629999999999999E-2</v>
      </c>
      <c r="I76" s="29">
        <f t="shared" si="1"/>
        <v>3.2108945917619737E-2</v>
      </c>
      <c r="J76" s="29">
        <f t="shared" si="2"/>
        <v>3.2622200971483384E-2</v>
      </c>
      <c r="K76" s="29">
        <f t="shared" si="3"/>
        <v>3.6016434039499001E-2</v>
      </c>
      <c r="L76" s="31">
        <v>3.4119999999999998E-2</v>
      </c>
    </row>
    <row r="77" spans="7:12" x14ac:dyDescent="0.35">
      <c r="G77" s="2">
        <v>55</v>
      </c>
      <c r="H77" s="25">
        <v>3.2629999999999999E-2</v>
      </c>
      <c r="I77" s="29">
        <f t="shared" si="1"/>
        <v>3.2108945917619737E-2</v>
      </c>
      <c r="J77" s="29">
        <f t="shared" si="2"/>
        <v>3.2108945917619813E-2</v>
      </c>
      <c r="K77" s="29">
        <f t="shared" si="3"/>
        <v>3.5503178985635431E-2</v>
      </c>
      <c r="L77" s="31">
        <v>3.4099999999999998E-2</v>
      </c>
    </row>
    <row r="78" spans="7:12" x14ac:dyDescent="0.35">
      <c r="G78" s="7">
        <v>56</v>
      </c>
      <c r="H78" s="24">
        <v>3.2640000000000002E-2</v>
      </c>
      <c r="I78" s="29">
        <f t="shared" si="1"/>
        <v>3.2118629881459949E-2</v>
      </c>
      <c r="J78" s="29">
        <f t="shared" si="2"/>
        <v>3.2651247892671709E-2</v>
      </c>
      <c r="K78" s="29">
        <f t="shared" si="3"/>
        <v>3.6045480960687326E-2</v>
      </c>
      <c r="L78" s="31">
        <v>3.4079999999999999E-2</v>
      </c>
    </row>
    <row r="79" spans="7:12" x14ac:dyDescent="0.35">
      <c r="G79" s="7">
        <v>57</v>
      </c>
      <c r="H79" s="24">
        <v>3.2649999999999998E-2</v>
      </c>
      <c r="I79" s="29">
        <f t="shared" si="1"/>
        <v>3.2128313751521927E-2</v>
      </c>
      <c r="J79" s="29">
        <f t="shared" si="2"/>
        <v>3.2670610474992534E-2</v>
      </c>
      <c r="K79" s="29">
        <f t="shared" si="3"/>
        <v>3.6064843543008152E-2</v>
      </c>
      <c r="L79" s="31">
        <v>3.406E-2</v>
      </c>
    </row>
    <row r="80" spans="7:12" x14ac:dyDescent="0.35">
      <c r="G80" s="7">
        <v>58</v>
      </c>
      <c r="H80" s="24">
        <v>3.2649999999999998E-2</v>
      </c>
      <c r="I80" s="29">
        <f t="shared" si="1"/>
        <v>3.2128313751521927E-2</v>
      </c>
      <c r="J80" s="29">
        <f t="shared" si="2"/>
        <v>3.2128313751522031E-2</v>
      </c>
      <c r="K80" s="29">
        <f t="shared" si="3"/>
        <v>3.5522546819537648E-2</v>
      </c>
      <c r="L80" s="31">
        <v>3.4040000000000001E-2</v>
      </c>
    </row>
    <row r="81" spans="7:12" x14ac:dyDescent="0.35">
      <c r="G81" s="2">
        <v>59</v>
      </c>
      <c r="H81" s="25">
        <v>3.2660000000000002E-2</v>
      </c>
      <c r="I81" s="29">
        <f t="shared" si="1"/>
        <v>3.2137997527807251E-2</v>
      </c>
      <c r="J81" s="29">
        <f t="shared" si="2"/>
        <v>3.2699656552356071E-2</v>
      </c>
      <c r="K81" s="29">
        <f t="shared" si="3"/>
        <v>3.6093889620371689E-2</v>
      </c>
      <c r="L81" s="31">
        <v>3.4020000000000002E-2</v>
      </c>
    </row>
    <row r="82" spans="7:12" x14ac:dyDescent="0.35">
      <c r="G82" s="2">
        <v>60</v>
      </c>
      <c r="H82" s="25">
        <v>3.2660000000000002E-2</v>
      </c>
      <c r="I82" s="29">
        <f t="shared" si="1"/>
        <v>3.2137997527807251E-2</v>
      </c>
      <c r="J82" s="29">
        <f t="shared" si="2"/>
        <v>3.2137997527807105E-2</v>
      </c>
      <c r="K82" s="29">
        <f t="shared" si="3"/>
        <v>3.5532230595822722E-2</v>
      </c>
      <c r="L82" s="31">
        <v>3.4009999999999999E-2</v>
      </c>
    </row>
    <row r="83" spans="7:12" x14ac:dyDescent="0.35">
      <c r="G83" s="7">
        <v>61</v>
      </c>
      <c r="H83" s="24">
        <v>3.2669999999999998E-2</v>
      </c>
      <c r="I83" s="29">
        <f t="shared" si="1"/>
        <v>3.214768121031817E-2</v>
      </c>
      <c r="J83" s="29">
        <f t="shared" si="2"/>
        <v>3.2728702160973455E-2</v>
      </c>
      <c r="K83" s="29">
        <f t="shared" si="3"/>
        <v>3.6122935228989073E-2</v>
      </c>
      <c r="L83" s="31">
        <v>3.3989999999999999E-2</v>
      </c>
    </row>
    <row r="84" spans="7:12" x14ac:dyDescent="0.35">
      <c r="G84" s="7">
        <v>62</v>
      </c>
      <c r="H84" s="24">
        <v>3.2669999999999998E-2</v>
      </c>
      <c r="I84" s="29">
        <f t="shared" si="1"/>
        <v>3.214768121031817E-2</v>
      </c>
      <c r="J84" s="29">
        <f t="shared" si="2"/>
        <v>3.214768121031808E-2</v>
      </c>
      <c r="K84" s="29">
        <f t="shared" si="3"/>
        <v>3.5541914278333697E-2</v>
      </c>
      <c r="L84" s="31">
        <v>3.397E-2</v>
      </c>
    </row>
    <row r="85" spans="7:12" x14ac:dyDescent="0.35">
      <c r="G85" s="7">
        <v>63</v>
      </c>
      <c r="H85" s="24">
        <v>3.2680000000000001E-2</v>
      </c>
      <c r="I85" s="29">
        <f t="shared" si="1"/>
        <v>3.2157364799056294E-2</v>
      </c>
      <c r="J85" s="29">
        <f t="shared" si="2"/>
        <v>3.2757747300819817E-2</v>
      </c>
      <c r="K85" s="29">
        <f t="shared" si="3"/>
        <v>3.6151980368835435E-2</v>
      </c>
      <c r="L85" s="31">
        <v>3.3959999999999997E-2</v>
      </c>
    </row>
    <row r="86" spans="7:12" x14ac:dyDescent="0.35">
      <c r="G86" s="2">
        <v>64</v>
      </c>
      <c r="H86" s="25">
        <v>3.2680000000000001E-2</v>
      </c>
      <c r="I86" s="29">
        <f t="shared" si="1"/>
        <v>3.2157364799056294E-2</v>
      </c>
      <c r="J86" s="29">
        <f t="shared" si="2"/>
        <v>3.2157364799056509E-2</v>
      </c>
      <c r="K86" s="29">
        <f t="shared" si="3"/>
        <v>3.5551597867072127E-2</v>
      </c>
      <c r="L86" s="31">
        <v>3.3939999999999998E-2</v>
      </c>
    </row>
    <row r="87" spans="7:12" x14ac:dyDescent="0.35">
      <c r="G87" s="2">
        <v>65</v>
      </c>
      <c r="H87" s="25">
        <v>3.2689999999999997E-2</v>
      </c>
      <c r="I87" s="29">
        <f t="shared" si="1"/>
        <v>3.2167048294023441E-2</v>
      </c>
      <c r="J87" s="29">
        <f t="shared" si="2"/>
        <v>3.2786791971920692E-2</v>
      </c>
      <c r="K87" s="29">
        <f t="shared" ref="K87:K118" si="4">J87+LN(1+V.TOTAL_VA)</f>
        <v>3.618102503993631E-2</v>
      </c>
      <c r="L87" s="31">
        <v>3.3930000000000002E-2</v>
      </c>
    </row>
    <row r="88" spans="7:12" x14ac:dyDescent="0.35">
      <c r="G88" s="7">
        <v>66</v>
      </c>
      <c r="H88" s="24">
        <v>3.2689999999999997E-2</v>
      </c>
      <c r="I88" s="29">
        <f t="shared" ref="I88:I151" si="5">LN(1+H88)</f>
        <v>3.2167048294023441E-2</v>
      </c>
      <c r="J88" s="29">
        <f t="shared" si="2"/>
        <v>3.2167048294023726E-2</v>
      </c>
      <c r="K88" s="29">
        <f t="shared" si="4"/>
        <v>3.5561281362039343E-2</v>
      </c>
      <c r="L88" s="31">
        <v>3.3910000000000003E-2</v>
      </c>
    </row>
    <row r="89" spans="7:12" x14ac:dyDescent="0.35">
      <c r="G89" s="7">
        <v>67</v>
      </c>
      <c r="H89" s="24">
        <v>3.27E-2</v>
      </c>
      <c r="I89" s="29">
        <f t="shared" si="5"/>
        <v>3.21767316952212E-2</v>
      </c>
      <c r="J89" s="29">
        <f t="shared" ref="J89:J152" si="6">G89*I89-G88*I88</f>
        <v>3.2815836174273194E-2</v>
      </c>
      <c r="K89" s="29">
        <f t="shared" si="4"/>
        <v>3.6210069242288812E-2</v>
      </c>
      <c r="L89" s="31">
        <v>3.39E-2</v>
      </c>
    </row>
    <row r="90" spans="7:12" x14ac:dyDescent="0.35">
      <c r="G90" s="7">
        <v>68</v>
      </c>
      <c r="H90" s="24">
        <v>3.27E-2</v>
      </c>
      <c r="I90" s="29">
        <f t="shared" si="5"/>
        <v>3.21767316952212E-2</v>
      </c>
      <c r="J90" s="29">
        <f t="shared" si="6"/>
        <v>3.2176731695221061E-2</v>
      </c>
      <c r="K90" s="29">
        <f t="shared" si="4"/>
        <v>3.5570964763236679E-2</v>
      </c>
      <c r="L90" s="31">
        <v>3.3890000000000003E-2</v>
      </c>
    </row>
    <row r="91" spans="7:12" x14ac:dyDescent="0.35">
      <c r="G91" s="2">
        <v>69</v>
      </c>
      <c r="H91" s="25">
        <v>3.2710000000000003E-2</v>
      </c>
      <c r="I91" s="29">
        <f t="shared" si="5"/>
        <v>3.2186415002651826E-2</v>
      </c>
      <c r="J91" s="29">
        <f t="shared" si="6"/>
        <v>3.2844879907934388E-2</v>
      </c>
      <c r="K91" s="29">
        <f t="shared" si="4"/>
        <v>3.6239112975950005E-2</v>
      </c>
      <c r="L91" s="31">
        <v>3.3869999999999997E-2</v>
      </c>
    </row>
    <row r="92" spans="7:12" x14ac:dyDescent="0.35">
      <c r="G92" s="2">
        <v>70</v>
      </c>
      <c r="H92" s="25">
        <v>3.2710000000000003E-2</v>
      </c>
      <c r="I92" s="29">
        <f t="shared" si="5"/>
        <v>3.2186415002651826E-2</v>
      </c>
      <c r="J92" s="29">
        <f t="shared" si="6"/>
        <v>3.2186415002652069E-2</v>
      </c>
      <c r="K92" s="29">
        <f t="shared" si="4"/>
        <v>3.5580648070667686E-2</v>
      </c>
      <c r="L92" s="31">
        <v>3.3860000000000001E-2</v>
      </c>
    </row>
    <row r="93" spans="7:12" x14ac:dyDescent="0.35">
      <c r="G93" s="7">
        <v>71</v>
      </c>
      <c r="H93" s="24">
        <v>3.2719999999999999E-2</v>
      </c>
      <c r="I93" s="29">
        <f t="shared" si="5"/>
        <v>3.2196098216316915E-2</v>
      </c>
      <c r="J93" s="29">
        <f t="shared" si="6"/>
        <v>3.2873923172873187E-2</v>
      </c>
      <c r="K93" s="29">
        <f t="shared" si="4"/>
        <v>3.6268156240888805E-2</v>
      </c>
      <c r="L93" s="31">
        <v>3.3849999999999998E-2</v>
      </c>
    </row>
    <row r="94" spans="7:12" x14ac:dyDescent="0.35">
      <c r="G94" s="7">
        <v>72</v>
      </c>
      <c r="H94" s="24">
        <v>3.2719999999999999E-2</v>
      </c>
      <c r="I94" s="29">
        <f t="shared" si="5"/>
        <v>3.2196098216316915E-2</v>
      </c>
      <c r="J94" s="29">
        <f t="shared" si="6"/>
        <v>3.2196098216316749E-2</v>
      </c>
      <c r="K94" s="29">
        <f t="shared" si="4"/>
        <v>3.5590331284332366E-2</v>
      </c>
      <c r="L94" s="31">
        <v>3.3840000000000002E-2</v>
      </c>
    </row>
    <row r="95" spans="7:12" x14ac:dyDescent="0.35">
      <c r="G95" s="7">
        <v>73</v>
      </c>
      <c r="H95" s="24">
        <v>3.2719999999999999E-2</v>
      </c>
      <c r="I95" s="29">
        <f t="shared" si="5"/>
        <v>3.2196098216316915E-2</v>
      </c>
      <c r="J95" s="29">
        <f t="shared" si="6"/>
        <v>3.2196098216316749E-2</v>
      </c>
      <c r="K95" s="29">
        <f t="shared" si="4"/>
        <v>3.5590331284332366E-2</v>
      </c>
      <c r="L95" s="31">
        <v>3.3829999999999999E-2</v>
      </c>
    </row>
    <row r="96" spans="7:12" x14ac:dyDescent="0.35">
      <c r="G96" s="2">
        <v>74</v>
      </c>
      <c r="H96" s="25">
        <v>3.2730000000000002E-2</v>
      </c>
      <c r="I96" s="29">
        <f t="shared" si="5"/>
        <v>3.220578133621807E-2</v>
      </c>
      <c r="J96" s="29">
        <f t="shared" si="6"/>
        <v>3.2912649089002599E-2</v>
      </c>
      <c r="K96" s="29">
        <f t="shared" si="4"/>
        <v>3.6306882157018217E-2</v>
      </c>
      <c r="L96" s="31">
        <v>3.3820000000000003E-2</v>
      </c>
    </row>
    <row r="97" spans="7:12" x14ac:dyDescent="0.35">
      <c r="G97" s="2">
        <v>75</v>
      </c>
      <c r="H97" s="25">
        <v>3.2730000000000002E-2</v>
      </c>
      <c r="I97" s="29">
        <f t="shared" si="5"/>
        <v>3.220578133621807E-2</v>
      </c>
      <c r="J97" s="29">
        <f t="shared" si="6"/>
        <v>3.2205781336218209E-2</v>
      </c>
      <c r="K97" s="29">
        <f t="shared" si="4"/>
        <v>3.5600014404233826E-2</v>
      </c>
      <c r="L97" s="31">
        <v>3.381E-2</v>
      </c>
    </row>
    <row r="98" spans="7:12" x14ac:dyDescent="0.35">
      <c r="G98" s="7">
        <v>76</v>
      </c>
      <c r="H98" s="24">
        <v>3.2730000000000002E-2</v>
      </c>
      <c r="I98" s="29">
        <f t="shared" si="5"/>
        <v>3.220578133621807E-2</v>
      </c>
      <c r="J98" s="29">
        <f t="shared" si="6"/>
        <v>3.2205781336217765E-2</v>
      </c>
      <c r="K98" s="29">
        <f t="shared" si="4"/>
        <v>3.5600014404233382E-2</v>
      </c>
      <c r="L98" s="31">
        <v>3.3790000000000001E-2</v>
      </c>
    </row>
    <row r="99" spans="7:12" x14ac:dyDescent="0.35">
      <c r="G99" s="7">
        <v>77</v>
      </c>
      <c r="H99" s="24">
        <v>3.2739999999999998E-2</v>
      </c>
      <c r="I99" s="29">
        <f t="shared" si="5"/>
        <v>3.2215464362357539E-2</v>
      </c>
      <c r="J99" s="29">
        <f t="shared" si="6"/>
        <v>3.2951374348957341E-2</v>
      </c>
      <c r="K99" s="29">
        <f t="shared" si="4"/>
        <v>3.6345607416972958E-2</v>
      </c>
      <c r="L99" s="31">
        <v>3.3779999999999998E-2</v>
      </c>
    </row>
    <row r="100" spans="7:12" x14ac:dyDescent="0.35">
      <c r="G100" s="7">
        <v>78</v>
      </c>
      <c r="H100" s="24">
        <v>3.2739999999999998E-2</v>
      </c>
      <c r="I100" s="29">
        <f t="shared" si="5"/>
        <v>3.2215464362357539E-2</v>
      </c>
      <c r="J100" s="29">
        <f t="shared" si="6"/>
        <v>3.2215464362357338E-2</v>
      </c>
      <c r="K100" s="29">
        <f t="shared" si="4"/>
        <v>3.5609697430372955E-2</v>
      </c>
      <c r="L100" s="31">
        <v>3.3770000000000001E-2</v>
      </c>
    </row>
    <row r="101" spans="7:12" x14ac:dyDescent="0.35">
      <c r="G101" s="2">
        <v>79</v>
      </c>
      <c r="H101" s="25">
        <v>3.2739999999999998E-2</v>
      </c>
      <c r="I101" s="29">
        <f t="shared" si="5"/>
        <v>3.2215464362357539E-2</v>
      </c>
      <c r="J101" s="29">
        <f t="shared" si="6"/>
        <v>3.2215464362357782E-2</v>
      </c>
      <c r="K101" s="29">
        <f t="shared" si="4"/>
        <v>3.5609697430373399E-2</v>
      </c>
      <c r="L101" s="31">
        <v>3.3759999999999998E-2</v>
      </c>
    </row>
    <row r="102" spans="7:12" x14ac:dyDescent="0.35">
      <c r="G102" s="2">
        <v>80</v>
      </c>
      <c r="H102" s="25">
        <v>3.2750000000000001E-2</v>
      </c>
      <c r="I102" s="29">
        <f t="shared" si="5"/>
        <v>3.2225147294736918E-2</v>
      </c>
      <c r="J102" s="29">
        <f t="shared" si="6"/>
        <v>3.2990098952707658E-2</v>
      </c>
      <c r="K102" s="29">
        <f t="shared" si="4"/>
        <v>3.6384332020723276E-2</v>
      </c>
      <c r="L102" s="31">
        <v>3.3750000000000002E-2</v>
      </c>
    </row>
    <row r="103" spans="7:12" x14ac:dyDescent="0.35">
      <c r="G103" s="7">
        <v>81</v>
      </c>
      <c r="H103" s="24">
        <v>3.2750000000000001E-2</v>
      </c>
      <c r="I103" s="29">
        <f t="shared" si="5"/>
        <v>3.2225147294736918E-2</v>
      </c>
      <c r="J103" s="29">
        <f t="shared" si="6"/>
        <v>3.2225147294737244E-2</v>
      </c>
      <c r="K103" s="29">
        <f t="shared" si="4"/>
        <v>3.5619380362752862E-2</v>
      </c>
      <c r="L103" s="31">
        <v>3.3750000000000002E-2</v>
      </c>
    </row>
    <row r="104" spans="7:12" x14ac:dyDescent="0.35">
      <c r="G104" s="7">
        <v>82</v>
      </c>
      <c r="H104" s="24">
        <v>3.2750000000000001E-2</v>
      </c>
      <c r="I104" s="29">
        <f t="shared" si="5"/>
        <v>3.2225147294736918E-2</v>
      </c>
      <c r="J104" s="29">
        <f t="shared" si="6"/>
        <v>3.22251472947368E-2</v>
      </c>
      <c r="K104" s="29">
        <f t="shared" si="4"/>
        <v>3.5619380362752417E-2</v>
      </c>
      <c r="L104" s="31">
        <v>3.3739999999999999E-2</v>
      </c>
    </row>
    <row r="105" spans="7:12" x14ac:dyDescent="0.35">
      <c r="G105" s="7">
        <v>83</v>
      </c>
      <c r="H105" s="24">
        <v>3.2759999999999997E-2</v>
      </c>
      <c r="I105" s="29">
        <f t="shared" si="5"/>
        <v>3.2234830133357817E-2</v>
      </c>
      <c r="J105" s="29">
        <f t="shared" si="6"/>
        <v>3.3028822900271315E-2</v>
      </c>
      <c r="K105" s="29">
        <f t="shared" si="4"/>
        <v>3.6423055968286933E-2</v>
      </c>
      <c r="L105" s="31">
        <v>3.3730000000000003E-2</v>
      </c>
    </row>
    <row r="106" spans="7:12" x14ac:dyDescent="0.35">
      <c r="G106" s="2">
        <v>84</v>
      </c>
      <c r="H106" s="25">
        <v>3.2759999999999997E-2</v>
      </c>
      <c r="I106" s="29">
        <f t="shared" si="5"/>
        <v>3.2234830133357817E-2</v>
      </c>
      <c r="J106" s="29">
        <f t="shared" si="6"/>
        <v>3.2234830133357928E-2</v>
      </c>
      <c r="K106" s="29">
        <f t="shared" si="4"/>
        <v>3.5629063201373545E-2</v>
      </c>
      <c r="L106" s="31">
        <v>3.372E-2</v>
      </c>
    </row>
    <row r="107" spans="7:12" x14ac:dyDescent="0.35">
      <c r="G107" s="2">
        <v>85</v>
      </c>
      <c r="H107" s="25">
        <v>3.2759999999999997E-2</v>
      </c>
      <c r="I107" s="29">
        <f t="shared" si="5"/>
        <v>3.2234830133357817E-2</v>
      </c>
      <c r="J107" s="29">
        <f t="shared" si="6"/>
        <v>3.2234830133357928E-2</v>
      </c>
      <c r="K107" s="29">
        <f t="shared" si="4"/>
        <v>3.5629063201373545E-2</v>
      </c>
      <c r="L107" s="31">
        <v>3.3709999999999997E-2</v>
      </c>
    </row>
    <row r="108" spans="7:12" x14ac:dyDescent="0.35">
      <c r="G108" s="7">
        <v>86</v>
      </c>
      <c r="H108" s="24">
        <v>3.2759999999999997E-2</v>
      </c>
      <c r="I108" s="29">
        <f t="shared" si="5"/>
        <v>3.2234830133357817E-2</v>
      </c>
      <c r="J108" s="29">
        <f t="shared" si="6"/>
        <v>3.2234830133357484E-2</v>
      </c>
      <c r="K108" s="29">
        <f t="shared" si="4"/>
        <v>3.5629063201373101E-2</v>
      </c>
      <c r="L108" s="31">
        <v>3.3700000000000001E-2</v>
      </c>
    </row>
    <row r="109" spans="7:12" x14ac:dyDescent="0.35">
      <c r="G109" s="7">
        <v>87</v>
      </c>
      <c r="H109" s="24">
        <v>3.2770000000000001E-2</v>
      </c>
      <c r="I109" s="29">
        <f t="shared" si="5"/>
        <v>3.224451287822247E-2</v>
      </c>
      <c r="J109" s="29">
        <f t="shared" si="6"/>
        <v>3.3077228936583047E-2</v>
      </c>
      <c r="K109" s="29">
        <f t="shared" si="4"/>
        <v>3.6471462004598665E-2</v>
      </c>
      <c r="L109" s="31">
        <v>3.3689999999999998E-2</v>
      </c>
    </row>
    <row r="110" spans="7:12" x14ac:dyDescent="0.35">
      <c r="G110" s="7">
        <v>88</v>
      </c>
      <c r="H110" s="24">
        <v>3.2770000000000001E-2</v>
      </c>
      <c r="I110" s="29">
        <f t="shared" si="5"/>
        <v>3.224451287822247E-2</v>
      </c>
      <c r="J110" s="29">
        <f t="shared" si="6"/>
        <v>3.2244512878222054E-2</v>
      </c>
      <c r="K110" s="29">
        <f t="shared" si="4"/>
        <v>3.5638745946237671E-2</v>
      </c>
      <c r="L110" s="31">
        <v>3.3689999999999998E-2</v>
      </c>
    </row>
    <row r="111" spans="7:12" x14ac:dyDescent="0.35">
      <c r="G111" s="2">
        <v>89</v>
      </c>
      <c r="H111" s="25">
        <v>3.2770000000000001E-2</v>
      </c>
      <c r="I111" s="29">
        <f t="shared" si="5"/>
        <v>3.224451287822247E-2</v>
      </c>
      <c r="J111" s="29">
        <f t="shared" si="6"/>
        <v>3.2244512878222498E-2</v>
      </c>
      <c r="K111" s="29">
        <f t="shared" si="4"/>
        <v>3.5638745946238115E-2</v>
      </c>
      <c r="L111" s="31">
        <v>3.3680000000000002E-2</v>
      </c>
    </row>
    <row r="112" spans="7:12" x14ac:dyDescent="0.35">
      <c r="G112" s="2">
        <v>90</v>
      </c>
      <c r="H112" s="25">
        <v>3.2779999999999997E-2</v>
      </c>
      <c r="I112" s="29">
        <f t="shared" si="5"/>
        <v>3.225419552933248E-2</v>
      </c>
      <c r="J112" s="29">
        <f t="shared" si="6"/>
        <v>3.3115951478123407E-2</v>
      </c>
      <c r="K112" s="29">
        <f t="shared" si="4"/>
        <v>3.6510184546139024E-2</v>
      </c>
      <c r="L112" s="31">
        <v>3.3669999999999999E-2</v>
      </c>
    </row>
    <row r="113" spans="7:12" x14ac:dyDescent="0.35">
      <c r="G113" s="7">
        <v>91</v>
      </c>
      <c r="H113" s="24">
        <v>3.2779999999999997E-2</v>
      </c>
      <c r="I113" s="29">
        <f t="shared" si="5"/>
        <v>3.225419552933248E-2</v>
      </c>
      <c r="J113" s="29">
        <f t="shared" si="6"/>
        <v>3.225419552933273E-2</v>
      </c>
      <c r="K113" s="29">
        <f t="shared" si="4"/>
        <v>3.5648428597348347E-2</v>
      </c>
      <c r="L113" s="31">
        <v>3.3660000000000002E-2</v>
      </c>
    </row>
    <row r="114" spans="7:12" x14ac:dyDescent="0.35">
      <c r="G114" s="7">
        <v>92</v>
      </c>
      <c r="H114" s="24">
        <v>3.2779999999999997E-2</v>
      </c>
      <c r="I114" s="29">
        <f t="shared" si="5"/>
        <v>3.225419552933248E-2</v>
      </c>
      <c r="J114" s="29">
        <f t="shared" si="6"/>
        <v>3.2254195529332286E-2</v>
      </c>
      <c r="K114" s="29">
        <f t="shared" si="4"/>
        <v>3.5648428597347903E-2</v>
      </c>
      <c r="L114" s="31">
        <v>3.3660000000000002E-2</v>
      </c>
    </row>
    <row r="115" spans="7:12" x14ac:dyDescent="0.35">
      <c r="G115" s="7">
        <v>93</v>
      </c>
      <c r="H115" s="24">
        <v>3.2779999999999997E-2</v>
      </c>
      <c r="I115" s="29">
        <f t="shared" si="5"/>
        <v>3.225419552933248E-2</v>
      </c>
      <c r="J115" s="29">
        <f t="shared" si="6"/>
        <v>3.225419552933273E-2</v>
      </c>
      <c r="K115" s="29">
        <f t="shared" si="4"/>
        <v>3.5648428597348347E-2</v>
      </c>
      <c r="L115" s="31">
        <v>3.3649999999999999E-2</v>
      </c>
    </row>
    <row r="116" spans="7:12" x14ac:dyDescent="0.35">
      <c r="G116" s="2">
        <v>94</v>
      </c>
      <c r="H116" s="25">
        <v>3.2779999999999997E-2</v>
      </c>
      <c r="I116" s="29">
        <f t="shared" si="5"/>
        <v>3.225419552933248E-2</v>
      </c>
      <c r="J116" s="29">
        <f t="shared" si="6"/>
        <v>3.2254195529332286E-2</v>
      </c>
      <c r="K116" s="29">
        <f t="shared" si="4"/>
        <v>3.5648428597347903E-2</v>
      </c>
      <c r="L116" s="31">
        <v>3.3640000000000003E-2</v>
      </c>
    </row>
    <row r="117" spans="7:12" x14ac:dyDescent="0.35">
      <c r="G117" s="2">
        <v>95</v>
      </c>
      <c r="H117" s="25">
        <v>3.279E-2</v>
      </c>
      <c r="I117" s="29">
        <f t="shared" si="5"/>
        <v>3.2263878086689672E-2</v>
      </c>
      <c r="J117" s="29">
        <f t="shared" si="6"/>
        <v>3.3174038478265722E-2</v>
      </c>
      <c r="K117" s="29">
        <f t="shared" si="4"/>
        <v>3.6568271546281339E-2</v>
      </c>
      <c r="L117" s="31">
        <v>3.3640000000000003E-2</v>
      </c>
    </row>
    <row r="118" spans="7:12" x14ac:dyDescent="0.35">
      <c r="G118" s="7">
        <v>96</v>
      </c>
      <c r="H118" s="24">
        <v>3.279E-2</v>
      </c>
      <c r="I118" s="29">
        <f t="shared" si="5"/>
        <v>3.2263878086689672E-2</v>
      </c>
      <c r="J118" s="29">
        <f t="shared" si="6"/>
        <v>3.2263878086689513E-2</v>
      </c>
      <c r="K118" s="29">
        <f t="shared" si="4"/>
        <v>3.565811115470513E-2</v>
      </c>
      <c r="L118" s="31">
        <v>3.363E-2</v>
      </c>
    </row>
    <row r="119" spans="7:12" x14ac:dyDescent="0.35">
      <c r="G119" s="7">
        <v>97</v>
      </c>
      <c r="H119" s="24">
        <v>3.279E-2</v>
      </c>
      <c r="I119" s="29">
        <f t="shared" si="5"/>
        <v>3.2263878086689672E-2</v>
      </c>
      <c r="J119" s="29">
        <f t="shared" si="6"/>
        <v>3.2263878086689957E-2</v>
      </c>
      <c r="K119" s="29">
        <f t="shared" ref="K119:K150" si="7">J119+LN(1+V.TOTAL_VA)</f>
        <v>3.5658111154705574E-2</v>
      </c>
      <c r="L119" s="31">
        <v>3.3619999999999997E-2</v>
      </c>
    </row>
    <row r="120" spans="7:12" x14ac:dyDescent="0.35">
      <c r="G120" s="7">
        <v>98</v>
      </c>
      <c r="H120" s="24">
        <v>3.279E-2</v>
      </c>
      <c r="I120" s="29">
        <f t="shared" si="5"/>
        <v>3.2263878086689672E-2</v>
      </c>
      <c r="J120" s="29">
        <f t="shared" si="6"/>
        <v>3.2263878086689513E-2</v>
      </c>
      <c r="K120" s="29">
        <f t="shared" si="7"/>
        <v>3.565811115470513E-2</v>
      </c>
      <c r="L120" s="31">
        <v>3.3619999999999997E-2</v>
      </c>
    </row>
    <row r="121" spans="7:12" x14ac:dyDescent="0.35">
      <c r="G121" s="2">
        <v>99</v>
      </c>
      <c r="H121" s="25">
        <v>3.2800000000000003E-2</v>
      </c>
      <c r="I121" s="29">
        <f t="shared" si="5"/>
        <v>3.2273560550295635E-2</v>
      </c>
      <c r="J121" s="29">
        <f t="shared" si="6"/>
        <v>3.3222441983680184E-2</v>
      </c>
      <c r="K121" s="29">
        <f t="shared" si="7"/>
        <v>3.6616675051695802E-2</v>
      </c>
      <c r="L121" s="31">
        <v>3.3610000000000001E-2</v>
      </c>
    </row>
    <row r="122" spans="7:12" x14ac:dyDescent="0.35">
      <c r="G122" s="2">
        <v>100</v>
      </c>
      <c r="H122" s="25">
        <v>3.2800000000000003E-2</v>
      </c>
      <c r="I122" s="29">
        <f t="shared" si="5"/>
        <v>3.2273560550295635E-2</v>
      </c>
      <c r="J122" s="29">
        <f t="shared" si="6"/>
        <v>3.227356055029551E-2</v>
      </c>
      <c r="K122" s="29">
        <f t="shared" si="7"/>
        <v>3.5667793618311128E-2</v>
      </c>
      <c r="L122" s="31">
        <v>3.3599999999999998E-2</v>
      </c>
    </row>
    <row r="123" spans="7:12" x14ac:dyDescent="0.35">
      <c r="G123" s="7">
        <v>101</v>
      </c>
      <c r="H123" s="24">
        <v>3.2800000000000003E-2</v>
      </c>
      <c r="I123" s="29">
        <f t="shared" si="5"/>
        <v>3.2273560550295635E-2</v>
      </c>
      <c r="J123" s="29">
        <f t="shared" si="6"/>
        <v>3.227356055029551E-2</v>
      </c>
      <c r="K123" s="29">
        <f t="shared" si="7"/>
        <v>3.5667793618311128E-2</v>
      </c>
      <c r="L123" s="31">
        <v>3.3599999999999998E-2</v>
      </c>
    </row>
    <row r="124" spans="7:12" x14ac:dyDescent="0.35">
      <c r="G124" s="7">
        <v>102</v>
      </c>
      <c r="H124" s="24">
        <v>3.2800000000000003E-2</v>
      </c>
      <c r="I124" s="29">
        <f t="shared" si="5"/>
        <v>3.2273560550295635E-2</v>
      </c>
      <c r="J124" s="29">
        <f t="shared" si="6"/>
        <v>3.2273560550295954E-2</v>
      </c>
      <c r="K124" s="29">
        <f t="shared" si="7"/>
        <v>3.5667793618311572E-2</v>
      </c>
      <c r="L124" s="31">
        <v>3.3590000000000002E-2</v>
      </c>
    </row>
    <row r="125" spans="7:12" x14ac:dyDescent="0.35">
      <c r="G125" s="7">
        <v>103</v>
      </c>
      <c r="H125" s="24">
        <v>3.2800000000000003E-2</v>
      </c>
      <c r="I125" s="29">
        <f t="shared" si="5"/>
        <v>3.2273560550295635E-2</v>
      </c>
      <c r="J125" s="29">
        <f t="shared" si="6"/>
        <v>3.227356055029551E-2</v>
      </c>
      <c r="K125" s="29">
        <f t="shared" si="7"/>
        <v>3.5667793618311128E-2</v>
      </c>
      <c r="L125" s="31">
        <v>3.3590000000000002E-2</v>
      </c>
    </row>
    <row r="126" spans="7:12" x14ac:dyDescent="0.35">
      <c r="G126" s="2">
        <v>104</v>
      </c>
      <c r="H126" s="25">
        <v>3.2809999999999999E-2</v>
      </c>
      <c r="I126" s="29">
        <f t="shared" si="5"/>
        <v>3.2283242920152617E-2</v>
      </c>
      <c r="J126" s="29">
        <f t="shared" si="6"/>
        <v>3.3280527015421946E-2</v>
      </c>
      <c r="K126" s="29">
        <f t="shared" si="7"/>
        <v>3.6674760083437563E-2</v>
      </c>
      <c r="L126" s="31">
        <v>3.3579999999999999E-2</v>
      </c>
    </row>
    <row r="127" spans="7:12" x14ac:dyDescent="0.35">
      <c r="G127" s="2">
        <v>105</v>
      </c>
      <c r="H127" s="25">
        <v>3.2809999999999999E-2</v>
      </c>
      <c r="I127" s="29">
        <f t="shared" si="5"/>
        <v>3.2283242920152617E-2</v>
      </c>
      <c r="J127" s="29">
        <f t="shared" si="6"/>
        <v>3.22832429201525E-2</v>
      </c>
      <c r="K127" s="29">
        <f t="shared" si="7"/>
        <v>3.5677475988168117E-2</v>
      </c>
      <c r="L127" s="31">
        <v>3.3579999999999999E-2</v>
      </c>
    </row>
    <row r="128" spans="7:12" x14ac:dyDescent="0.35">
      <c r="G128" s="7">
        <v>106</v>
      </c>
      <c r="H128" s="24">
        <v>3.2809999999999999E-2</v>
      </c>
      <c r="I128" s="29">
        <f t="shared" si="5"/>
        <v>3.2283242920152617E-2</v>
      </c>
      <c r="J128" s="29">
        <f t="shared" si="6"/>
        <v>3.22832429201525E-2</v>
      </c>
      <c r="K128" s="29">
        <f t="shared" si="7"/>
        <v>3.5677475988168117E-2</v>
      </c>
      <c r="L128" s="31">
        <v>3.3570000000000003E-2</v>
      </c>
    </row>
    <row r="129" spans="7:12" x14ac:dyDescent="0.35">
      <c r="G129" s="7">
        <v>107</v>
      </c>
      <c r="H129" s="24">
        <v>3.2809999999999999E-2</v>
      </c>
      <c r="I129" s="29">
        <f t="shared" si="5"/>
        <v>3.2283242920152617E-2</v>
      </c>
      <c r="J129" s="29">
        <f t="shared" si="6"/>
        <v>3.22832429201525E-2</v>
      </c>
      <c r="K129" s="29">
        <f t="shared" si="7"/>
        <v>3.5677475988168117E-2</v>
      </c>
      <c r="L129" s="31">
        <v>3.356E-2</v>
      </c>
    </row>
    <row r="130" spans="7:12" x14ac:dyDescent="0.35">
      <c r="G130" s="7">
        <v>108</v>
      </c>
      <c r="H130" s="24">
        <v>3.2809999999999999E-2</v>
      </c>
      <c r="I130" s="29">
        <f t="shared" si="5"/>
        <v>3.2283242920152617E-2</v>
      </c>
      <c r="J130" s="29">
        <f t="shared" si="6"/>
        <v>3.2283242920152944E-2</v>
      </c>
      <c r="K130" s="29">
        <f t="shared" si="7"/>
        <v>3.5677475988168561E-2</v>
      </c>
      <c r="L130" s="31">
        <v>3.356E-2</v>
      </c>
    </row>
    <row r="131" spans="7:12" x14ac:dyDescent="0.35">
      <c r="G131" s="2">
        <v>109</v>
      </c>
      <c r="H131" s="25">
        <v>3.2809999999999999E-2</v>
      </c>
      <c r="I131" s="29">
        <f t="shared" si="5"/>
        <v>3.2283242920152617E-2</v>
      </c>
      <c r="J131" s="29">
        <f t="shared" si="6"/>
        <v>3.22832429201525E-2</v>
      </c>
      <c r="K131" s="29">
        <f t="shared" si="7"/>
        <v>3.5677475988168117E-2</v>
      </c>
      <c r="L131" s="31">
        <v>3.3550000000000003E-2</v>
      </c>
    </row>
    <row r="132" spans="7:12" x14ac:dyDescent="0.35">
      <c r="G132" s="2">
        <v>110</v>
      </c>
      <c r="H132" s="25">
        <v>3.2820000000000002E-2</v>
      </c>
      <c r="I132" s="29">
        <f t="shared" si="5"/>
        <v>3.2292925196262229E-2</v>
      </c>
      <c r="J132" s="29">
        <f t="shared" si="6"/>
        <v>3.3348293292209785E-2</v>
      </c>
      <c r="K132" s="29">
        <f t="shared" si="7"/>
        <v>3.6742526360225403E-2</v>
      </c>
      <c r="L132" s="31">
        <v>3.3550000000000003E-2</v>
      </c>
    </row>
    <row r="133" spans="7:12" x14ac:dyDescent="0.35">
      <c r="G133" s="7">
        <v>111</v>
      </c>
      <c r="H133" s="24">
        <v>3.2820000000000002E-2</v>
      </c>
      <c r="I133" s="29">
        <f t="shared" si="5"/>
        <v>3.2292925196262229E-2</v>
      </c>
      <c r="J133" s="29">
        <f t="shared" si="6"/>
        <v>3.2292925196262257E-2</v>
      </c>
      <c r="K133" s="29">
        <f t="shared" si="7"/>
        <v>3.5687158264277874E-2</v>
      </c>
      <c r="L133" s="31">
        <v>3.354E-2</v>
      </c>
    </row>
    <row r="134" spans="7:12" x14ac:dyDescent="0.35">
      <c r="G134" s="7">
        <v>112</v>
      </c>
      <c r="H134" s="24">
        <v>3.2820000000000002E-2</v>
      </c>
      <c r="I134" s="29">
        <f t="shared" si="5"/>
        <v>3.2292925196262229E-2</v>
      </c>
      <c r="J134" s="29">
        <f t="shared" si="6"/>
        <v>3.2292925196262257E-2</v>
      </c>
      <c r="K134" s="29">
        <f t="shared" si="7"/>
        <v>3.5687158264277874E-2</v>
      </c>
      <c r="L134" s="31">
        <v>3.354E-2</v>
      </c>
    </row>
    <row r="135" spans="7:12" x14ac:dyDescent="0.35">
      <c r="G135" s="7">
        <v>113</v>
      </c>
      <c r="H135" s="24">
        <v>3.2820000000000002E-2</v>
      </c>
      <c r="I135" s="29">
        <f t="shared" si="5"/>
        <v>3.2292925196262229E-2</v>
      </c>
      <c r="J135" s="29">
        <f t="shared" si="6"/>
        <v>3.2292925196262257E-2</v>
      </c>
      <c r="K135" s="29">
        <f t="shared" si="7"/>
        <v>3.5687158264277874E-2</v>
      </c>
      <c r="L135" s="31">
        <v>3.3529999999999997E-2</v>
      </c>
    </row>
    <row r="136" spans="7:12" x14ac:dyDescent="0.35">
      <c r="G136" s="2">
        <v>114</v>
      </c>
      <c r="H136" s="25">
        <v>3.2820000000000002E-2</v>
      </c>
      <c r="I136" s="29">
        <f t="shared" si="5"/>
        <v>3.2292925196262229E-2</v>
      </c>
      <c r="J136" s="29">
        <f t="shared" si="6"/>
        <v>3.2292925196262257E-2</v>
      </c>
      <c r="K136" s="29">
        <f t="shared" si="7"/>
        <v>3.5687158264277874E-2</v>
      </c>
      <c r="L136" s="31">
        <v>3.3529999999999997E-2</v>
      </c>
    </row>
    <row r="137" spans="7:12" x14ac:dyDescent="0.35">
      <c r="G137" s="2">
        <v>115</v>
      </c>
      <c r="H137" s="25">
        <v>3.2820000000000002E-2</v>
      </c>
      <c r="I137" s="29">
        <f t="shared" si="5"/>
        <v>3.2292925196262229E-2</v>
      </c>
      <c r="J137" s="29">
        <f t="shared" si="6"/>
        <v>3.2292925196262257E-2</v>
      </c>
      <c r="K137" s="29">
        <f t="shared" si="7"/>
        <v>3.5687158264277874E-2</v>
      </c>
      <c r="L137" s="31">
        <v>3.3529999999999997E-2</v>
      </c>
    </row>
    <row r="138" spans="7:12" x14ac:dyDescent="0.35">
      <c r="G138" s="7">
        <v>116</v>
      </c>
      <c r="H138" s="24">
        <v>3.2829999999999998E-2</v>
      </c>
      <c r="I138" s="29">
        <f t="shared" si="5"/>
        <v>3.2302607378626058E-2</v>
      </c>
      <c r="J138" s="29">
        <f t="shared" si="6"/>
        <v>3.3416058350466571E-2</v>
      </c>
      <c r="K138" s="29">
        <f t="shared" si="7"/>
        <v>3.6810291418482188E-2</v>
      </c>
      <c r="L138" s="31">
        <v>3.3520000000000001E-2</v>
      </c>
    </row>
    <row r="139" spans="7:12" x14ac:dyDescent="0.35">
      <c r="G139" s="7">
        <v>117</v>
      </c>
      <c r="H139" s="24">
        <v>3.2829999999999998E-2</v>
      </c>
      <c r="I139" s="29">
        <f t="shared" si="5"/>
        <v>3.2302607378626058E-2</v>
      </c>
      <c r="J139" s="29">
        <f t="shared" si="6"/>
        <v>3.230260737862567E-2</v>
      </c>
      <c r="K139" s="29">
        <f t="shared" si="7"/>
        <v>3.5696840446641287E-2</v>
      </c>
      <c r="L139" s="31">
        <v>3.3520000000000001E-2</v>
      </c>
    </row>
    <row r="140" spans="7:12" x14ac:dyDescent="0.35">
      <c r="G140" s="7">
        <v>118</v>
      </c>
      <c r="H140" s="24">
        <v>3.2829999999999998E-2</v>
      </c>
      <c r="I140" s="29">
        <f t="shared" si="5"/>
        <v>3.2302607378626058E-2</v>
      </c>
      <c r="J140" s="29">
        <f t="shared" si="6"/>
        <v>3.2302607378626114E-2</v>
      </c>
      <c r="K140" s="29">
        <f t="shared" si="7"/>
        <v>3.5696840446641731E-2</v>
      </c>
      <c r="L140" s="31">
        <v>3.3509999999999998E-2</v>
      </c>
    </row>
    <row r="141" spans="7:12" x14ac:dyDescent="0.35">
      <c r="G141" s="2">
        <v>119</v>
      </c>
      <c r="H141" s="25">
        <v>3.2829999999999998E-2</v>
      </c>
      <c r="I141" s="29">
        <f t="shared" si="5"/>
        <v>3.2302607378626058E-2</v>
      </c>
      <c r="J141" s="29">
        <f t="shared" si="6"/>
        <v>3.2302607378626114E-2</v>
      </c>
      <c r="K141" s="29">
        <f t="shared" si="7"/>
        <v>3.5696840446641731E-2</v>
      </c>
      <c r="L141" s="31">
        <v>3.3509999999999998E-2</v>
      </c>
    </row>
    <row r="142" spans="7:12" x14ac:dyDescent="0.35">
      <c r="G142" s="2">
        <v>120</v>
      </c>
      <c r="H142" s="25">
        <v>3.2829999999999998E-2</v>
      </c>
      <c r="I142" s="29">
        <f t="shared" si="5"/>
        <v>3.2302607378626058E-2</v>
      </c>
      <c r="J142" s="29">
        <f t="shared" si="6"/>
        <v>3.2302607378626114E-2</v>
      </c>
      <c r="K142" s="29">
        <f t="shared" si="7"/>
        <v>3.5696840446641731E-2</v>
      </c>
      <c r="L142" s="31">
        <v>3.3500000000000002E-2</v>
      </c>
    </row>
    <row r="143" spans="7:12" x14ac:dyDescent="0.35">
      <c r="G143" s="7">
        <v>121</v>
      </c>
      <c r="H143" s="24">
        <v>3.2829999999999998E-2</v>
      </c>
      <c r="I143" s="29">
        <f t="shared" si="5"/>
        <v>3.2302607378626058E-2</v>
      </c>
      <c r="J143" s="29">
        <f t="shared" si="6"/>
        <v>3.2302607378626114E-2</v>
      </c>
      <c r="K143" s="29">
        <f t="shared" si="7"/>
        <v>3.5696840446641731E-2</v>
      </c>
      <c r="L143" s="31">
        <v>3.3500000000000002E-2</v>
      </c>
    </row>
    <row r="144" spans="7:12" x14ac:dyDescent="0.35">
      <c r="G144" s="7">
        <v>122</v>
      </c>
      <c r="H144" s="24">
        <v>3.2829999999999998E-2</v>
      </c>
      <c r="I144" s="29">
        <f t="shared" si="5"/>
        <v>3.2302607378626058E-2</v>
      </c>
      <c r="J144" s="29">
        <f t="shared" si="6"/>
        <v>3.2302607378626114E-2</v>
      </c>
      <c r="K144" s="29">
        <f t="shared" si="7"/>
        <v>3.5696840446641731E-2</v>
      </c>
      <c r="L144" s="31">
        <v>3.3500000000000002E-2</v>
      </c>
    </row>
    <row r="145" spans="7:12" x14ac:dyDescent="0.35">
      <c r="G145" s="7">
        <v>123</v>
      </c>
      <c r="H145" s="24">
        <v>3.2840000000000001E-2</v>
      </c>
      <c r="I145" s="29">
        <f t="shared" si="5"/>
        <v>3.2312289467246354E-2</v>
      </c>
      <c r="J145" s="29">
        <f t="shared" si="6"/>
        <v>3.349350427892217E-2</v>
      </c>
      <c r="K145" s="29">
        <f t="shared" si="7"/>
        <v>3.6887737346937788E-2</v>
      </c>
      <c r="L145" s="31">
        <v>3.3489999999999999E-2</v>
      </c>
    </row>
    <row r="146" spans="7:12" x14ac:dyDescent="0.35">
      <c r="G146" s="2">
        <v>124</v>
      </c>
      <c r="H146" s="25">
        <v>3.2840000000000001E-2</v>
      </c>
      <c r="I146" s="29">
        <f t="shared" si="5"/>
        <v>3.2312289467246354E-2</v>
      </c>
      <c r="J146" s="29">
        <f t="shared" si="6"/>
        <v>3.2312289467246735E-2</v>
      </c>
      <c r="K146" s="29">
        <f t="shared" si="7"/>
        <v>3.5706522535262353E-2</v>
      </c>
      <c r="L146" s="31">
        <v>3.3489999999999999E-2</v>
      </c>
    </row>
    <row r="147" spans="7:12" x14ac:dyDescent="0.35">
      <c r="G147" s="2">
        <v>125</v>
      </c>
      <c r="H147" s="25">
        <v>3.2840000000000001E-2</v>
      </c>
      <c r="I147" s="29">
        <f t="shared" si="5"/>
        <v>3.2312289467246354E-2</v>
      </c>
      <c r="J147" s="29">
        <f t="shared" si="6"/>
        <v>3.2312289467245847E-2</v>
      </c>
      <c r="K147" s="29">
        <f t="shared" si="7"/>
        <v>3.5706522535261465E-2</v>
      </c>
      <c r="L147" s="31">
        <v>3.3480000000000003E-2</v>
      </c>
    </row>
    <row r="148" spans="7:12" x14ac:dyDescent="0.35">
      <c r="G148" s="7">
        <v>126</v>
      </c>
      <c r="H148" s="24">
        <v>3.2840000000000001E-2</v>
      </c>
      <c r="I148" s="29">
        <f t="shared" si="5"/>
        <v>3.2312289467246354E-2</v>
      </c>
      <c r="J148" s="29">
        <f t="shared" si="6"/>
        <v>3.2312289467246735E-2</v>
      </c>
      <c r="K148" s="29">
        <f t="shared" si="7"/>
        <v>3.5706522535262353E-2</v>
      </c>
      <c r="L148" s="31">
        <v>3.3480000000000003E-2</v>
      </c>
    </row>
    <row r="149" spans="7:12" x14ac:dyDescent="0.35">
      <c r="G149" s="7">
        <v>127</v>
      </c>
      <c r="H149" s="24">
        <v>3.2840000000000001E-2</v>
      </c>
      <c r="I149" s="29">
        <f t="shared" si="5"/>
        <v>3.2312289467246354E-2</v>
      </c>
      <c r="J149" s="29">
        <f t="shared" si="6"/>
        <v>3.2312289467245847E-2</v>
      </c>
      <c r="K149" s="29">
        <f t="shared" si="7"/>
        <v>3.5706522535261465E-2</v>
      </c>
      <c r="L149" s="31">
        <v>3.3480000000000003E-2</v>
      </c>
    </row>
    <row r="150" spans="7:12" x14ac:dyDescent="0.35">
      <c r="G150" s="7">
        <v>128</v>
      </c>
      <c r="H150" s="24">
        <v>3.2840000000000001E-2</v>
      </c>
      <c r="I150" s="29">
        <f t="shared" si="5"/>
        <v>3.2312289467246354E-2</v>
      </c>
      <c r="J150" s="29">
        <f t="shared" si="6"/>
        <v>3.2312289467246735E-2</v>
      </c>
      <c r="K150" s="29">
        <f t="shared" si="7"/>
        <v>3.5706522535262353E-2</v>
      </c>
      <c r="L150" s="31">
        <v>3.347E-2</v>
      </c>
    </row>
    <row r="151" spans="7:12" x14ac:dyDescent="0.35">
      <c r="G151" s="2">
        <v>129</v>
      </c>
      <c r="H151" s="25">
        <v>3.2840000000000001E-2</v>
      </c>
      <c r="I151" s="29">
        <f t="shared" si="5"/>
        <v>3.2312289467246354E-2</v>
      </c>
      <c r="J151" s="29">
        <f t="shared" si="6"/>
        <v>3.2312289467246735E-2</v>
      </c>
      <c r="K151" s="29">
        <f t="shared" ref="K151:K172" si="8">J151+LN(1+V.TOTAL_VA)</f>
        <v>3.5706522535262353E-2</v>
      </c>
      <c r="L151" s="31">
        <v>3.347E-2</v>
      </c>
    </row>
    <row r="152" spans="7:12" x14ac:dyDescent="0.35">
      <c r="G152" s="2">
        <v>130</v>
      </c>
      <c r="H152" s="25">
        <v>3.2840000000000001E-2</v>
      </c>
      <c r="I152" s="29">
        <f t="shared" ref="I152:I172" si="9">LN(1+H152)</f>
        <v>3.2312289467246354E-2</v>
      </c>
      <c r="J152" s="29">
        <f t="shared" si="6"/>
        <v>3.2312289467245847E-2</v>
      </c>
      <c r="K152" s="29">
        <f t="shared" si="8"/>
        <v>3.5706522535261465E-2</v>
      </c>
      <c r="L152" s="31">
        <v>3.3459999999999997E-2</v>
      </c>
    </row>
    <row r="153" spans="7:12" x14ac:dyDescent="0.35">
      <c r="G153" s="7">
        <v>131</v>
      </c>
      <c r="H153" s="24">
        <v>3.2849999999999997E-2</v>
      </c>
      <c r="I153" s="29">
        <f t="shared" si="9"/>
        <v>3.2321971462124718E-2</v>
      </c>
      <c r="J153" s="29">
        <f t="shared" ref="J153:J172" si="10">G153*I153-G152*I152</f>
        <v>3.3580630796312683E-2</v>
      </c>
      <c r="K153" s="29">
        <f t="shared" si="8"/>
        <v>3.69748638643283E-2</v>
      </c>
      <c r="L153" s="31">
        <v>3.3459999999999997E-2</v>
      </c>
    </row>
    <row r="154" spans="7:12" x14ac:dyDescent="0.35">
      <c r="G154" s="7">
        <v>132</v>
      </c>
      <c r="H154" s="24">
        <v>3.2849999999999997E-2</v>
      </c>
      <c r="I154" s="29">
        <f t="shared" si="9"/>
        <v>3.2321971462124718E-2</v>
      </c>
      <c r="J154" s="29">
        <f t="shared" si="10"/>
        <v>3.2321971462124566E-2</v>
      </c>
      <c r="K154" s="29">
        <f t="shared" si="8"/>
        <v>3.5716204530140183E-2</v>
      </c>
      <c r="L154" s="31">
        <v>3.3459999999999997E-2</v>
      </c>
    </row>
    <row r="155" spans="7:12" x14ac:dyDescent="0.35">
      <c r="G155" s="7">
        <v>133</v>
      </c>
      <c r="H155" s="24">
        <v>3.2849999999999997E-2</v>
      </c>
      <c r="I155" s="29">
        <f t="shared" si="9"/>
        <v>3.2321971462124718E-2</v>
      </c>
      <c r="J155" s="29">
        <f t="shared" si="10"/>
        <v>3.2321971462124566E-2</v>
      </c>
      <c r="K155" s="29">
        <f t="shared" si="8"/>
        <v>3.5716204530140183E-2</v>
      </c>
      <c r="L155" s="31">
        <v>3.3450000000000001E-2</v>
      </c>
    </row>
    <row r="156" spans="7:12" x14ac:dyDescent="0.35">
      <c r="G156" s="2">
        <v>134</v>
      </c>
      <c r="H156" s="25">
        <v>3.2849999999999997E-2</v>
      </c>
      <c r="I156" s="29">
        <f t="shared" si="9"/>
        <v>3.2321971462124718E-2</v>
      </c>
      <c r="J156" s="29">
        <f t="shared" si="10"/>
        <v>3.2321971462124566E-2</v>
      </c>
      <c r="K156" s="29">
        <f t="shared" si="8"/>
        <v>3.5716204530140183E-2</v>
      </c>
      <c r="L156" s="31">
        <v>3.3450000000000001E-2</v>
      </c>
    </row>
    <row r="157" spans="7:12" x14ac:dyDescent="0.35">
      <c r="G157" s="2">
        <v>135</v>
      </c>
      <c r="H157" s="25">
        <v>3.2849999999999997E-2</v>
      </c>
      <c r="I157" s="29">
        <f t="shared" si="9"/>
        <v>3.2321971462124718E-2</v>
      </c>
      <c r="J157" s="29">
        <f t="shared" si="10"/>
        <v>3.2321971462124566E-2</v>
      </c>
      <c r="K157" s="29">
        <f t="shared" si="8"/>
        <v>3.5716204530140183E-2</v>
      </c>
      <c r="L157" s="31">
        <v>3.3450000000000001E-2</v>
      </c>
    </row>
    <row r="158" spans="7:12" x14ac:dyDescent="0.35">
      <c r="G158" s="7">
        <v>136</v>
      </c>
      <c r="H158" s="24">
        <v>3.2849999999999997E-2</v>
      </c>
      <c r="I158" s="29">
        <f t="shared" si="9"/>
        <v>3.2321971462124718E-2</v>
      </c>
      <c r="J158" s="29">
        <f t="shared" si="10"/>
        <v>3.2321971462124566E-2</v>
      </c>
      <c r="K158" s="29">
        <f t="shared" si="8"/>
        <v>3.5716204530140183E-2</v>
      </c>
      <c r="L158" s="31">
        <v>3.3439999999999998E-2</v>
      </c>
    </row>
    <row r="159" spans="7:12" x14ac:dyDescent="0.35">
      <c r="G159" s="7">
        <v>137</v>
      </c>
      <c r="H159" s="24">
        <v>3.2849999999999997E-2</v>
      </c>
      <c r="I159" s="29">
        <f t="shared" si="9"/>
        <v>3.2321971462124718E-2</v>
      </c>
      <c r="J159" s="29">
        <f t="shared" si="10"/>
        <v>3.2321971462125454E-2</v>
      </c>
      <c r="K159" s="29">
        <f t="shared" si="8"/>
        <v>3.5716204530141071E-2</v>
      </c>
      <c r="L159" s="31">
        <v>3.3439999999999998E-2</v>
      </c>
    </row>
    <row r="160" spans="7:12" x14ac:dyDescent="0.35">
      <c r="G160" s="7">
        <v>138</v>
      </c>
      <c r="H160" s="24">
        <v>3.2849999999999997E-2</v>
      </c>
      <c r="I160" s="29">
        <f t="shared" si="9"/>
        <v>3.2321971462124718E-2</v>
      </c>
      <c r="J160" s="29">
        <f t="shared" si="10"/>
        <v>3.2321971462124566E-2</v>
      </c>
      <c r="K160" s="29">
        <f t="shared" si="8"/>
        <v>3.5716204530140183E-2</v>
      </c>
      <c r="L160" s="31">
        <v>3.3439999999999998E-2</v>
      </c>
    </row>
    <row r="161" spans="7:12" x14ac:dyDescent="0.35">
      <c r="G161" s="2">
        <v>139</v>
      </c>
      <c r="H161" s="25">
        <v>3.2849999999999997E-2</v>
      </c>
      <c r="I161" s="29">
        <f t="shared" si="9"/>
        <v>3.2321971462124718E-2</v>
      </c>
      <c r="J161" s="29">
        <f t="shared" si="10"/>
        <v>3.2321971462124566E-2</v>
      </c>
      <c r="K161" s="29">
        <f t="shared" si="8"/>
        <v>3.5716204530140183E-2</v>
      </c>
      <c r="L161" s="31">
        <v>3.3430000000000001E-2</v>
      </c>
    </row>
    <row r="162" spans="7:12" x14ac:dyDescent="0.35">
      <c r="G162" s="2">
        <v>140</v>
      </c>
      <c r="H162" s="25">
        <v>3.286E-2</v>
      </c>
      <c r="I162" s="29">
        <f t="shared" si="9"/>
        <v>3.2331653363262748E-2</v>
      </c>
      <c r="J162" s="29">
        <f t="shared" si="10"/>
        <v>3.3677437621448369E-2</v>
      </c>
      <c r="K162" s="29">
        <f t="shared" si="8"/>
        <v>3.7071670689463987E-2</v>
      </c>
      <c r="L162" s="31">
        <v>3.3430000000000001E-2</v>
      </c>
    </row>
    <row r="163" spans="7:12" x14ac:dyDescent="0.35">
      <c r="G163" s="7">
        <v>141</v>
      </c>
      <c r="H163" s="24">
        <v>3.286E-2</v>
      </c>
      <c r="I163" s="29">
        <f t="shared" si="9"/>
        <v>3.2331653363262748E-2</v>
      </c>
      <c r="J163" s="29">
        <f t="shared" si="10"/>
        <v>3.2331653363263158E-2</v>
      </c>
      <c r="K163" s="29">
        <f t="shared" si="8"/>
        <v>3.5725886431278775E-2</v>
      </c>
      <c r="L163" s="31">
        <v>3.3430000000000001E-2</v>
      </c>
    </row>
    <row r="164" spans="7:12" x14ac:dyDescent="0.35">
      <c r="G164" s="7">
        <v>142</v>
      </c>
      <c r="H164" s="24">
        <v>3.286E-2</v>
      </c>
      <c r="I164" s="29">
        <f t="shared" si="9"/>
        <v>3.2331653363262748E-2</v>
      </c>
      <c r="J164" s="29">
        <f t="shared" si="10"/>
        <v>3.2331653363263158E-2</v>
      </c>
      <c r="K164" s="29">
        <f t="shared" si="8"/>
        <v>3.5725886431278775E-2</v>
      </c>
      <c r="L164" s="31">
        <v>3.3430000000000001E-2</v>
      </c>
    </row>
    <row r="165" spans="7:12" x14ac:dyDescent="0.35">
      <c r="G165" s="7">
        <v>143</v>
      </c>
      <c r="H165" s="24">
        <v>3.286E-2</v>
      </c>
      <c r="I165" s="29">
        <f t="shared" si="9"/>
        <v>3.2331653363262748E-2</v>
      </c>
      <c r="J165" s="29">
        <f t="shared" si="10"/>
        <v>3.2331653363262269E-2</v>
      </c>
      <c r="K165" s="29">
        <f t="shared" si="8"/>
        <v>3.5725886431277887E-2</v>
      </c>
      <c r="L165" s="31">
        <v>3.3419999999999998E-2</v>
      </c>
    </row>
    <row r="166" spans="7:12" x14ac:dyDescent="0.35">
      <c r="G166" s="2">
        <v>144</v>
      </c>
      <c r="H166" s="25">
        <v>3.286E-2</v>
      </c>
      <c r="I166" s="29">
        <f t="shared" si="9"/>
        <v>3.2331653363262748E-2</v>
      </c>
      <c r="J166" s="29">
        <f t="shared" si="10"/>
        <v>3.2331653363263158E-2</v>
      </c>
      <c r="K166" s="29">
        <f t="shared" si="8"/>
        <v>3.5725886431278775E-2</v>
      </c>
      <c r="L166" s="31">
        <v>3.3419999999999998E-2</v>
      </c>
    </row>
    <row r="167" spans="7:12" x14ac:dyDescent="0.35">
      <c r="G167" s="2">
        <v>145</v>
      </c>
      <c r="H167" s="25">
        <v>3.286E-2</v>
      </c>
      <c r="I167" s="29">
        <f t="shared" si="9"/>
        <v>3.2331653363262748E-2</v>
      </c>
      <c r="J167" s="29">
        <f t="shared" si="10"/>
        <v>3.2331653363262269E-2</v>
      </c>
      <c r="K167" s="29">
        <f t="shared" si="8"/>
        <v>3.5725886431277887E-2</v>
      </c>
      <c r="L167" s="31">
        <v>3.3419999999999998E-2</v>
      </c>
    </row>
    <row r="168" spans="7:12" x14ac:dyDescent="0.35">
      <c r="G168" s="7">
        <v>146</v>
      </c>
      <c r="H168" s="24">
        <v>3.286E-2</v>
      </c>
      <c r="I168" s="29">
        <f t="shared" si="9"/>
        <v>3.2331653363262748E-2</v>
      </c>
      <c r="J168" s="29">
        <f t="shared" si="10"/>
        <v>3.2331653363263158E-2</v>
      </c>
      <c r="K168" s="29">
        <f t="shared" si="8"/>
        <v>3.5725886431278775E-2</v>
      </c>
      <c r="L168" s="31">
        <v>3.3410000000000002E-2</v>
      </c>
    </row>
    <row r="169" spans="7:12" x14ac:dyDescent="0.35">
      <c r="G169" s="7">
        <v>147</v>
      </c>
      <c r="H169" s="24">
        <v>3.286E-2</v>
      </c>
      <c r="I169" s="29">
        <f t="shared" si="9"/>
        <v>3.2331653363262748E-2</v>
      </c>
      <c r="J169" s="29">
        <f t="shared" si="10"/>
        <v>3.2331653363262269E-2</v>
      </c>
      <c r="K169" s="29">
        <f t="shared" si="8"/>
        <v>3.5725886431277887E-2</v>
      </c>
      <c r="L169" s="31">
        <v>3.3410000000000002E-2</v>
      </c>
    </row>
    <row r="170" spans="7:12" x14ac:dyDescent="0.35">
      <c r="G170" s="7">
        <v>148</v>
      </c>
      <c r="H170" s="24">
        <v>3.286E-2</v>
      </c>
      <c r="I170" s="29">
        <f t="shared" si="9"/>
        <v>3.2331653363262748E-2</v>
      </c>
      <c r="J170" s="29">
        <f t="shared" si="10"/>
        <v>3.2331653363263158E-2</v>
      </c>
      <c r="K170" s="29">
        <f t="shared" si="8"/>
        <v>3.5725886431278775E-2</v>
      </c>
      <c r="L170" s="31">
        <v>3.3410000000000002E-2</v>
      </c>
    </row>
    <row r="171" spans="7:12" x14ac:dyDescent="0.35">
      <c r="G171" s="2">
        <v>149</v>
      </c>
      <c r="H171" s="25">
        <v>3.286E-2</v>
      </c>
      <c r="I171" s="29">
        <f t="shared" si="9"/>
        <v>3.2331653363262748E-2</v>
      </c>
      <c r="J171" s="29">
        <f t="shared" si="10"/>
        <v>3.2331653363262269E-2</v>
      </c>
      <c r="K171" s="29">
        <f t="shared" si="8"/>
        <v>3.5725886431277887E-2</v>
      </c>
      <c r="L171" s="31">
        <v>3.3410000000000002E-2</v>
      </c>
    </row>
    <row r="172" spans="7:12" x14ac:dyDescent="0.35">
      <c r="G172" s="2">
        <v>150</v>
      </c>
      <c r="H172" s="25">
        <v>3.2870000000000003E-2</v>
      </c>
      <c r="I172" s="29">
        <f t="shared" si="9"/>
        <v>3.2341335170662691E-2</v>
      </c>
      <c r="J172" s="29">
        <f t="shared" si="10"/>
        <v>3.3783924473254068E-2</v>
      </c>
      <c r="K172" s="29">
        <f t="shared" si="8"/>
        <v>3.7178157541269685E-2</v>
      </c>
      <c r="L172" s="32">
        <v>3.3399999999999999E-2</v>
      </c>
    </row>
  </sheetData>
  <conditionalFormatting sqref="H12">
    <cfRule type="expression" dxfId="8" priority="2">
      <formula>NOT(V.USA_SELECTED)</formula>
    </cfRule>
  </conditionalFormatting>
  <conditionalFormatting sqref="L11:L12">
    <cfRule type="expression" dxfId="7" priority="3">
      <formula>NOT(V.MACROVA_SELECTED)</formula>
    </cfRule>
  </conditionalFormatting>
  <conditionalFormatting sqref="H11:H12">
    <cfRule type="expression" dxfId="6" priority="1">
      <formula>V.MACROVA_SELECTED</formula>
    </cfRule>
  </conditionalFormatting>
  <dataValidations count="1">
    <dataValidation type="list" allowBlank="1" showInputMessage="1" showErrorMessage="1" sqref="H10:H11" xr:uid="{53D437A5-1B1D-44C5-AA54-8F2A223BD639}">
      <formula1>L.BOOL</formula1>
    </dataValidation>
  </dataValidations>
  <pageMargins left="0.7" right="0.7" top="0.75" bottom="0.75" header="0.3" footer="0.3"/>
  <headerFooter>
    <oddHeader>&amp;R&amp;"Aptos"&amp;10&amp;K000000 PUBLIC&amp;1#_x000D_</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0A3F3-4390-4BB4-8F7E-981EC3643C95}">
  <sheetPr codeName="shInput1">
    <tabColor theme="3" tint="0.249977111117893"/>
  </sheetPr>
  <dimension ref="A1:S172"/>
  <sheetViews>
    <sheetView workbookViewId="0">
      <selection activeCell="J23" sqref="J23"/>
    </sheetView>
  </sheetViews>
  <sheetFormatPr defaultColWidth="0" defaultRowHeight="14.5" x14ac:dyDescent="0.35"/>
  <cols>
    <col min="1" max="6" width="9.1796875" style="2" customWidth="1"/>
    <col min="7" max="7" width="11.54296875" style="2" customWidth="1"/>
    <col min="8" max="8" width="17.54296875" style="2" customWidth="1"/>
    <col min="9" max="9" width="15" style="2" customWidth="1"/>
    <col min="10" max="10" width="10.81640625" style="2" customWidth="1"/>
    <col min="11" max="11" width="15.453125" style="2" customWidth="1"/>
    <col min="12" max="12" width="14.81640625" style="2" customWidth="1"/>
    <col min="13" max="13" width="15.1796875" style="2" customWidth="1"/>
    <col min="14" max="14" width="18.1796875" style="2" bestFit="1" customWidth="1"/>
    <col min="15" max="15" width="15.81640625" style="2" bestFit="1" customWidth="1"/>
    <col min="16" max="16" width="11.1796875" style="2" bestFit="1" customWidth="1"/>
    <col min="17" max="17" width="13.453125" style="2" bestFit="1" customWidth="1"/>
    <col min="18" max="18" width="1.81640625" style="2" customWidth="1"/>
    <col min="19" max="19" width="17" style="2" hidden="1" customWidth="1"/>
    <col min="20" max="16384" width="9.1796875" style="2" hidden="1"/>
  </cols>
  <sheetData>
    <row r="1" spans="1:18" x14ac:dyDescent="0.35">
      <c r="A1" s="3"/>
      <c r="B1" s="4"/>
      <c r="C1" s="4"/>
      <c r="D1" s="4"/>
      <c r="E1" s="4"/>
      <c r="F1" s="4"/>
      <c r="G1" s="4"/>
      <c r="H1" s="4"/>
      <c r="I1" s="4"/>
      <c r="J1" s="4"/>
      <c r="K1" s="4"/>
      <c r="L1" s="4"/>
      <c r="M1" s="4"/>
      <c r="N1" s="4"/>
      <c r="O1" s="4"/>
      <c r="P1" s="4"/>
      <c r="Q1" s="4"/>
      <c r="R1" s="4"/>
    </row>
    <row r="2" spans="1:18" x14ac:dyDescent="0.35">
      <c r="A2" s="3"/>
      <c r="B2" s="4"/>
      <c r="C2" s="4"/>
      <c r="D2" s="4"/>
      <c r="E2" s="4"/>
      <c r="F2" s="4"/>
      <c r="G2" s="4"/>
      <c r="H2" s="4"/>
      <c r="I2" s="4"/>
      <c r="J2" s="4"/>
      <c r="K2" s="4"/>
      <c r="L2" s="4"/>
      <c r="M2" s="4"/>
      <c r="N2" s="4"/>
      <c r="O2" s="4"/>
      <c r="P2" s="4"/>
      <c r="Q2" s="4"/>
      <c r="R2" s="4"/>
    </row>
    <row r="3" spans="1:18" ht="18.75" customHeight="1" x14ac:dyDescent="0.35">
      <c r="A3" s="3"/>
      <c r="B3" s="3"/>
      <c r="C3" s="4"/>
      <c r="D3" s="4"/>
      <c r="E3" s="4"/>
      <c r="F3" s="4"/>
      <c r="G3" s="4"/>
      <c r="H3" s="4"/>
      <c r="I3" s="4"/>
      <c r="J3" s="4"/>
      <c r="K3" s="4"/>
      <c r="L3" s="4"/>
      <c r="M3" s="4"/>
      <c r="N3" s="4"/>
      <c r="O3" s="4"/>
      <c r="P3" s="4"/>
      <c r="Q3" s="73" t="str">
        <f>V.COPYRIGHT</f>
        <v>©EIOPA, 2026.</v>
      </c>
      <c r="R3" s="4"/>
    </row>
    <row r="4" spans="1:18" x14ac:dyDescent="0.35">
      <c r="A4" s="1"/>
    </row>
    <row r="6" spans="1:18" ht="20" thickBot="1" x14ac:dyDescent="0.5">
      <c r="F6" s="6" t="s">
        <v>105</v>
      </c>
      <c r="G6" s="6"/>
      <c r="H6" s="6"/>
      <c r="I6" s="6"/>
      <c r="J6" s="6"/>
      <c r="K6" s="6"/>
      <c r="L6" s="6"/>
      <c r="M6" s="6"/>
      <c r="N6" s="6"/>
      <c r="O6" s="6"/>
      <c r="P6" s="6"/>
      <c r="Q6" s="6"/>
      <c r="R6" s="6"/>
    </row>
    <row r="7" spans="1:18" ht="15" thickTop="1" x14ac:dyDescent="0.35"/>
    <row r="8" spans="1:18" ht="15" thickBot="1" x14ac:dyDescent="0.4">
      <c r="G8" s="58"/>
      <c r="H8" s="64" t="s">
        <v>3</v>
      </c>
      <c r="I8" s="7"/>
      <c r="J8" s="7"/>
      <c r="K8" s="7"/>
      <c r="L8" s="7"/>
      <c r="M8" s="7"/>
      <c r="N8" s="7"/>
    </row>
    <row r="9" spans="1:18" x14ac:dyDescent="0.35">
      <c r="G9" s="7"/>
      <c r="H9" s="7"/>
      <c r="I9" s="7"/>
      <c r="J9" s="7"/>
      <c r="K9" s="7"/>
      <c r="L9" s="7"/>
      <c r="M9" s="7"/>
      <c r="N9" s="7"/>
    </row>
    <row r="10" spans="1:18" x14ac:dyDescent="0.35">
      <c r="G10" s="12" t="s">
        <v>4</v>
      </c>
      <c r="H10" s="69">
        <f>V.FSP</f>
        <v>20</v>
      </c>
      <c r="I10" s="7"/>
      <c r="J10" s="7"/>
      <c r="K10" s="7"/>
      <c r="L10" s="7"/>
    </row>
    <row r="11" spans="1:18" x14ac:dyDescent="0.35">
      <c r="G11" s="12" t="s">
        <v>5</v>
      </c>
      <c r="H11" s="81">
        <f>V.UFR + 0.0015</f>
        <v>3.4500000000000003E-2</v>
      </c>
      <c r="I11" s="7"/>
      <c r="J11" s="7"/>
      <c r="K11" s="7"/>
      <c r="L11" s="7"/>
    </row>
    <row r="12" spans="1:18" x14ac:dyDescent="0.35">
      <c r="G12" s="12" t="s">
        <v>42</v>
      </c>
      <c r="H12" s="80">
        <f>V.TOTAL_VA</f>
        <v>3.3999999999999998E-3</v>
      </c>
      <c r="I12" s="7"/>
      <c r="J12" s="7"/>
      <c r="K12" s="7"/>
      <c r="L12" s="7"/>
    </row>
    <row r="13" spans="1:18" x14ac:dyDescent="0.35">
      <c r="I13" s="7"/>
      <c r="J13" s="7"/>
      <c r="K13" s="7"/>
      <c r="L13" s="7"/>
      <c r="M13" s="7"/>
      <c r="N13" s="7"/>
    </row>
    <row r="14" spans="1:18" x14ac:dyDescent="0.35">
      <c r="I14" s="7"/>
      <c r="J14" s="7"/>
      <c r="K14" s="7"/>
      <c r="L14" s="7"/>
      <c r="M14" s="7"/>
      <c r="N14" s="7"/>
    </row>
    <row r="15" spans="1:18" x14ac:dyDescent="0.35">
      <c r="I15" s="7"/>
      <c r="J15" s="7"/>
      <c r="K15" s="7"/>
      <c r="L15" s="7"/>
    </row>
    <row r="16" spans="1:18" x14ac:dyDescent="0.35">
      <c r="G16" s="7"/>
      <c r="H16" s="7"/>
      <c r="I16" s="7"/>
      <c r="J16" s="7"/>
      <c r="K16" s="7"/>
      <c r="L16" s="7"/>
    </row>
    <row r="17" spans="6:18" ht="15" thickBot="1" x14ac:dyDescent="0.4">
      <c r="F17" s="58" t="s">
        <v>106</v>
      </c>
      <c r="G17" s="58"/>
      <c r="H17" s="63"/>
      <c r="I17" s="63"/>
      <c r="J17" s="58"/>
      <c r="K17" s="63"/>
      <c r="L17" s="63"/>
      <c r="M17" s="63"/>
      <c r="N17" s="63"/>
      <c r="O17" s="63"/>
      <c r="P17" s="63"/>
      <c r="Q17" s="63"/>
      <c r="R17" s="63"/>
    </row>
    <row r="18" spans="6:18" x14ac:dyDescent="0.35">
      <c r="H18" s="7"/>
      <c r="I18" s="7"/>
      <c r="J18" s="10"/>
      <c r="K18" s="7"/>
      <c r="L18" s="7"/>
    </row>
    <row r="19" spans="6:18" ht="17.5" x14ac:dyDescent="0.45">
      <c r="H19" s="10"/>
      <c r="K19" s="12" t="s">
        <v>126</v>
      </c>
      <c r="L19" s="74" cm="1">
        <f t="array" ref="L19">GetLLFR(R.IRR_SHOCK_UP_CC,R.DLT,R.LLFR_WEIGHTS)</f>
        <v>4.0470233120777376E-2</v>
      </c>
      <c r="N19" s="16" t="s">
        <v>127</v>
      </c>
      <c r="O19" s="74" cm="1">
        <f t="array" ref="O19">_xlfn.LET(_xlpm.FIRST_LLFR_WEIGHT, INDEX(R.LLFR_WEIGHTS, V.FSP),
     V.LLFR_IRR_UP + _xlpm.FIRST_LLFR_WEIGHT * LN(1+$H$12))</f>
        <v>4.1590330033222531E-2</v>
      </c>
    </row>
    <row r="20" spans="6:18" x14ac:dyDescent="0.35">
      <c r="H20" s="7"/>
      <c r="I20" s="7"/>
      <c r="J20" s="10"/>
      <c r="K20" s="7"/>
      <c r="L20" s="7"/>
    </row>
    <row r="21" spans="6:18" ht="41.15" customHeight="1" x14ac:dyDescent="0.35">
      <c r="G21" s="37" t="s">
        <v>13</v>
      </c>
      <c r="H21" s="37" t="s">
        <v>128</v>
      </c>
      <c r="I21" s="37" t="s">
        <v>129</v>
      </c>
      <c r="J21" s="37" t="s">
        <v>107</v>
      </c>
      <c r="K21" s="37" t="s">
        <v>108</v>
      </c>
      <c r="L21" s="37" t="s">
        <v>109</v>
      </c>
      <c r="M21" s="37" t="s">
        <v>110</v>
      </c>
      <c r="N21" s="37" t="s">
        <v>111</v>
      </c>
      <c r="O21" s="11" t="s">
        <v>112</v>
      </c>
    </row>
    <row r="22" spans="6:18" x14ac:dyDescent="0.35">
      <c r="G22" s="7">
        <v>1</v>
      </c>
      <c r="H22" s="75" cm="1">
        <f t="array" ref="H22:H171">R.BASECURVE</f>
        <v>2.1760000000000002E-2</v>
      </c>
      <c r="I22" s="75" cm="1">
        <f t="array" ref="I22:I171">_xlfn.LET(_xlpm.LLP, MAX(_xlfn._xlws.FILTER(R.MATURITY,R.DLT=1)),
     BootstrapCurve(V.INSTRUMENT,_xlfn.ANCHORARRAY(H22),R.DLT,"A",V.CRA,V.COUPON_FREQ,_xlpm.LLP,"A", "Z"))</f>
        <v>2.0760000000000112E-2</v>
      </c>
      <c r="J22" s="75" cm="1">
        <f t="array" ref="J22">_xlfn.LET(_xlpm.m, G22,
     _xlpm.rfr, I22,
     _xlpm.sm_up, INDEX(R.IRR_SM_UP, _xlpm.m),
     _xlpm.bm_up, INDEX(R.IRR_BM_UP, _xlpm.m),
     _xlpm.rfr * (1 + _xlpm.sm_up) + _xlpm.bm_up)</f>
        <v>5.4823600000000181E-2</v>
      </c>
      <c r="K22" s="75">
        <f>LN(1+J22)</f>
        <v>5.3373549156448492E-2</v>
      </c>
      <c r="L22" s="76" cm="1">
        <f t="array" ref="L22:L171">ROUND(Extrapolation(R.IRR_SHOCK_UP_CC, "Z", V.FSP, V.UFR_UP, V.LLFR_IRR_UP, V.ALPHA, "A"), 5)</f>
        <v>5.4820000000000001E-2</v>
      </c>
      <c r="M22" s="75">
        <f>K22</f>
        <v>5.3373549156448492E-2</v>
      </c>
      <c r="N22" s="75">
        <f t="shared" ref="N22:N53" si="0">M22+LN(1+V.TOTAL_VA)</f>
        <v>5.676778222446411E-2</v>
      </c>
      <c r="O22" s="76" cm="1">
        <f t="array" ref="O22:O171">ROUND(Extrapolation(N22:N171, "F", V.FSP,V.UFR_UP,V.LLFR_STAR_IRR_UP,V.ALPHA,"A"), 5)</f>
        <v>5.8409999999999997E-2</v>
      </c>
    </row>
    <row r="23" spans="6:18" x14ac:dyDescent="0.35">
      <c r="G23" s="7">
        <v>2</v>
      </c>
      <c r="H23" s="75">
        <v>2.2620999999999999E-2</v>
      </c>
      <c r="I23" s="75">
        <v>2.1630315818982782E-2</v>
      </c>
      <c r="J23" s="75" cm="1">
        <f t="array" ref="J23">_xlfn.LET(_xlpm.m, G23,
     _xlpm.rfr, I23,
     _xlpm.sm_up, INDEX(R.IRR_SM_UP, _xlpm.m),
     _xlpm.bm_up, INDEX(R.IRR_BM_UP, _xlpm.m),
     _xlpm.rfr * (1 + _xlpm.sm_up) + _xlpm.bm_up)</f>
        <v>5.1694383203043655E-2</v>
      </c>
      <c r="K23" s="75">
        <f t="shared" ref="K23:K86" si="1">LN(1+J23)</f>
        <v>5.0402561845970653E-2</v>
      </c>
      <c r="L23" s="77">
        <v>5.169E-2</v>
      </c>
      <c r="M23" s="75">
        <f t="shared" ref="M23:M54" si="2">G23*K23-G22*K22</f>
        <v>4.7431574535492814E-2</v>
      </c>
      <c r="N23" s="75">
        <f t="shared" si="0"/>
        <v>5.0825807603508431E-2</v>
      </c>
      <c r="O23" s="77">
        <v>5.527E-2</v>
      </c>
    </row>
    <row r="24" spans="6:18" x14ac:dyDescent="0.35">
      <c r="G24" s="7">
        <v>3</v>
      </c>
      <c r="H24" s="75">
        <v>2.3795E-2</v>
      </c>
      <c r="I24" s="75">
        <v>2.2828578407541489E-2</v>
      </c>
      <c r="J24" s="75" cm="1">
        <f t="array" ref="J24">_xlfn.LET(_xlpm.m, G24,
     _xlpm.rfr, I24,
     _xlpm.sm_up, INDEX(R.IRR_SM_UP, _xlpm.m),
     _xlpm.bm_up, INDEX(R.IRR_BM_UP, _xlpm.m),
     _xlpm.rfr * (1 + _xlpm.sm_up) + _xlpm.bm_up)</f>
        <v>5.1214581827236816E-2</v>
      </c>
      <c r="K24" s="75">
        <f t="shared" si="1"/>
        <v>4.9946240253252026E-2</v>
      </c>
      <c r="L24" s="77">
        <v>5.1209999999999999E-2</v>
      </c>
      <c r="M24" s="75">
        <f t="shared" si="2"/>
        <v>4.9033597067814766E-2</v>
      </c>
      <c r="N24" s="75">
        <f t="shared" si="0"/>
        <v>5.2427830135830383E-2</v>
      </c>
      <c r="O24" s="77">
        <v>5.4789999999999998E-2</v>
      </c>
    </row>
    <row r="25" spans="6:18" x14ac:dyDescent="0.35">
      <c r="G25" s="2">
        <v>4</v>
      </c>
      <c r="H25" s="75">
        <v>2.4799999999999999E-2</v>
      </c>
      <c r="I25" s="75">
        <v>2.3862916203552631E-2</v>
      </c>
      <c r="J25" s="75" cm="1">
        <f t="array" ref="J25">_xlfn.LET(_xlpm.m, G25,
     _xlpm.rfr, I25,
     _xlpm.sm_up, INDEX(R.IRR_SM_UP, _xlpm.m),
     _xlpm.bm_up, INDEX(R.IRR_BM_UP, _xlpm.m),
     _xlpm.rfr * (1 + _xlpm.sm_up) + _xlpm.bm_up)</f>
        <v>5.0939857657186838E-2</v>
      </c>
      <c r="K25" s="75">
        <f t="shared" si="1"/>
        <v>4.9684866334710226E-2</v>
      </c>
      <c r="L25" s="77">
        <v>5.0939999999999999E-2</v>
      </c>
      <c r="M25" s="75">
        <f t="shared" si="2"/>
        <v>4.8900744579084832E-2</v>
      </c>
      <c r="N25" s="75">
        <f t="shared" si="0"/>
        <v>5.2294977647100449E-2</v>
      </c>
      <c r="O25" s="77">
        <v>5.4510000000000003E-2</v>
      </c>
    </row>
    <row r="26" spans="6:18" x14ac:dyDescent="0.35">
      <c r="G26" s="2">
        <v>5</v>
      </c>
      <c r="H26" s="75">
        <v>2.5690000000000001E-2</v>
      </c>
      <c r="I26" s="75">
        <v>2.478758696287886E-2</v>
      </c>
      <c r="J26" s="75" cm="1">
        <f t="array" ref="J26">_xlfn.LET(_xlpm.m, G26,
     _xlpm.rfr, I26,
     _xlpm.sm_up, INDEX(R.IRR_SM_UP, _xlpm.m),
     _xlpm.bm_up, INDEX(R.IRR_BM_UP, _xlpm.m),
     _xlpm.rfr * (1 + _xlpm.sm_up) + _xlpm.bm_up)</f>
        <v>5.1742001096174349E-2</v>
      </c>
      <c r="K26" s="75">
        <f t="shared" si="1"/>
        <v>5.0447838131475999E-2</v>
      </c>
      <c r="L26" s="77">
        <v>5.1740000000000001E-2</v>
      </c>
      <c r="M26" s="75">
        <f t="shared" si="2"/>
        <v>5.3499725318539082E-2</v>
      </c>
      <c r="N26" s="75">
        <f t="shared" si="0"/>
        <v>5.6893958386554699E-2</v>
      </c>
      <c r="O26" s="77">
        <v>5.5320000000000001E-2</v>
      </c>
    </row>
    <row r="27" spans="6:18" x14ac:dyDescent="0.35">
      <c r="G27" s="7">
        <v>6</v>
      </c>
      <c r="H27" s="75">
        <v>2.6509999999999999E-2</v>
      </c>
      <c r="I27" s="75">
        <v>2.5648677956586319E-2</v>
      </c>
      <c r="J27" s="75" cm="1">
        <f t="array" ref="J27">_xlfn.LET(_xlpm.m, G27,
     _xlpm.rfr, I27,
     _xlpm.sm_up, INDEX(R.IRR_SM_UP, _xlpm.m),
     _xlpm.bm_up, INDEX(R.IRR_BM_UP, _xlpm.m),
     _xlpm.rfr * (1 + _xlpm.sm_up) + _xlpm.bm_up)</f>
        <v>5.056463591878671E-2</v>
      </c>
      <c r="K27" s="75">
        <f t="shared" si="1"/>
        <v>4.9327768128606515E-2</v>
      </c>
      <c r="L27" s="77">
        <v>5.0560000000000001E-2</v>
      </c>
      <c r="M27" s="75">
        <f t="shared" si="2"/>
        <v>4.372741811425912E-2</v>
      </c>
      <c r="N27" s="75">
        <f t="shared" si="0"/>
        <v>4.7121651182274737E-2</v>
      </c>
      <c r="O27" s="77">
        <v>5.4140000000000001E-2</v>
      </c>
    </row>
    <row r="28" spans="6:18" x14ac:dyDescent="0.35">
      <c r="G28" s="7">
        <v>7</v>
      </c>
      <c r="H28" s="75">
        <v>2.7320000000000001E-2</v>
      </c>
      <c r="I28" s="75">
        <v>2.6510381233600278E-2</v>
      </c>
      <c r="J28" s="75" cm="1">
        <f t="array" ref="J28">_xlfn.LET(_xlpm.m, G28,
     _xlpm.rfr, I28,
     _xlpm.sm_up, INDEX(R.IRR_SM_UP, _xlpm.m),
     _xlpm.bm_up, INDEX(R.IRR_BM_UP, _xlpm.m),
     _xlpm.rfr * (1 + _xlpm.sm_up) + _xlpm.bm_up)</f>
        <v>4.9319222290032383E-2</v>
      </c>
      <c r="K28" s="75">
        <f t="shared" si="1"/>
        <v>4.8141594169592905E-2</v>
      </c>
      <c r="L28" s="77">
        <v>4.9320000000000003E-2</v>
      </c>
      <c r="M28" s="75">
        <f t="shared" si="2"/>
        <v>4.1024550415511229E-2</v>
      </c>
      <c r="N28" s="75">
        <f t="shared" si="0"/>
        <v>4.4418783483526847E-2</v>
      </c>
      <c r="O28" s="77">
        <v>5.289E-2</v>
      </c>
    </row>
    <row r="29" spans="6:18" x14ac:dyDescent="0.35">
      <c r="G29" s="7">
        <v>8</v>
      </c>
      <c r="H29" s="75">
        <v>2.8000000000000001E-2</v>
      </c>
      <c r="I29" s="75">
        <v>2.7239902777655978E-2</v>
      </c>
      <c r="J29" s="75" cm="1">
        <f t="array" ref="J29">_xlfn.LET(_xlpm.m, G29,
     _xlpm.rfr, I29,
     _xlpm.sm_up, INDEX(R.IRR_SM_UP, _xlpm.m),
     _xlpm.bm_up, INDEX(R.IRR_BM_UP, _xlpm.m),
     _xlpm.rfr * (1 + _xlpm.sm_up) + _xlpm.bm_up)</f>
        <v>4.8401469722059012E-2</v>
      </c>
      <c r="K29" s="75">
        <f t="shared" si="1"/>
        <v>4.7266594337610948E-2</v>
      </c>
      <c r="L29" s="77">
        <v>4.8399999999999999E-2</v>
      </c>
      <c r="M29" s="75">
        <f t="shared" si="2"/>
        <v>4.114159551373725E-2</v>
      </c>
      <c r="N29" s="75">
        <f t="shared" si="0"/>
        <v>4.4535828581752868E-2</v>
      </c>
      <c r="O29" s="77">
        <v>5.1970000000000002E-2</v>
      </c>
    </row>
    <row r="30" spans="6:18" x14ac:dyDescent="0.35">
      <c r="G30" s="2">
        <v>9</v>
      </c>
      <c r="H30" s="75">
        <v>2.8631E-2</v>
      </c>
      <c r="I30" s="75">
        <v>2.7925209236814075E-2</v>
      </c>
      <c r="J30" s="75" cm="1">
        <f t="array" ref="J30">_xlfn.LET(_xlpm.m, G30,
     _xlpm.rfr, I30,
     _xlpm.sm_up, INDEX(R.IRR_SM_UP, _xlpm.m),
     _xlpm.bm_up, INDEX(R.IRR_BM_UP, _xlpm.m),
     _xlpm.rfr * (1 + _xlpm.sm_up) + _xlpm.bm_up)</f>
        <v>4.8061276192594579E-2</v>
      </c>
      <c r="K30" s="75">
        <f t="shared" si="1"/>
        <v>4.6942053838989313E-2</v>
      </c>
      <c r="L30" s="77">
        <v>4.8059999999999999E-2</v>
      </c>
      <c r="M30" s="75">
        <f t="shared" si="2"/>
        <v>4.4345729850016224E-2</v>
      </c>
      <c r="N30" s="75">
        <f t="shared" si="0"/>
        <v>4.7739962918031842E-2</v>
      </c>
      <c r="O30" s="77">
        <v>5.1619999999999999E-2</v>
      </c>
    </row>
    <row r="31" spans="6:18" x14ac:dyDescent="0.35">
      <c r="G31" s="2">
        <v>10</v>
      </c>
      <c r="H31" s="75">
        <v>2.9270000000000001E-2</v>
      </c>
      <c r="I31" s="75">
        <v>2.8630835586778147E-2</v>
      </c>
      <c r="J31" s="75" cm="1">
        <f t="array" ref="J31">_xlfn.LET(_xlpm.m, G31,
     _xlpm.rfr, I31,
     _xlpm.sm_up, INDEX(R.IRR_SM_UP, _xlpm.m),
     _xlpm.bm_up, INDEX(R.IRR_BM_UP, _xlpm.m),
     _xlpm.rfr * (1 + _xlpm.sm_up) + _xlpm.bm_up)</f>
        <v>4.7720086262811594E-2</v>
      </c>
      <c r="K31" s="75">
        <f t="shared" si="1"/>
        <v>4.661645696241682E-2</v>
      </c>
      <c r="L31" s="77">
        <v>4.7719999999999999E-2</v>
      </c>
      <c r="M31" s="75">
        <f t="shared" si="2"/>
        <v>4.368608507326438E-2</v>
      </c>
      <c r="N31" s="75">
        <f t="shared" si="0"/>
        <v>4.7080318141279998E-2</v>
      </c>
      <c r="O31" s="77">
        <v>5.1279999999999999E-2</v>
      </c>
    </row>
    <row r="32" spans="6:18" x14ac:dyDescent="0.35">
      <c r="G32" s="7">
        <v>11</v>
      </c>
      <c r="H32" s="75">
        <v>2.9790000000000001E-2</v>
      </c>
      <c r="I32" s="75">
        <v>2.9208168536828172E-2</v>
      </c>
      <c r="J32" s="75" cm="1">
        <f t="array" ref="J32">_xlfn.LET(_xlpm.m, G32,
     _xlpm.rfr, I32,
     _xlpm.sm_up, INDEX(R.IRR_SM_UP, _xlpm.m),
     _xlpm.bm_up, INDEX(R.IRR_BM_UP, _xlpm.m),
     _xlpm.rfr * (1 + _xlpm.sm_up) + _xlpm.bm_up)</f>
        <v>4.847061909787663E-2</v>
      </c>
      <c r="K32" s="75">
        <f t="shared" si="1"/>
        <v>4.7332549124468326E-2</v>
      </c>
      <c r="L32" s="77">
        <v>4.8469999999999999E-2</v>
      </c>
      <c r="M32" s="75">
        <f t="shared" si="2"/>
        <v>5.4493470744983452E-2</v>
      </c>
      <c r="N32" s="75">
        <f t="shared" si="0"/>
        <v>5.788770381299907E-2</v>
      </c>
      <c r="O32" s="77">
        <v>5.2040000000000003E-2</v>
      </c>
    </row>
    <row r="33" spans="7:15" x14ac:dyDescent="0.35">
      <c r="G33" s="7">
        <v>12</v>
      </c>
      <c r="H33" s="75">
        <v>3.0269999999999998E-2</v>
      </c>
      <c r="I33" s="75">
        <v>2.9747885728615753E-2</v>
      </c>
      <c r="J33" s="75" cm="1">
        <f t="array" ref="J33">_xlfn.LET(_xlpm.m, G33,
     _xlpm.rfr, I33,
     _xlpm.sm_up, INDEX(R.IRR_SM_UP, _xlpm.m),
     _xlpm.bm_up, INDEX(R.IRR_BM_UP, _xlpm.m),
     _xlpm.rfr * (1 + _xlpm.sm_up) + _xlpm.bm_up)</f>
        <v>4.9172251447200485E-2</v>
      </c>
      <c r="K33" s="75">
        <f t="shared" si="1"/>
        <v>4.8001521317344961E-2</v>
      </c>
      <c r="L33" s="77">
        <v>4.9169999999999998E-2</v>
      </c>
      <c r="M33" s="75">
        <f t="shared" si="2"/>
        <v>5.5360215438987836E-2</v>
      </c>
      <c r="N33" s="75">
        <f t="shared" si="0"/>
        <v>5.8754448507003454E-2</v>
      </c>
      <c r="O33" s="77">
        <v>5.2740000000000002E-2</v>
      </c>
    </row>
    <row r="34" spans="7:15" x14ac:dyDescent="0.35">
      <c r="G34" s="7">
        <v>13</v>
      </c>
      <c r="H34" s="75">
        <v>3.0779000000000001E-2</v>
      </c>
      <c r="I34" s="75">
        <v>3.0333297188037012E-2</v>
      </c>
      <c r="J34" s="75" cm="1">
        <f t="array" ref="J34">_xlfn.LET(_xlpm.m, G34,
     _xlpm.rfr, I34,
     _xlpm.sm_up, INDEX(R.IRR_SM_UP, _xlpm.m),
     _xlpm.bm_up, INDEX(R.IRR_BM_UP, _xlpm.m),
     _xlpm.rfr * (1 + _xlpm.sm_up) + _xlpm.bm_up)</f>
        <v>4.9933286344448116E-2</v>
      </c>
      <c r="K34" s="75">
        <f t="shared" si="1"/>
        <v>4.8726625336071805E-2</v>
      </c>
      <c r="L34" s="77">
        <v>4.9930000000000002E-2</v>
      </c>
      <c r="M34" s="75">
        <f t="shared" si="2"/>
        <v>5.742787356079404E-2</v>
      </c>
      <c r="N34" s="75">
        <f t="shared" si="0"/>
        <v>6.0822106628809658E-2</v>
      </c>
      <c r="O34" s="77">
        <v>5.3499999999999999E-2</v>
      </c>
    </row>
    <row r="35" spans="7:15" x14ac:dyDescent="0.35">
      <c r="G35" s="2">
        <v>14</v>
      </c>
      <c r="H35" s="75">
        <v>3.1123999999999999E-2</v>
      </c>
      <c r="I35" s="75">
        <v>3.072992789349227E-2</v>
      </c>
      <c r="J35" s="75" cm="1">
        <f t="array" ref="J35">_xlfn.LET(_xlpm.m, G35,
     _xlpm.rfr, I35,
     _xlpm.sm_up, INDEX(R.IRR_SM_UP, _xlpm.m),
     _xlpm.bm_up, INDEX(R.IRR_BM_UP, _xlpm.m),
     _xlpm.rfr * (1 + _xlpm.sm_up) + _xlpm.bm_up)</f>
        <v>4.9841606982605029E-2</v>
      </c>
      <c r="K35" s="75">
        <f t="shared" si="1"/>
        <v>4.8639302297594993E-2</v>
      </c>
      <c r="L35" s="77">
        <v>4.9840000000000002E-2</v>
      </c>
      <c r="M35" s="75">
        <f t="shared" si="2"/>
        <v>4.7504102797396364E-2</v>
      </c>
      <c r="N35" s="75">
        <f t="shared" si="0"/>
        <v>5.0898335865411981E-2</v>
      </c>
      <c r="O35" s="77">
        <v>5.3409999999999999E-2</v>
      </c>
    </row>
    <row r="36" spans="7:15" x14ac:dyDescent="0.35">
      <c r="G36" s="2">
        <v>15</v>
      </c>
      <c r="H36" s="75">
        <v>3.143E-2</v>
      </c>
      <c r="I36" s="75">
        <v>3.1073798007563491E-2</v>
      </c>
      <c r="J36" s="75" cm="1">
        <f t="array" ref="J36">_xlfn.LET(_xlpm.m, G36,
     _xlpm.rfr, I36,
     _xlpm.sm_up, INDEX(R.IRR_SM_UP, _xlpm.m),
     _xlpm.bm_up, INDEX(R.IRR_BM_UP, _xlpm.m),
     _xlpm.rfr * (1 + _xlpm.sm_up) + _xlpm.bm_up)</f>
        <v>4.9574461449681265E-2</v>
      </c>
      <c r="K36" s="75">
        <f t="shared" si="1"/>
        <v>4.8384807213573758E-2</v>
      </c>
      <c r="L36" s="77">
        <v>4.9570000000000003E-2</v>
      </c>
      <c r="M36" s="75">
        <f t="shared" si="2"/>
        <v>4.4821876037276498E-2</v>
      </c>
      <c r="N36" s="75">
        <f t="shared" si="0"/>
        <v>4.8216109105292115E-2</v>
      </c>
      <c r="O36" s="77">
        <v>5.314E-2</v>
      </c>
    </row>
    <row r="37" spans="7:15" x14ac:dyDescent="0.35">
      <c r="G37" s="7">
        <v>16</v>
      </c>
      <c r="H37" s="75">
        <v>3.1741999999999999E-2</v>
      </c>
      <c r="I37" s="75">
        <v>3.1327924615086822E-2</v>
      </c>
      <c r="J37" s="75" cm="1">
        <f t="array" ref="J37">_xlfn.LET(_xlpm.m, G37,
     _xlpm.rfr, I37,
     _xlpm.sm_up, INDEX(R.IRR_SM_UP, _xlpm.m),
     _xlpm.bm_up, INDEX(R.IRR_BM_UP, _xlpm.m),
     _xlpm.rfr * (1 + _xlpm.sm_up) + _xlpm.bm_up)</f>
        <v>4.9899743507311134E-2</v>
      </c>
      <c r="K37" s="75">
        <f t="shared" si="1"/>
        <v>4.8694677236710601E-2</v>
      </c>
      <c r="L37" s="77">
        <v>4.99E-2</v>
      </c>
      <c r="M37" s="75">
        <f t="shared" si="2"/>
        <v>5.3342727583763239E-2</v>
      </c>
      <c r="N37" s="75">
        <f t="shared" si="0"/>
        <v>5.6736960651778856E-2</v>
      </c>
      <c r="O37" s="77">
        <v>5.3469999999999997E-2</v>
      </c>
    </row>
    <row r="38" spans="7:15" x14ac:dyDescent="0.35">
      <c r="G38" s="7">
        <v>17</v>
      </c>
      <c r="H38" s="75">
        <v>3.1960000000000002E-2</v>
      </c>
      <c r="I38" s="75">
        <v>3.155220598860331E-2</v>
      </c>
      <c r="J38" s="75" cm="1">
        <f t="array" ref="J38">_xlfn.LET(_xlpm.m, G38,
     _xlpm.rfr, I38,
     _xlpm.sm_up, INDEX(R.IRR_SM_UP, _xlpm.m),
     _xlpm.bm_up, INDEX(R.IRR_BM_UP, _xlpm.m),
     _xlpm.rfr * (1 + _xlpm.sm_up) + _xlpm.bm_up)</f>
        <v>4.9571301605526204E-2</v>
      </c>
      <c r="K38" s="75">
        <f t="shared" si="1"/>
        <v>4.8381796613537462E-2</v>
      </c>
      <c r="L38" s="77">
        <v>4.9570000000000003E-2</v>
      </c>
      <c r="M38" s="75">
        <f t="shared" si="2"/>
        <v>4.3375706642767242E-2</v>
      </c>
      <c r="N38" s="75">
        <f t="shared" si="0"/>
        <v>4.676993971078286E-2</v>
      </c>
      <c r="O38" s="77">
        <v>5.314E-2</v>
      </c>
    </row>
    <row r="39" spans="7:15" x14ac:dyDescent="0.35">
      <c r="G39" s="7">
        <v>18</v>
      </c>
      <c r="H39" s="75">
        <v>3.2131E-2</v>
      </c>
      <c r="I39" s="75">
        <v>3.1751608155370148E-2</v>
      </c>
      <c r="J39" s="75" cm="1">
        <f t="array" ref="J39">_xlfn.LET(_xlpm.m, G39,
     _xlpm.rfr, I39,
     _xlpm.sm_up, INDEX(R.IRR_SM_UP, _xlpm.m),
     _xlpm.bm_up, INDEX(R.IRR_BM_UP, _xlpm.m),
     _xlpm.rfr * (1 + _xlpm.sm_up) + _xlpm.bm_up)</f>
        <v>4.9107026275766394E-2</v>
      </c>
      <c r="K39" s="75">
        <f t="shared" si="1"/>
        <v>4.7939351164737139E-2</v>
      </c>
      <c r="L39" s="77">
        <v>4.9110000000000001E-2</v>
      </c>
      <c r="M39" s="75">
        <f t="shared" si="2"/>
        <v>4.0417778535131621E-2</v>
      </c>
      <c r="N39" s="75">
        <f t="shared" si="0"/>
        <v>4.3812011603147238E-2</v>
      </c>
      <c r="O39" s="77">
        <v>5.2670000000000002E-2</v>
      </c>
    </row>
    <row r="40" spans="7:15" x14ac:dyDescent="0.35">
      <c r="G40" s="2">
        <v>19</v>
      </c>
      <c r="H40" s="75">
        <v>3.2272000000000002E-2</v>
      </c>
      <c r="I40" s="75">
        <v>3.1930053292680283E-2</v>
      </c>
      <c r="J40" s="75" cm="1">
        <f t="array" ref="J40">_xlfn.LET(_xlpm.m, G40,
     _xlpm.rfr, I40,
     _xlpm.sm_up, INDEX(R.IRR_SM_UP, _xlpm.m),
     _xlpm.bm_up, INDEX(R.IRR_BM_UP, _xlpm.m),
     _xlpm.rfr * (1 + _xlpm.sm_up) + _xlpm.bm_up)</f>
        <v>4.9331867148777159E-2</v>
      </c>
      <c r="K40" s="75">
        <f t="shared" si="1"/>
        <v>4.8153644632682041E-2</v>
      </c>
      <c r="L40" s="77">
        <v>4.9329999999999999E-2</v>
      </c>
      <c r="M40" s="75">
        <f t="shared" si="2"/>
        <v>5.2010927055690326E-2</v>
      </c>
      <c r="N40" s="75">
        <f t="shared" si="0"/>
        <v>5.5405160123705943E-2</v>
      </c>
      <c r="O40" s="77">
        <v>5.2900000000000003E-2</v>
      </c>
    </row>
    <row r="41" spans="7:15" x14ac:dyDescent="0.35">
      <c r="G41" s="2">
        <v>20</v>
      </c>
      <c r="H41" s="75">
        <v>3.2329999999999998E-2</v>
      </c>
      <c r="I41" s="75">
        <v>3.2090680303737518E-2</v>
      </c>
      <c r="J41" s="75" cm="1">
        <f t="array" ref="J41">_xlfn.LET(_xlpm.m, G41,
     _xlpm.rfr, I41,
     _xlpm.sm_up, INDEX(R.IRR_SM_UP, _xlpm.m),
     _xlpm.bm_up, INDEX(R.IRR_BM_UP, _xlpm.m),
     _xlpm.rfr * (1 + _xlpm.sm_up) + _xlpm.bm_up)</f>
        <v>4.8913350379671899E-2</v>
      </c>
      <c r="K41" s="75">
        <f t="shared" si="1"/>
        <v>4.7754723885803423E-2</v>
      </c>
      <c r="L41" s="77">
        <v>4.8910000000000002E-2</v>
      </c>
      <c r="M41" s="75">
        <f t="shared" si="2"/>
        <v>4.0175229695109671E-2</v>
      </c>
      <c r="N41" s="75">
        <f t="shared" si="0"/>
        <v>4.3569462763125288E-2</v>
      </c>
      <c r="O41" s="77">
        <v>5.2479999999999999E-2</v>
      </c>
    </row>
    <row r="42" spans="7:15" x14ac:dyDescent="0.35">
      <c r="G42" s="7">
        <v>21</v>
      </c>
      <c r="H42" s="75">
        <v>3.2460000000000003E-2</v>
      </c>
      <c r="I42" s="75">
        <v>3.2112608705586076E-2</v>
      </c>
      <c r="J42" s="75" cm="1">
        <f t="array" ref="J42">_xlfn.LET(_xlpm.m, G42,
     _xlpm.rfr, I42,
     _xlpm.sm_up, INDEX(R.IRR_SM_UP, _xlpm.m),
     _xlpm.bm_up, INDEX(R.IRR_BM_UP, _xlpm.m),
     _xlpm.rfr * (1 + _xlpm.sm_up) + _xlpm.bm_up)</f>
        <v>4.8840760881982595E-2</v>
      </c>
      <c r="K42" s="75">
        <f t="shared" si="1"/>
        <v>4.7685517016105315E-2</v>
      </c>
      <c r="L42" s="77">
        <v>4.8529999999999997E-2</v>
      </c>
      <c r="M42" s="75">
        <f t="shared" si="2"/>
        <v>4.6301379622143091E-2</v>
      </c>
      <c r="N42" s="75">
        <f t="shared" si="0"/>
        <v>4.9695612690158708E-2</v>
      </c>
      <c r="O42" s="77">
        <v>5.1979999999999998E-2</v>
      </c>
    </row>
    <row r="43" spans="7:15" x14ac:dyDescent="0.35">
      <c r="G43" s="7">
        <v>22</v>
      </c>
      <c r="H43" s="75">
        <v>3.2510999999999998E-2</v>
      </c>
      <c r="I43" s="75">
        <v>3.2132544020653686E-2</v>
      </c>
      <c r="J43" s="75" cm="1">
        <f t="array" ref="J43">_xlfn.LET(_xlpm.m, G43,
     _xlpm.rfr, I43,
     _xlpm.sm_up, INDEX(R.IRR_SM_UP, _xlpm.m),
     _xlpm.bm_up, INDEX(R.IRR_BM_UP, _xlpm.m),
     _xlpm.rfr * (1 + _xlpm.sm_up) + _xlpm.bm_up)</f>
        <v>4.8344354585610573E-2</v>
      </c>
      <c r="K43" s="75">
        <f t="shared" si="1"/>
        <v>4.7212114547261215E-2</v>
      </c>
      <c r="L43" s="77">
        <v>4.8160000000000001E-2</v>
      </c>
      <c r="M43" s="75">
        <f t="shared" si="2"/>
        <v>3.7270662701535118E-2</v>
      </c>
      <c r="N43" s="75">
        <f t="shared" si="0"/>
        <v>4.0664895769550735E-2</v>
      </c>
      <c r="O43" s="77">
        <v>5.1490000000000001E-2</v>
      </c>
    </row>
    <row r="44" spans="7:15" x14ac:dyDescent="0.35">
      <c r="G44" s="7">
        <v>23</v>
      </c>
      <c r="H44" s="75">
        <v>3.2542000000000001E-2</v>
      </c>
      <c r="I44" s="75">
        <v>3.2150746166346389E-2</v>
      </c>
      <c r="J44" s="75" cm="1">
        <f t="array" ref="J44">_xlfn.LET(_xlpm.m, G44,
     _xlpm.rfr, I44,
     _xlpm.sm_up, INDEX(R.IRR_SM_UP, _xlpm.m),
     _xlpm.bm_up, INDEX(R.IRR_BM_UP, _xlpm.m),
     _xlpm.rfr * (1 + _xlpm.sm_up) + _xlpm.bm_up)</f>
        <v>4.8066925246269522E-2</v>
      </c>
      <c r="K44" s="75">
        <f t="shared" si="1"/>
        <v>4.6947443827703932E-2</v>
      </c>
      <c r="L44" s="77">
        <v>4.7780000000000003E-2</v>
      </c>
      <c r="M44" s="75">
        <f t="shared" si="2"/>
        <v>4.1124687997443843E-2</v>
      </c>
      <c r="N44" s="75">
        <f t="shared" si="0"/>
        <v>4.451892106545946E-2</v>
      </c>
      <c r="O44" s="77">
        <v>5.101E-2</v>
      </c>
    </row>
    <row r="45" spans="7:15" x14ac:dyDescent="0.35">
      <c r="G45" s="2">
        <v>24</v>
      </c>
      <c r="H45" s="75">
        <v>3.2550999999999997E-2</v>
      </c>
      <c r="I45" s="75">
        <v>3.2167431748557185E-2</v>
      </c>
      <c r="J45" s="75" cm="1">
        <f t="array" ref="J45">_xlfn.LET(_xlpm.m, G45,
     _xlpm.rfr, I45,
     _xlpm.sm_up, INDEX(R.IRR_SM_UP, _xlpm.m),
     _xlpm.bm_up, INDEX(R.IRR_BM_UP, _xlpm.m),
     _xlpm.rfr * (1 + _xlpm.sm_up) + _xlpm.bm_up)</f>
        <v>4.7565941050725334E-2</v>
      </c>
      <c r="K45" s="75">
        <f t="shared" si="1"/>
        <v>4.6469321716579436E-2</v>
      </c>
      <c r="L45" s="77">
        <v>4.7419999999999997E-2</v>
      </c>
      <c r="M45" s="75">
        <f t="shared" si="2"/>
        <v>3.5472513160715868E-2</v>
      </c>
      <c r="N45" s="75">
        <f t="shared" si="0"/>
        <v>3.8866746228731486E-2</v>
      </c>
      <c r="O45" s="77">
        <v>5.0549999999999998E-2</v>
      </c>
    </row>
    <row r="46" spans="7:15" x14ac:dyDescent="0.35">
      <c r="G46" s="2">
        <v>25</v>
      </c>
      <c r="H46" s="75">
        <v>3.2500000000000001E-2</v>
      </c>
      <c r="I46" s="75">
        <v>3.2182782722422365E-2</v>
      </c>
      <c r="J46" s="75" cm="1">
        <f t="array" ref="J46">_xlfn.LET(_xlpm.m, G46,
     _xlpm.rfr, I46,
     _xlpm.sm_up, INDEX(R.IRR_SM_UP, _xlpm.m),
     _xlpm.bm_up, INDEX(R.IRR_BM_UP, _xlpm.m),
     _xlpm.rfr * (1 + _xlpm.sm_up) + _xlpm.bm_up)</f>
        <v>4.7062994921355288E-2</v>
      </c>
      <c r="K46" s="75">
        <f t="shared" si="1"/>
        <v>4.5989097147541499E-2</v>
      </c>
      <c r="L46" s="77">
        <v>4.7070000000000001E-2</v>
      </c>
      <c r="M46" s="75">
        <f t="shared" si="2"/>
        <v>3.4463707490631101E-2</v>
      </c>
      <c r="N46" s="75">
        <f t="shared" si="0"/>
        <v>3.7857940558646719E-2</v>
      </c>
      <c r="O46" s="77">
        <v>5.0099999999999999E-2</v>
      </c>
    </row>
    <row r="47" spans="7:15" x14ac:dyDescent="0.35">
      <c r="G47" s="7">
        <v>26</v>
      </c>
      <c r="H47" s="75">
        <v>3.2539999999999999E-2</v>
      </c>
      <c r="I47" s="75">
        <v>3.2131567440399689E-2</v>
      </c>
      <c r="J47" s="75" cm="1">
        <f t="array" ref="J47">_xlfn.LET(_xlpm.m, G47,
     _xlpm.rfr, I47,
     _xlpm.sm_up, INDEX(R.IRR_SM_UP, _xlpm.m),
     _xlpm.bm_up, INDEX(R.IRR_BM_UP, _xlpm.m),
     _xlpm.rfr * (1 + _xlpm.sm_up) + _xlpm.bm_up)</f>
        <v>4.6800512277287619E-2</v>
      </c>
      <c r="K47" s="75">
        <f t="shared" si="1"/>
        <v>4.5738381048292323E-2</v>
      </c>
      <c r="L47" s="77">
        <v>4.6730000000000001E-2</v>
      </c>
      <c r="M47" s="75">
        <f t="shared" si="2"/>
        <v>3.9470478567062983E-2</v>
      </c>
      <c r="N47" s="75">
        <f t="shared" si="0"/>
        <v>4.2864711635078601E-2</v>
      </c>
      <c r="O47" s="77">
        <v>4.9660000000000003E-2</v>
      </c>
    </row>
    <row r="48" spans="7:15" x14ac:dyDescent="0.35">
      <c r="G48" s="7">
        <v>27</v>
      </c>
      <c r="H48" s="75">
        <v>3.2528000000000001E-2</v>
      </c>
      <c r="I48" s="75">
        <v>3.2084148148809666E-2</v>
      </c>
      <c r="J48" s="75" cm="1">
        <f t="array" ref="J48">_xlfn.LET(_xlpm.m, G48,
     _xlpm.rfr, I48,
     _xlpm.sm_up, INDEX(R.IRR_SM_UP, _xlpm.m),
     _xlpm.bm_up, INDEX(R.IRR_BM_UP, _xlpm.m),
     _xlpm.rfr * (1 + _xlpm.sm_up) + _xlpm.bm_up)</f>
        <v>4.6221819260059693E-2</v>
      </c>
      <c r="K48" s="75">
        <f t="shared" si="1"/>
        <v>4.5185407462435725E-2</v>
      </c>
      <c r="L48" s="77">
        <v>4.6399999999999997E-2</v>
      </c>
      <c r="M48" s="75">
        <f t="shared" si="2"/>
        <v>3.0808094230164063E-2</v>
      </c>
      <c r="N48" s="75">
        <f t="shared" si="0"/>
        <v>3.420232729817968E-2</v>
      </c>
      <c r="O48" s="77">
        <v>4.9239999999999999E-2</v>
      </c>
    </row>
    <row r="49" spans="7:15" x14ac:dyDescent="0.35">
      <c r="G49" s="7">
        <v>28</v>
      </c>
      <c r="H49" s="75">
        <v>3.2509999999999997E-2</v>
      </c>
      <c r="I49" s="75">
        <v>3.2040117900203446E-2</v>
      </c>
      <c r="J49" s="75" cm="1">
        <f t="array" ref="J49">_xlfn.LET(_xlpm.m, G49,
     _xlpm.rfr, I49,
     _xlpm.sm_up, INDEX(R.IRR_SM_UP, _xlpm.m),
     _xlpm.bm_up, INDEX(R.IRR_BM_UP, _xlpm.m),
     _xlpm.rfr * (1 + _xlpm.sm_up) + _xlpm.bm_up)</f>
        <v>4.5968542659246166E-2</v>
      </c>
      <c r="K49" s="75">
        <f t="shared" si="1"/>
        <v>4.4943291250966001E-2</v>
      </c>
      <c r="L49" s="77">
        <v>4.6080000000000003E-2</v>
      </c>
      <c r="M49" s="75">
        <f t="shared" si="2"/>
        <v>3.8406153541283405E-2</v>
      </c>
      <c r="N49" s="75">
        <f t="shared" si="0"/>
        <v>4.1800386609299023E-2</v>
      </c>
      <c r="O49" s="77">
        <v>4.8840000000000001E-2</v>
      </c>
    </row>
    <row r="50" spans="7:15" x14ac:dyDescent="0.35">
      <c r="G50" s="2">
        <v>29</v>
      </c>
      <c r="H50" s="75">
        <v>3.2489999999999998E-2</v>
      </c>
      <c r="I50" s="75">
        <v>3.1999125909014436E-2</v>
      </c>
      <c r="J50" s="75" cm="1">
        <f t="array" ref="J50">_xlfn.LET(_xlpm.m, G50,
     _xlpm.rfr, I50,
     _xlpm.sm_up, INDEX(R.IRR_SM_UP, _xlpm.m),
     _xlpm.bm_up, INDEX(R.IRR_BM_UP, _xlpm.m),
     _xlpm.rfr * (1 + _xlpm.sm_up) + _xlpm.bm_up)</f>
        <v>4.5398951090817319E-2</v>
      </c>
      <c r="K50" s="75">
        <f t="shared" si="1"/>
        <v>4.4398583939396344E-2</v>
      </c>
      <c r="L50" s="77">
        <v>4.5769999999999998E-2</v>
      </c>
      <c r="M50" s="75">
        <f t="shared" si="2"/>
        <v>2.9146779215446061E-2</v>
      </c>
      <c r="N50" s="75">
        <f t="shared" si="0"/>
        <v>3.2541012283461679E-2</v>
      </c>
      <c r="O50" s="77">
        <v>4.845E-2</v>
      </c>
    </row>
    <row r="51" spans="7:15" x14ac:dyDescent="0.35">
      <c r="G51" s="2">
        <v>30</v>
      </c>
      <c r="H51" s="75">
        <v>3.2431000000000001E-2</v>
      </c>
      <c r="I51" s="75">
        <v>3.1960868186216462E-2</v>
      </c>
      <c r="J51" s="75" cm="1">
        <f t="array" ref="J51">_xlfn.LET(_xlpm.m, G51,
     _xlpm.rfr, I51,
     _xlpm.sm_up, INDEX(R.IRR_SM_UP, _xlpm.m),
     _xlpm.bm_up, INDEX(R.IRR_BM_UP, _xlpm.m),
     _xlpm.rfr * (1 + _xlpm.sm_up) + _xlpm.bm_up)</f>
        <v>4.5253041823459753E-2</v>
      </c>
      <c r="K51" s="75">
        <f t="shared" si="1"/>
        <v>4.4259001389943931E-2</v>
      </c>
      <c r="L51" s="77">
        <v>4.5469999999999997E-2</v>
      </c>
      <c r="M51" s="75">
        <f t="shared" si="2"/>
        <v>4.0211107455823791E-2</v>
      </c>
      <c r="N51" s="75">
        <f t="shared" si="0"/>
        <v>4.3605340523839409E-2</v>
      </c>
      <c r="O51" s="77">
        <v>4.8079999999999998E-2</v>
      </c>
    </row>
    <row r="52" spans="7:15" x14ac:dyDescent="0.35">
      <c r="G52" s="7">
        <v>31</v>
      </c>
      <c r="H52" s="75" t="e">
        <v>#N/A</v>
      </c>
      <c r="I52" s="75">
        <v>3.1861988269642039E-2</v>
      </c>
      <c r="J52" s="75" cm="1">
        <f t="array" ref="J52">_xlfn.LET(_xlpm.m, G52,
     _xlpm.rfr, I52,
     _xlpm.sm_up, INDEX(R.IRR_SM_UP, _xlpm.m),
     _xlpm.bm_up, INDEX(R.IRR_BM_UP, _xlpm.m),
     _xlpm.rfr * (1 + _xlpm.sm_up) + _xlpm.bm_up)</f>
        <v>4.5234385923570444E-2</v>
      </c>
      <c r="K52" s="75">
        <f t="shared" si="1"/>
        <v>4.4241153016744229E-2</v>
      </c>
      <c r="L52" s="77">
        <v>4.5179999999999998E-2</v>
      </c>
      <c r="M52" s="75">
        <f t="shared" si="2"/>
        <v>4.3705701820753395E-2</v>
      </c>
      <c r="N52" s="75">
        <f t="shared" si="0"/>
        <v>4.7099934888769013E-2</v>
      </c>
      <c r="O52" s="77">
        <v>4.7719999999999999E-2</v>
      </c>
    </row>
    <row r="53" spans="7:15" x14ac:dyDescent="0.35">
      <c r="G53" s="7">
        <v>32</v>
      </c>
      <c r="H53" s="75" t="e">
        <v>#N/A</v>
      </c>
      <c r="I53" s="75">
        <v>3.1769296952575132E-2</v>
      </c>
      <c r="J53" s="75" cm="1">
        <f t="array" ref="J53">_xlfn.LET(_xlpm.m, G53,
     _xlpm.rfr, I53,
     _xlpm.sm_up, INDEX(R.IRR_SM_UP, _xlpm.m),
     _xlpm.bm_up, INDEX(R.IRR_BM_UP, _xlpm.m),
     _xlpm.rfr * (1 + _xlpm.sm_up) + _xlpm.bm_up)</f>
        <v>4.5223156343090161E-2</v>
      </c>
      <c r="K53" s="75">
        <f t="shared" si="1"/>
        <v>4.4230409358714133E-2</v>
      </c>
      <c r="L53" s="77">
        <v>4.4909999999999999E-2</v>
      </c>
      <c r="M53" s="75">
        <f t="shared" si="2"/>
        <v>4.3897355959781059E-2</v>
      </c>
      <c r="N53" s="75">
        <f t="shared" si="0"/>
        <v>4.7291589027796677E-2</v>
      </c>
      <c r="O53" s="77">
        <v>4.7370000000000002E-2</v>
      </c>
    </row>
    <row r="54" spans="7:15" x14ac:dyDescent="0.35">
      <c r="G54" s="7">
        <v>33</v>
      </c>
      <c r="H54" s="75" t="e">
        <v>#N/A</v>
      </c>
      <c r="I54" s="75">
        <v>3.1682230875834438E-2</v>
      </c>
      <c r="J54" s="75" cm="1">
        <f t="array" ref="J54">_xlfn.LET(_xlpm.m, G54,
     _xlpm.rfr, I54,
     _xlpm.sm_up, INDEX(R.IRR_SM_UP, _xlpm.m),
     _xlpm.bm_up, INDEX(R.IRR_BM_UP, _xlpm.m),
     _xlpm.rfr * (1 + _xlpm.sm_up) + _xlpm.bm_up)</f>
        <v>4.5118677051001324E-2</v>
      </c>
      <c r="K54" s="75">
        <f t="shared" si="1"/>
        <v>4.4130445524563265E-2</v>
      </c>
      <c r="L54" s="77">
        <v>4.4639999999999999E-2</v>
      </c>
      <c r="M54" s="75">
        <f t="shared" si="2"/>
        <v>4.093160283173547E-2</v>
      </c>
      <c r="N54" s="75">
        <f t="shared" ref="N54:N85" si="3">M54+LN(1+V.TOTAL_VA)</f>
        <v>4.4325835899751087E-2</v>
      </c>
      <c r="O54" s="77">
        <v>4.7039999999999998E-2</v>
      </c>
    </row>
    <row r="55" spans="7:15" x14ac:dyDescent="0.35">
      <c r="G55" s="2">
        <v>34</v>
      </c>
      <c r="H55" s="75" t="e">
        <v>#N/A</v>
      </c>
      <c r="I55" s="75">
        <v>3.1600293044559136E-2</v>
      </c>
      <c r="J55" s="75" cm="1">
        <f t="array" ref="J55">_xlfn.LET(_xlpm.m, G55,
     _xlpm.rfr, I55,
     _xlpm.sm_up, INDEX(R.IRR_SM_UP, _xlpm.m),
     _xlpm.bm_up, INDEX(R.IRR_BM_UP, _xlpm.m),
     _xlpm.rfr * (1 + _xlpm.sm_up) + _xlpm.bm_up)</f>
        <v>4.5020351653470965E-2</v>
      </c>
      <c r="K55" s="75">
        <f t="shared" si="1"/>
        <v>4.4036360493613279E-2</v>
      </c>
      <c r="L55" s="77">
        <v>4.4389999999999999E-2</v>
      </c>
      <c r="M55" s="75">
        <f t="shared" ref="M55:M86" si="4">G55*K55-G54*K54</f>
        <v>4.0931554472263709E-2</v>
      </c>
      <c r="N55" s="75">
        <f t="shared" si="3"/>
        <v>4.4325787540279327E-2</v>
      </c>
      <c r="O55" s="77">
        <v>4.6719999999999998E-2</v>
      </c>
    </row>
    <row r="56" spans="7:15" x14ac:dyDescent="0.35">
      <c r="G56" s="2">
        <v>35</v>
      </c>
      <c r="H56" s="75" t="e">
        <v>#N/A</v>
      </c>
      <c r="I56" s="75">
        <v>3.1523043335539791E-2</v>
      </c>
      <c r="J56" s="75" cm="1">
        <f t="array" ref="J56">_xlfn.LET(_xlpm.m, G56,
     _xlpm.rfr, I56,
     _xlpm.sm_up, INDEX(R.IRR_SM_UP, _xlpm.m),
     _xlpm.bm_up, INDEX(R.IRR_BM_UP, _xlpm.m),
     _xlpm.rfr * (1 + _xlpm.sm_up) + _xlpm.bm_up)</f>
        <v>4.4927652002647749E-2</v>
      </c>
      <c r="K56" s="75">
        <f t="shared" si="1"/>
        <v>4.3947650486740493E-2</v>
      </c>
      <c r="L56" s="77">
        <v>4.4150000000000002E-2</v>
      </c>
      <c r="M56" s="75">
        <f t="shared" si="4"/>
        <v>4.093151025306585E-2</v>
      </c>
      <c r="N56" s="75">
        <f t="shared" si="3"/>
        <v>4.4325743321081468E-2</v>
      </c>
      <c r="O56" s="77">
        <v>4.6420000000000003E-2</v>
      </c>
    </row>
    <row r="57" spans="7:15" x14ac:dyDescent="0.35">
      <c r="G57" s="7">
        <v>36</v>
      </c>
      <c r="H57" s="75" t="e">
        <v>#N/A</v>
      </c>
      <c r="I57" s="75">
        <v>3.1450090588614588E-2</v>
      </c>
      <c r="J57" s="75" cm="1">
        <f t="array" ref="J57">_xlfn.LET(_xlpm.m, G57,
     _xlpm.rfr, I57,
     _xlpm.sm_up, INDEX(R.IRR_SM_UP, _xlpm.m),
     _xlpm.bm_up, INDEX(R.IRR_BM_UP, _xlpm.m),
     _xlpm.rfr * (1 + _xlpm.sm_up) + _xlpm.bm_up)</f>
        <v>4.4940108706337502E-2</v>
      </c>
      <c r="K57" s="75">
        <f t="shared" si="1"/>
        <v>4.3959571531625725E-2</v>
      </c>
      <c r="L57" s="77">
        <v>4.3909999999999998E-2</v>
      </c>
      <c r="M57" s="75">
        <f t="shared" si="4"/>
        <v>4.43768081026088E-2</v>
      </c>
      <c r="N57" s="75">
        <f t="shared" si="3"/>
        <v>4.7771041170624418E-2</v>
      </c>
      <c r="O57" s="77">
        <v>4.6129999999999997E-2</v>
      </c>
    </row>
    <row r="58" spans="7:15" x14ac:dyDescent="0.35">
      <c r="G58" s="7">
        <v>37</v>
      </c>
      <c r="H58" s="75" t="e">
        <v>#N/A</v>
      </c>
      <c r="I58" s="75">
        <v>3.1381085982085555E-2</v>
      </c>
      <c r="J58" s="75" cm="1">
        <f t="array" ref="J58">_xlfn.LET(_xlpm.m, G58,
     _xlpm.rfr, I58,
     _xlpm.sm_up, INDEX(R.IRR_SM_UP, _xlpm.m),
     _xlpm.bm_up, INDEX(R.IRR_BM_UP, _xlpm.m),
     _xlpm.rfr * (1 + _xlpm.sm_up) + _xlpm.bm_up)</f>
        <v>4.5171114038323516E-2</v>
      </c>
      <c r="K58" s="75">
        <f t="shared" si="1"/>
        <v>4.4180617503163364E-2</v>
      </c>
      <c r="L58" s="77">
        <v>4.369E-2</v>
      </c>
      <c r="M58" s="75">
        <f t="shared" si="4"/>
        <v>5.2138272478518433E-2</v>
      </c>
      <c r="N58" s="75">
        <f t="shared" si="3"/>
        <v>5.553250554653405E-2</v>
      </c>
      <c r="O58" s="77">
        <v>4.5850000000000002E-2</v>
      </c>
    </row>
    <row r="59" spans="7:15" x14ac:dyDescent="0.35">
      <c r="G59" s="7">
        <v>38</v>
      </c>
      <c r="H59" s="75" t="e">
        <v>#N/A</v>
      </c>
      <c r="I59" s="75">
        <v>3.1315717455343117E-2</v>
      </c>
      <c r="J59" s="75" cm="1">
        <f t="array" ref="J59">_xlfn.LET(_xlpm.m, G59,
     _xlpm.rfr, I59,
     _xlpm.sm_up, INDEX(R.IRR_SM_UP, _xlpm.m),
     _xlpm.bm_up, INDEX(R.IRR_BM_UP, _xlpm.m),
     _xlpm.rfr * (1 + _xlpm.sm_up) + _xlpm.bm_up)</f>
        <v>4.5092018120965166E-2</v>
      </c>
      <c r="K59" s="75">
        <f t="shared" si="1"/>
        <v>4.4104937158254358E-2</v>
      </c>
      <c r="L59" s="77">
        <v>4.3470000000000002E-2</v>
      </c>
      <c r="M59" s="75">
        <f t="shared" si="4"/>
        <v>4.1304764396621119E-2</v>
      </c>
      <c r="N59" s="75">
        <f t="shared" si="3"/>
        <v>4.4698997464636736E-2</v>
      </c>
      <c r="O59" s="77">
        <v>4.5580000000000002E-2</v>
      </c>
    </row>
    <row r="60" spans="7:15" x14ac:dyDescent="0.35">
      <c r="G60" s="2">
        <v>39</v>
      </c>
      <c r="H60" s="75" t="e">
        <v>#N/A</v>
      </c>
      <c r="I60" s="75">
        <v>3.1253704990530151E-2</v>
      </c>
      <c r="J60" s="75" cm="1">
        <f t="array" ref="J60">_xlfn.LET(_xlpm.m, G60,
     _xlpm.rfr, I60,
     _xlpm.sm_up, INDEX(R.IRR_SM_UP, _xlpm.m),
     _xlpm.bm_up, INDEX(R.IRR_BM_UP, _xlpm.m),
     _xlpm.rfr * (1 + _xlpm.sm_up) + _xlpm.bm_up)</f>
        <v>4.5116983038541482E-2</v>
      </c>
      <c r="K60" s="75">
        <f t="shared" si="1"/>
        <v>4.4128824642772554E-2</v>
      </c>
      <c r="L60" s="77">
        <v>4.326E-2</v>
      </c>
      <c r="M60" s="75">
        <f t="shared" si="4"/>
        <v>4.503654905446397E-2</v>
      </c>
      <c r="N60" s="75">
        <f t="shared" si="3"/>
        <v>4.8430782122479588E-2</v>
      </c>
      <c r="O60" s="77">
        <v>4.5319999999999999E-2</v>
      </c>
    </row>
    <row r="61" spans="7:15" x14ac:dyDescent="0.35">
      <c r="G61" s="2">
        <v>40</v>
      </c>
      <c r="H61" s="75">
        <v>3.2059999999999998E-2</v>
      </c>
      <c r="I61" s="75">
        <v>3.1194796602740382E-2</v>
      </c>
      <c r="J61" s="75" cm="1">
        <f t="array" ref="J61">_xlfn.LET(_xlpm.m, G61,
     _xlpm.rfr, I61,
     _xlpm.sm_up, INDEX(R.IRR_SM_UP, _xlpm.m),
     _xlpm.bm_up, INDEX(R.IRR_BM_UP, _xlpm.m),
     _xlpm.rfr * (1 + _xlpm.sm_up) + _xlpm.bm_up)</f>
        <v>4.5045703889315863E-2</v>
      </c>
      <c r="K61" s="75">
        <f t="shared" si="1"/>
        <v>4.4060620239642731E-2</v>
      </c>
      <c r="L61" s="77">
        <v>4.3060000000000001E-2</v>
      </c>
      <c r="M61" s="75">
        <f t="shared" si="4"/>
        <v>4.1400648517579741E-2</v>
      </c>
      <c r="N61" s="75">
        <f t="shared" si="3"/>
        <v>4.4794881585595359E-2</v>
      </c>
      <c r="O61" s="77">
        <v>4.5069999999999999E-2</v>
      </c>
    </row>
    <row r="62" spans="7:15" x14ac:dyDescent="0.35">
      <c r="G62" s="7">
        <v>41</v>
      </c>
      <c r="H62" s="75" t="e">
        <v>#N/A</v>
      </c>
      <c r="I62" s="75">
        <v>3.1011027367062738E-2</v>
      </c>
      <c r="J62" s="75" cm="1">
        <f t="array" ref="J62">_xlfn.LET(_xlpm.m, G62,
     _xlpm.rfr, I62,
     _xlpm.sm_up, INDEX(R.IRR_SM_UP, _xlpm.m),
     _xlpm.bm_up, INDEX(R.IRR_BM_UP, _xlpm.m),
     _xlpm.rfr * (1 + _xlpm.sm_up) + _xlpm.bm_up)</f>
        <v>4.4923343114145906E-2</v>
      </c>
      <c r="K62" s="75">
        <f t="shared" si="1"/>
        <v>4.3943526854469984E-2</v>
      </c>
      <c r="L62" s="77">
        <v>4.2869999999999998E-2</v>
      </c>
      <c r="M62" s="75">
        <f t="shared" si="4"/>
        <v>3.9259791447560088E-2</v>
      </c>
      <c r="N62" s="75">
        <f t="shared" si="3"/>
        <v>4.2654024515575706E-2</v>
      </c>
      <c r="O62" s="77">
        <v>4.4830000000000002E-2</v>
      </c>
    </row>
    <row r="63" spans="7:15" x14ac:dyDescent="0.35">
      <c r="G63" s="7">
        <v>42</v>
      </c>
      <c r="H63" s="75" t="e">
        <v>#N/A</v>
      </c>
      <c r="I63" s="75">
        <v>3.0836039494853029E-2</v>
      </c>
      <c r="J63" s="75" cm="1">
        <f t="array" ref="J63">_xlfn.LET(_xlpm.m, G63,
     _xlpm.rfr, I63,
     _xlpm.sm_up, INDEX(R.IRR_SM_UP, _xlpm.m),
     _xlpm.bm_up, INDEX(R.IRR_BM_UP, _xlpm.m),
     _xlpm.rfr * (1 + _xlpm.sm_up) + _xlpm.bm_up)</f>
        <v>4.4711607788772159E-2</v>
      </c>
      <c r="K63" s="75">
        <f t="shared" si="1"/>
        <v>4.3740873921232236E-2</v>
      </c>
      <c r="L63" s="77">
        <v>4.2680000000000003E-2</v>
      </c>
      <c r="M63" s="75">
        <f t="shared" si="4"/>
        <v>3.5432103658484371E-2</v>
      </c>
      <c r="N63" s="75">
        <f t="shared" si="3"/>
        <v>3.8826336726499988E-2</v>
      </c>
      <c r="O63" s="77">
        <v>4.4600000000000001E-2</v>
      </c>
    </row>
    <row r="64" spans="7:15" x14ac:dyDescent="0.35">
      <c r="G64" s="7">
        <v>43</v>
      </c>
      <c r="H64" s="75" t="e">
        <v>#N/A</v>
      </c>
      <c r="I64" s="75">
        <v>3.0669218253303265E-2</v>
      </c>
      <c r="J64" s="75" cm="1">
        <f t="array" ref="J64">_xlfn.LET(_xlpm.m, G64,
     _xlpm.rfr, I64,
     _xlpm.sm_up, INDEX(R.IRR_SM_UP, _xlpm.m),
     _xlpm.bm_up, INDEX(R.IRR_BM_UP, _xlpm.m),
     _xlpm.rfr * (1 + _xlpm.sm_up) + _xlpm.bm_up)</f>
        <v>4.460975408649695E-2</v>
      </c>
      <c r="K64" s="75">
        <f t="shared" si="1"/>
        <v>4.3643374604741748E-2</v>
      </c>
      <c r="L64" s="77">
        <v>4.2509999999999999E-2</v>
      </c>
      <c r="M64" s="75">
        <f t="shared" si="4"/>
        <v>3.9548403312141378E-2</v>
      </c>
      <c r="N64" s="75">
        <f t="shared" si="3"/>
        <v>4.2942636380156995E-2</v>
      </c>
      <c r="O64" s="77">
        <v>4.4380000000000003E-2</v>
      </c>
    </row>
    <row r="65" spans="7:15" x14ac:dyDescent="0.35">
      <c r="G65" s="2">
        <v>44</v>
      </c>
      <c r="H65" s="75" t="e">
        <v>#N/A</v>
      </c>
      <c r="I65" s="75">
        <v>3.0510004979567462E-2</v>
      </c>
      <c r="J65" s="75" cm="1">
        <f t="array" ref="J65">_xlfn.LET(_xlpm.m, G65,
     _xlpm.rfr, I65,
     _xlpm.sm_up, INDEX(R.IRR_SM_UP, _xlpm.m),
     _xlpm.bm_up, INDEX(R.IRR_BM_UP, _xlpm.m),
     _xlpm.rfr * (1 + _xlpm.sm_up) + _xlpm.bm_up)</f>
        <v>4.4417106025276626E-2</v>
      </c>
      <c r="K65" s="75">
        <f t="shared" si="1"/>
        <v>4.3458936514983511E-2</v>
      </c>
      <c r="L65" s="77">
        <v>4.2340000000000003E-2</v>
      </c>
      <c r="M65" s="75">
        <f t="shared" si="4"/>
        <v>3.5528098655379203E-2</v>
      </c>
      <c r="N65" s="75">
        <f t="shared" si="3"/>
        <v>3.8922331723394821E-2</v>
      </c>
      <c r="O65" s="77">
        <v>4.4170000000000001E-2</v>
      </c>
    </row>
    <row r="66" spans="7:15" x14ac:dyDescent="0.35">
      <c r="G66" s="2">
        <v>45</v>
      </c>
      <c r="H66" s="75" t="e">
        <v>#N/A</v>
      </c>
      <c r="I66" s="75">
        <v>3.0357890830607026E-2</v>
      </c>
      <c r="J66" s="75" cm="1">
        <f t="array" ref="J66">_xlfn.LET(_xlpm.m, G66,
     _xlpm.rfr, I66,
     _xlpm.sm_up, INDEX(R.IRR_SM_UP, _xlpm.m),
     _xlpm.bm_up, INDEX(R.IRR_BM_UP, _xlpm.m),
     _xlpm.rfr * (1 + _xlpm.sm_up) + _xlpm.bm_up)</f>
        <v>4.4233047905034503E-2</v>
      </c>
      <c r="K66" s="75">
        <f t="shared" si="1"/>
        <v>4.3282690511915717E-2</v>
      </c>
      <c r="L66" s="77">
        <v>4.2169999999999999E-2</v>
      </c>
      <c r="M66" s="75">
        <f t="shared" si="4"/>
        <v>3.5527866376932948E-2</v>
      </c>
      <c r="N66" s="75">
        <f t="shared" si="3"/>
        <v>3.8922099444948566E-2</v>
      </c>
      <c r="O66" s="77">
        <v>4.3970000000000002E-2</v>
      </c>
    </row>
    <row r="67" spans="7:15" x14ac:dyDescent="0.35">
      <c r="G67" s="7">
        <v>46</v>
      </c>
      <c r="H67" s="75" t="e">
        <v>#N/A</v>
      </c>
      <c r="I67" s="75">
        <v>3.0212411350849289E-2</v>
      </c>
      <c r="J67" s="75" cm="1">
        <f t="array" ref="J67">_xlfn.LET(_xlpm.m, G67,
     _xlpm.rfr, I67,
     _xlpm.sm_up, INDEX(R.IRR_SM_UP, _xlpm.m),
     _xlpm.bm_up, INDEX(R.IRR_BM_UP, _xlpm.m),
     _xlpm.rfr * (1 + _xlpm.sm_up) + _xlpm.bm_up)</f>
        <v>4.4057017734527637E-2</v>
      </c>
      <c r="K67" s="75">
        <f t="shared" si="1"/>
        <v>4.3114102657364053E-2</v>
      </c>
      <c r="L67" s="77">
        <v>4.2009999999999999E-2</v>
      </c>
      <c r="M67" s="75">
        <f t="shared" si="4"/>
        <v>3.5527649202539147E-2</v>
      </c>
      <c r="N67" s="75">
        <f t="shared" si="3"/>
        <v>3.8921882270554764E-2</v>
      </c>
      <c r="O67" s="77">
        <v>4.3770000000000003E-2</v>
      </c>
    </row>
    <row r="68" spans="7:15" x14ac:dyDescent="0.35">
      <c r="G68" s="7">
        <v>47</v>
      </c>
      <c r="H68" s="75" t="e">
        <v>#N/A</v>
      </c>
      <c r="I68" s="75">
        <v>3.0073141735484921E-2</v>
      </c>
      <c r="J68" s="75" cm="1">
        <f t="array" ref="J68">_xlfn.LET(_xlpm.m, G68,
     _xlpm.rfr, I68,
     _xlpm.sm_up, INDEX(R.IRR_SM_UP, _xlpm.m),
     _xlpm.bm_up, INDEX(R.IRR_BM_UP, _xlpm.m),
     _xlpm.rfr * (1 + _xlpm.sm_up) + _xlpm.bm_up)</f>
        <v>4.3888501499936755E-2</v>
      </c>
      <c r="K68" s="75">
        <f t="shared" si="1"/>
        <v>4.2952684427430075E-2</v>
      </c>
      <c r="L68" s="77">
        <v>4.1860000000000001E-2</v>
      </c>
      <c r="M68" s="75">
        <f t="shared" si="4"/>
        <v>3.5527445850467076E-2</v>
      </c>
      <c r="N68" s="75">
        <f t="shared" si="3"/>
        <v>3.8921678918482694E-2</v>
      </c>
      <c r="O68" s="77">
        <v>4.3580000000000001E-2</v>
      </c>
    </row>
    <row r="69" spans="7:15" x14ac:dyDescent="0.35">
      <c r="G69" s="7">
        <v>48</v>
      </c>
      <c r="H69" s="75" t="e">
        <v>#N/A</v>
      </c>
      <c r="I69" s="75">
        <v>2.9939692687646513E-2</v>
      </c>
      <c r="J69" s="75" cm="1">
        <f t="array" ref="J69">_xlfn.LET(_xlpm.m, G69,
     _xlpm.rfr, I69,
     _xlpm.sm_up, INDEX(R.IRR_SM_UP, _xlpm.m),
     _xlpm.bm_up, INDEX(R.IRR_BM_UP, _xlpm.m),
     _xlpm.rfr * (1 + _xlpm.sm_up) + _xlpm.bm_up)</f>
        <v>4.3627028152052286E-2</v>
      </c>
      <c r="K69" s="75">
        <f t="shared" si="1"/>
        <v>4.270217290256921E-2</v>
      </c>
      <c r="L69" s="77">
        <v>4.1709999999999997E-2</v>
      </c>
      <c r="M69" s="75">
        <f t="shared" si="4"/>
        <v>3.0928131234108314E-2</v>
      </c>
      <c r="N69" s="75">
        <f t="shared" si="3"/>
        <v>3.4322364302123931E-2</v>
      </c>
      <c r="O69" s="77">
        <v>4.3400000000000001E-2</v>
      </c>
    </row>
    <row r="70" spans="7:15" x14ac:dyDescent="0.35">
      <c r="G70" s="2">
        <v>49</v>
      </c>
      <c r="H70" s="75" t="e">
        <v>#N/A</v>
      </c>
      <c r="I70" s="75">
        <v>2.9811706784378833E-2</v>
      </c>
      <c r="J70" s="75" cm="1">
        <f t="array" ref="J70">_xlfn.LET(_xlpm.m, G70,
     _xlpm.rfr, I70,
     _xlpm.sm_up, INDEX(R.IRR_SM_UP, _xlpm.m),
     _xlpm.bm_up, INDEX(R.IRR_BM_UP, _xlpm.m),
     _xlpm.rfr * (1 + _xlpm.sm_up) + _xlpm.bm_up)</f>
        <v>4.3472165209098385E-2</v>
      </c>
      <c r="K70" s="75">
        <f t="shared" si="1"/>
        <v>4.2553772727119209E-2</v>
      </c>
      <c r="L70" s="77">
        <v>4.1570000000000003E-2</v>
      </c>
      <c r="M70" s="75">
        <f t="shared" si="4"/>
        <v>3.5430564305519496E-2</v>
      </c>
      <c r="N70" s="75">
        <f t="shared" si="3"/>
        <v>3.8824797373535114E-2</v>
      </c>
      <c r="O70" s="77">
        <v>4.3220000000000001E-2</v>
      </c>
    </row>
    <row r="71" spans="7:15" x14ac:dyDescent="0.35">
      <c r="G71" s="2">
        <v>50</v>
      </c>
      <c r="H71" s="75">
        <v>3.1309999999999998E-2</v>
      </c>
      <c r="I71" s="75">
        <v>2.9688855279960569E-2</v>
      </c>
      <c r="J71" s="75" cm="1">
        <f t="array" ref="J71">_xlfn.LET(_xlpm.m, G71,
     _xlpm.rfr, I71,
     _xlpm.sm_up, INDEX(R.IRR_SM_UP, _xlpm.m),
     _xlpm.bm_up, INDEX(R.IRR_BM_UP, _xlpm.m),
     _xlpm.rfr * (1 + _xlpm.sm_up) + _xlpm.bm_up)</f>
        <v>4.3223514888752285E-2</v>
      </c>
      <c r="K71" s="75">
        <f t="shared" si="1"/>
        <v>4.2315453048888743E-2</v>
      </c>
      <c r="L71" s="77">
        <v>4.1439999999999998E-2</v>
      </c>
      <c r="M71" s="75">
        <f t="shared" si="4"/>
        <v>3.0637788815595979E-2</v>
      </c>
      <c r="N71" s="75">
        <f t="shared" si="3"/>
        <v>3.4032021883611596E-2</v>
      </c>
      <c r="O71" s="77">
        <v>4.3060000000000001E-2</v>
      </c>
    </row>
    <row r="72" spans="7:15" x14ac:dyDescent="0.35">
      <c r="G72" s="7">
        <v>51</v>
      </c>
      <c r="H72" s="75" t="e">
        <v>#N/A</v>
      </c>
      <c r="I72" s="75" t="e">
        <v>#N/A</v>
      </c>
      <c r="J72" s="75" t="e" cm="1">
        <f t="array" ref="J72">_xlfn.LET(_xlpm.m, G72,
     _xlpm.rfr, I72,
     _xlpm.sm_up, INDEX(R.IRR_SM_UP, _xlpm.m),
     _xlpm.bm_up, INDEX(R.IRR_BM_UP, _xlpm.m),
     _xlpm.rfr * (1 + _xlpm.sm_up) + _xlpm.bm_up)</f>
        <v>#N/A</v>
      </c>
      <c r="K72" s="75" t="e">
        <f t="shared" si="1"/>
        <v>#N/A</v>
      </c>
      <c r="L72" s="77">
        <v>4.1300000000000003E-2</v>
      </c>
      <c r="M72" s="75" t="e">
        <f t="shared" si="4"/>
        <v>#N/A</v>
      </c>
      <c r="N72" s="75" t="e">
        <f t="shared" si="3"/>
        <v>#N/A</v>
      </c>
      <c r="O72" s="77">
        <v>4.2889999999999998E-2</v>
      </c>
    </row>
    <row r="73" spans="7:15" x14ac:dyDescent="0.35">
      <c r="G73" s="7">
        <v>52</v>
      </c>
      <c r="H73" s="75" t="e">
        <v>#N/A</v>
      </c>
      <c r="I73" s="75" t="e">
        <v>#N/A</v>
      </c>
      <c r="J73" s="75" t="e" cm="1">
        <f t="array" ref="J73">_xlfn.LET(_xlpm.m, G73,
     _xlpm.rfr, I73,
     _xlpm.sm_up, INDEX(R.IRR_SM_UP, _xlpm.m),
     _xlpm.bm_up, INDEX(R.IRR_BM_UP, _xlpm.m),
     _xlpm.rfr * (1 + _xlpm.sm_up) + _xlpm.bm_up)</f>
        <v>#N/A</v>
      </c>
      <c r="K73" s="75" t="e">
        <f t="shared" si="1"/>
        <v>#N/A</v>
      </c>
      <c r="L73" s="77">
        <v>4.1180000000000001E-2</v>
      </c>
      <c r="M73" s="75" t="e">
        <f t="shared" si="4"/>
        <v>#N/A</v>
      </c>
      <c r="N73" s="75" t="e">
        <f t="shared" si="3"/>
        <v>#N/A</v>
      </c>
      <c r="O73" s="77">
        <v>4.2729999999999997E-2</v>
      </c>
    </row>
    <row r="74" spans="7:15" x14ac:dyDescent="0.35">
      <c r="G74" s="7">
        <v>53</v>
      </c>
      <c r="H74" s="75" t="e">
        <v>#N/A</v>
      </c>
      <c r="I74" s="75" t="e">
        <v>#N/A</v>
      </c>
      <c r="J74" s="75" t="e" cm="1">
        <f t="array" ref="J74">_xlfn.LET(_xlpm.m, G74,
     _xlpm.rfr, I74,
     _xlpm.sm_up, INDEX(R.IRR_SM_UP, _xlpm.m),
     _xlpm.bm_up, INDEX(R.IRR_BM_UP, _xlpm.m),
     _xlpm.rfr * (1 + _xlpm.sm_up) + _xlpm.bm_up)</f>
        <v>#N/A</v>
      </c>
      <c r="K74" s="75" t="e">
        <f t="shared" si="1"/>
        <v>#N/A</v>
      </c>
      <c r="L74" s="77">
        <v>4.1050000000000003E-2</v>
      </c>
      <c r="M74" s="75" t="e">
        <f t="shared" si="4"/>
        <v>#N/A</v>
      </c>
      <c r="N74" s="75" t="e">
        <f t="shared" si="3"/>
        <v>#N/A</v>
      </c>
      <c r="O74" s="77">
        <v>4.258E-2</v>
      </c>
    </row>
    <row r="75" spans="7:15" x14ac:dyDescent="0.35">
      <c r="G75" s="2">
        <v>54</v>
      </c>
      <c r="H75" s="75" t="e">
        <v>#N/A</v>
      </c>
      <c r="I75" s="75" t="e">
        <v>#N/A</v>
      </c>
      <c r="J75" s="75" t="e" cm="1">
        <f t="array" ref="J75">_xlfn.LET(_xlpm.m, G75,
     _xlpm.rfr, I75,
     _xlpm.sm_up, INDEX(R.IRR_SM_UP, _xlpm.m),
     _xlpm.bm_up, INDEX(R.IRR_BM_UP, _xlpm.m),
     _xlpm.rfr * (1 + _xlpm.sm_up) + _xlpm.bm_up)</f>
        <v>#N/A</v>
      </c>
      <c r="K75" s="75" t="e">
        <f t="shared" si="1"/>
        <v>#N/A</v>
      </c>
      <c r="L75" s="77">
        <v>4.0939999999999997E-2</v>
      </c>
      <c r="M75" s="75" t="e">
        <f t="shared" si="4"/>
        <v>#N/A</v>
      </c>
      <c r="N75" s="75" t="e">
        <f t="shared" si="3"/>
        <v>#N/A</v>
      </c>
      <c r="O75" s="77">
        <v>4.2439999999999999E-2</v>
      </c>
    </row>
    <row r="76" spans="7:15" x14ac:dyDescent="0.35">
      <c r="G76" s="2">
        <v>55</v>
      </c>
      <c r="H76" s="75" t="e">
        <v>#N/A</v>
      </c>
      <c r="I76" s="75" t="e">
        <v>#N/A</v>
      </c>
      <c r="J76" s="75" t="e" cm="1">
        <f t="array" ref="J76">_xlfn.LET(_xlpm.m, G76,
     _xlpm.rfr, I76,
     _xlpm.sm_up, INDEX(R.IRR_SM_UP, _xlpm.m),
     _xlpm.bm_up, INDEX(R.IRR_BM_UP, _xlpm.m),
     _xlpm.rfr * (1 + _xlpm.sm_up) + _xlpm.bm_up)</f>
        <v>#N/A</v>
      </c>
      <c r="K76" s="75" t="e">
        <f t="shared" si="1"/>
        <v>#N/A</v>
      </c>
      <c r="L76" s="77">
        <v>4.0820000000000002E-2</v>
      </c>
      <c r="M76" s="75" t="e">
        <f t="shared" si="4"/>
        <v>#N/A</v>
      </c>
      <c r="N76" s="75" t="e">
        <f t="shared" si="3"/>
        <v>#N/A</v>
      </c>
      <c r="O76" s="77">
        <v>4.2299999999999997E-2</v>
      </c>
    </row>
    <row r="77" spans="7:15" x14ac:dyDescent="0.35">
      <c r="G77" s="7">
        <v>56</v>
      </c>
      <c r="H77" s="75" t="e">
        <v>#N/A</v>
      </c>
      <c r="I77" s="75" t="e">
        <v>#N/A</v>
      </c>
      <c r="J77" s="75" t="e" cm="1">
        <f t="array" ref="J77">_xlfn.LET(_xlpm.m, G77,
     _xlpm.rfr, I77,
     _xlpm.sm_up, INDEX(R.IRR_SM_UP, _xlpm.m),
     _xlpm.bm_up, INDEX(R.IRR_BM_UP, _xlpm.m),
     _xlpm.rfr * (1 + _xlpm.sm_up) + _xlpm.bm_up)</f>
        <v>#N/A</v>
      </c>
      <c r="K77" s="75" t="e">
        <f t="shared" si="1"/>
        <v>#N/A</v>
      </c>
      <c r="L77" s="77">
        <v>4.0710000000000003E-2</v>
      </c>
      <c r="M77" s="75" t="e">
        <f t="shared" si="4"/>
        <v>#N/A</v>
      </c>
      <c r="N77" s="75" t="e">
        <f t="shared" si="3"/>
        <v>#N/A</v>
      </c>
      <c r="O77" s="77">
        <v>4.2160000000000003E-2</v>
      </c>
    </row>
    <row r="78" spans="7:15" x14ac:dyDescent="0.35">
      <c r="G78" s="7">
        <v>57</v>
      </c>
      <c r="H78" s="75" t="e">
        <v>#N/A</v>
      </c>
      <c r="I78" s="75" t="e">
        <v>#N/A</v>
      </c>
      <c r="J78" s="75" t="e" cm="1">
        <f t="array" ref="J78">_xlfn.LET(_xlpm.m, G78,
     _xlpm.rfr, I78,
     _xlpm.sm_up, INDEX(R.IRR_SM_UP, _xlpm.m),
     _xlpm.bm_up, INDEX(R.IRR_BM_UP, _xlpm.m),
     _xlpm.rfr * (1 + _xlpm.sm_up) + _xlpm.bm_up)</f>
        <v>#N/A</v>
      </c>
      <c r="K78" s="75" t="e">
        <f t="shared" si="1"/>
        <v>#N/A</v>
      </c>
      <c r="L78" s="77">
        <v>4.0599999999999997E-2</v>
      </c>
      <c r="M78" s="75" t="e">
        <f t="shared" si="4"/>
        <v>#N/A</v>
      </c>
      <c r="N78" s="75" t="e">
        <f t="shared" si="3"/>
        <v>#N/A</v>
      </c>
      <c r="O78" s="77">
        <v>4.2029999999999998E-2</v>
      </c>
    </row>
    <row r="79" spans="7:15" x14ac:dyDescent="0.35">
      <c r="G79" s="7">
        <v>58</v>
      </c>
      <c r="H79" s="75" t="e">
        <v>#N/A</v>
      </c>
      <c r="I79" s="75" t="e">
        <v>#N/A</v>
      </c>
      <c r="J79" s="75" t="e" cm="1">
        <f t="array" ref="J79">_xlfn.LET(_xlpm.m, G79,
     _xlpm.rfr, I79,
     _xlpm.sm_up, INDEX(R.IRR_SM_UP, _xlpm.m),
     _xlpm.bm_up, INDEX(R.IRR_BM_UP, _xlpm.m),
     _xlpm.rfr * (1 + _xlpm.sm_up) + _xlpm.bm_up)</f>
        <v>#N/A</v>
      </c>
      <c r="K79" s="75" t="e">
        <f t="shared" si="1"/>
        <v>#N/A</v>
      </c>
      <c r="L79" s="77">
        <v>4.0500000000000001E-2</v>
      </c>
      <c r="M79" s="75" t="e">
        <f t="shared" si="4"/>
        <v>#N/A</v>
      </c>
      <c r="N79" s="75" t="e">
        <f t="shared" si="3"/>
        <v>#N/A</v>
      </c>
      <c r="O79" s="77">
        <v>4.19E-2</v>
      </c>
    </row>
    <row r="80" spans="7:15" x14ac:dyDescent="0.35">
      <c r="G80" s="2">
        <v>59</v>
      </c>
      <c r="H80" s="75" t="e">
        <v>#N/A</v>
      </c>
      <c r="I80" s="75" t="e">
        <v>#N/A</v>
      </c>
      <c r="J80" s="75" t="e" cm="1">
        <f t="array" ref="J80">_xlfn.LET(_xlpm.m, G80,
     _xlpm.rfr, I80,
     _xlpm.sm_up, INDEX(R.IRR_SM_UP, _xlpm.m),
     _xlpm.bm_up, INDEX(R.IRR_BM_UP, _xlpm.m),
     _xlpm.rfr * (1 + _xlpm.sm_up) + _xlpm.bm_up)</f>
        <v>#N/A</v>
      </c>
      <c r="K80" s="75" t="e">
        <f t="shared" si="1"/>
        <v>#N/A</v>
      </c>
      <c r="L80" s="77">
        <v>4.0399999999999998E-2</v>
      </c>
      <c r="M80" s="75" t="e">
        <f t="shared" si="4"/>
        <v>#N/A</v>
      </c>
      <c r="N80" s="75" t="e">
        <f t="shared" si="3"/>
        <v>#N/A</v>
      </c>
      <c r="O80" s="77">
        <v>4.1770000000000002E-2</v>
      </c>
    </row>
    <row r="81" spans="7:15" x14ac:dyDescent="0.35">
      <c r="G81" s="2">
        <v>60</v>
      </c>
      <c r="H81" s="75" t="e">
        <v>#N/A</v>
      </c>
      <c r="I81" s="75" t="e">
        <v>#N/A</v>
      </c>
      <c r="J81" s="75" t="e" cm="1">
        <f t="array" ref="J81">_xlfn.LET(_xlpm.m, G81,
     _xlpm.rfr, I81,
     _xlpm.sm_up, INDEX(R.IRR_SM_UP, _xlpm.m),
     _xlpm.bm_up, INDEX(R.IRR_BM_UP, _xlpm.m),
     _xlpm.rfr * (1 + _xlpm.sm_up) + _xlpm.bm_up)</f>
        <v>#N/A</v>
      </c>
      <c r="K81" s="75" t="e">
        <f t="shared" si="1"/>
        <v>#N/A</v>
      </c>
      <c r="L81" s="77">
        <v>4.0300000000000002E-2</v>
      </c>
      <c r="M81" s="75" t="e">
        <f t="shared" si="4"/>
        <v>#N/A</v>
      </c>
      <c r="N81" s="75" t="e">
        <f t="shared" si="3"/>
        <v>#N/A</v>
      </c>
      <c r="O81" s="77">
        <v>4.165E-2</v>
      </c>
    </row>
    <row r="82" spans="7:15" x14ac:dyDescent="0.35">
      <c r="G82" s="7">
        <v>61</v>
      </c>
      <c r="H82" s="75" t="e">
        <v>#N/A</v>
      </c>
      <c r="I82" s="75" t="e">
        <v>#N/A</v>
      </c>
      <c r="J82" s="75" t="e" cm="1">
        <f t="array" ref="J82">_xlfn.LET(_xlpm.m, G82,
     _xlpm.rfr, I82,
     _xlpm.sm_up, INDEX(R.IRR_SM_UP, _xlpm.m),
     _xlpm.bm_up, INDEX(R.IRR_BM_UP, _xlpm.m),
     _xlpm.rfr * (1 + _xlpm.sm_up) + _xlpm.bm_up)</f>
        <v>#N/A</v>
      </c>
      <c r="K82" s="75" t="e">
        <f t="shared" si="1"/>
        <v>#N/A</v>
      </c>
      <c r="L82" s="77">
        <v>4.0210000000000003E-2</v>
      </c>
      <c r="M82" s="75" t="e">
        <f t="shared" si="4"/>
        <v>#N/A</v>
      </c>
      <c r="N82" s="75" t="e">
        <f t="shared" si="3"/>
        <v>#N/A</v>
      </c>
      <c r="O82" s="77">
        <v>4.1540000000000001E-2</v>
      </c>
    </row>
    <row r="83" spans="7:15" x14ac:dyDescent="0.35">
      <c r="G83" s="7">
        <v>62</v>
      </c>
      <c r="H83" s="75" t="e">
        <v>#N/A</v>
      </c>
      <c r="I83" s="75" t="e">
        <v>#N/A</v>
      </c>
      <c r="J83" s="75" t="e" cm="1">
        <f t="array" ref="J83">_xlfn.LET(_xlpm.m, G83,
     _xlpm.rfr, I83,
     _xlpm.sm_up, INDEX(R.IRR_SM_UP, _xlpm.m),
     _xlpm.bm_up, INDEX(R.IRR_BM_UP, _xlpm.m),
     _xlpm.rfr * (1 + _xlpm.sm_up) + _xlpm.bm_up)</f>
        <v>#N/A</v>
      </c>
      <c r="K83" s="75" t="e">
        <f t="shared" si="1"/>
        <v>#N/A</v>
      </c>
      <c r="L83" s="77">
        <v>4.0120000000000003E-2</v>
      </c>
      <c r="M83" s="75" t="e">
        <f t="shared" si="4"/>
        <v>#N/A</v>
      </c>
      <c r="N83" s="75" t="e">
        <f t="shared" si="3"/>
        <v>#N/A</v>
      </c>
      <c r="O83" s="77">
        <v>4.1430000000000002E-2</v>
      </c>
    </row>
    <row r="84" spans="7:15" x14ac:dyDescent="0.35">
      <c r="G84" s="7">
        <v>63</v>
      </c>
      <c r="H84" s="75" t="e">
        <v>#N/A</v>
      </c>
      <c r="I84" s="75" t="e">
        <v>#N/A</v>
      </c>
      <c r="J84" s="75" t="e" cm="1">
        <f t="array" ref="J84">_xlfn.LET(_xlpm.m, G84,
     _xlpm.rfr, I84,
     _xlpm.sm_up, INDEX(R.IRR_SM_UP, _xlpm.m),
     _xlpm.bm_up, INDEX(R.IRR_BM_UP, _xlpm.m),
     _xlpm.rfr * (1 + _xlpm.sm_up) + _xlpm.bm_up)</f>
        <v>#N/A</v>
      </c>
      <c r="K84" s="75" t="e">
        <f t="shared" si="1"/>
        <v>#N/A</v>
      </c>
      <c r="L84" s="77">
        <v>4.0030000000000003E-2</v>
      </c>
      <c r="M84" s="75" t="e">
        <f t="shared" si="4"/>
        <v>#N/A</v>
      </c>
      <c r="N84" s="75" t="e">
        <f t="shared" si="3"/>
        <v>#N/A</v>
      </c>
      <c r="O84" s="77">
        <v>4.1320000000000003E-2</v>
      </c>
    </row>
    <row r="85" spans="7:15" x14ac:dyDescent="0.35">
      <c r="G85" s="2">
        <v>64</v>
      </c>
      <c r="H85" s="75" t="e">
        <v>#N/A</v>
      </c>
      <c r="I85" s="75" t="e">
        <v>#N/A</v>
      </c>
      <c r="J85" s="75" t="e" cm="1">
        <f t="array" ref="J85">_xlfn.LET(_xlpm.m, G85,
     _xlpm.rfr, I85,
     _xlpm.sm_up, INDEX(R.IRR_SM_UP, _xlpm.m),
     _xlpm.bm_up, INDEX(R.IRR_BM_UP, _xlpm.m),
     _xlpm.rfr * (1 + _xlpm.sm_up) + _xlpm.bm_up)</f>
        <v>#N/A</v>
      </c>
      <c r="K85" s="75" t="e">
        <f t="shared" si="1"/>
        <v>#N/A</v>
      </c>
      <c r="L85" s="77">
        <v>3.9940000000000003E-2</v>
      </c>
      <c r="M85" s="75" t="e">
        <f t="shared" si="4"/>
        <v>#N/A</v>
      </c>
      <c r="N85" s="75" t="e">
        <f t="shared" si="3"/>
        <v>#N/A</v>
      </c>
      <c r="O85" s="77">
        <v>4.1209999999999997E-2</v>
      </c>
    </row>
    <row r="86" spans="7:15" x14ac:dyDescent="0.35">
      <c r="G86" s="2">
        <v>65</v>
      </c>
      <c r="H86" s="75" t="e">
        <v>#N/A</v>
      </c>
      <c r="I86" s="75" t="e">
        <v>#N/A</v>
      </c>
      <c r="J86" s="75" t="e" cm="1">
        <f t="array" ref="J86">_xlfn.LET(_xlpm.m, G86,
     _xlpm.rfr, I86,
     _xlpm.sm_up, INDEX(R.IRR_SM_UP, _xlpm.m),
     _xlpm.bm_up, INDEX(R.IRR_BM_UP, _xlpm.m),
     _xlpm.rfr * (1 + _xlpm.sm_up) + _xlpm.bm_up)</f>
        <v>#N/A</v>
      </c>
      <c r="K86" s="75" t="e">
        <f t="shared" si="1"/>
        <v>#N/A</v>
      </c>
      <c r="L86" s="77">
        <v>3.986E-2</v>
      </c>
      <c r="M86" s="75" t="e">
        <f t="shared" si="4"/>
        <v>#N/A</v>
      </c>
      <c r="N86" s="75" t="e">
        <f t="shared" ref="N86:N117" si="5">M86+LN(1+V.TOTAL_VA)</f>
        <v>#N/A</v>
      </c>
      <c r="O86" s="77">
        <v>4.1110000000000001E-2</v>
      </c>
    </row>
    <row r="87" spans="7:15" x14ac:dyDescent="0.35">
      <c r="G87" s="7">
        <v>66</v>
      </c>
      <c r="H87" s="75" t="e">
        <v>#N/A</v>
      </c>
      <c r="I87" s="75" t="e">
        <v>#N/A</v>
      </c>
      <c r="J87" s="75" t="e" cm="1">
        <f t="array" ref="J87">_xlfn.LET(_xlpm.m, G87,
     _xlpm.rfr, I87,
     _xlpm.sm_up, INDEX(R.IRR_SM_UP, _xlpm.m),
     _xlpm.bm_up, INDEX(R.IRR_BM_UP, _xlpm.m),
     _xlpm.rfr * (1 + _xlpm.sm_up) + _xlpm.bm_up)</f>
        <v>#N/A</v>
      </c>
      <c r="K87" s="75" t="e">
        <f t="shared" ref="K87:K150" si="6">LN(1+J87)</f>
        <v>#N/A</v>
      </c>
      <c r="L87" s="77">
        <v>3.9780000000000003E-2</v>
      </c>
      <c r="M87" s="75" t="e">
        <f t="shared" ref="M87:M118" si="7">G87*K87-G86*K86</f>
        <v>#N/A</v>
      </c>
      <c r="N87" s="75" t="e">
        <f t="shared" si="5"/>
        <v>#N/A</v>
      </c>
      <c r="O87" s="77">
        <v>4.1009999999999998E-2</v>
      </c>
    </row>
    <row r="88" spans="7:15" x14ac:dyDescent="0.35">
      <c r="G88" s="7">
        <v>67</v>
      </c>
      <c r="H88" s="75" t="e">
        <v>#N/A</v>
      </c>
      <c r="I88" s="75" t="e">
        <v>#N/A</v>
      </c>
      <c r="J88" s="75" t="e" cm="1">
        <f t="array" ref="J88">_xlfn.LET(_xlpm.m, G88,
     _xlpm.rfr, I88,
     _xlpm.sm_up, INDEX(R.IRR_SM_UP, _xlpm.m),
     _xlpm.bm_up, INDEX(R.IRR_BM_UP, _xlpm.m),
     _xlpm.rfr * (1 + _xlpm.sm_up) + _xlpm.bm_up)</f>
        <v>#N/A</v>
      </c>
      <c r="K88" s="75" t="e">
        <f t="shared" si="6"/>
        <v>#N/A</v>
      </c>
      <c r="L88" s="77">
        <v>3.9699999999999999E-2</v>
      </c>
      <c r="M88" s="75" t="e">
        <f t="shared" si="7"/>
        <v>#N/A</v>
      </c>
      <c r="N88" s="75" t="e">
        <f t="shared" si="5"/>
        <v>#N/A</v>
      </c>
      <c r="O88" s="77">
        <v>4.0910000000000002E-2</v>
      </c>
    </row>
    <row r="89" spans="7:15" x14ac:dyDescent="0.35">
      <c r="G89" s="7">
        <v>68</v>
      </c>
      <c r="H89" s="75" t="e">
        <v>#N/A</v>
      </c>
      <c r="I89" s="75" t="e">
        <v>#N/A</v>
      </c>
      <c r="J89" s="75" t="e" cm="1">
        <f t="array" ref="J89">_xlfn.LET(_xlpm.m, G89,
     _xlpm.rfr, I89,
     _xlpm.sm_up, INDEX(R.IRR_SM_UP, _xlpm.m),
     _xlpm.bm_up, INDEX(R.IRR_BM_UP, _xlpm.m),
     _xlpm.rfr * (1 + _xlpm.sm_up) + _xlpm.bm_up)</f>
        <v>#N/A</v>
      </c>
      <c r="K89" s="75" t="e">
        <f t="shared" si="6"/>
        <v>#N/A</v>
      </c>
      <c r="L89" s="77">
        <v>3.9620000000000002E-2</v>
      </c>
      <c r="M89" s="75" t="e">
        <f t="shared" si="7"/>
        <v>#N/A</v>
      </c>
      <c r="N89" s="75" t="e">
        <f t="shared" si="5"/>
        <v>#N/A</v>
      </c>
      <c r="O89" s="77">
        <v>4.0820000000000002E-2</v>
      </c>
    </row>
    <row r="90" spans="7:15" x14ac:dyDescent="0.35">
      <c r="G90" s="2">
        <v>69</v>
      </c>
      <c r="H90" s="75" t="e">
        <v>#N/A</v>
      </c>
      <c r="I90" s="75" t="e">
        <v>#N/A</v>
      </c>
      <c r="J90" s="75" t="e" cm="1">
        <f t="array" ref="J90">_xlfn.LET(_xlpm.m, G90,
     _xlpm.rfr, I90,
     _xlpm.sm_up, INDEX(R.IRR_SM_UP, _xlpm.m),
     _xlpm.bm_up, INDEX(R.IRR_BM_UP, _xlpm.m),
     _xlpm.rfr * (1 + _xlpm.sm_up) + _xlpm.bm_up)</f>
        <v>#N/A</v>
      </c>
      <c r="K90" s="75" t="e">
        <f t="shared" si="6"/>
        <v>#N/A</v>
      </c>
      <c r="L90" s="77">
        <v>3.9550000000000002E-2</v>
      </c>
      <c r="M90" s="75" t="e">
        <f t="shared" si="7"/>
        <v>#N/A</v>
      </c>
      <c r="N90" s="75" t="e">
        <f t="shared" si="5"/>
        <v>#N/A</v>
      </c>
      <c r="O90" s="77">
        <v>4.0730000000000002E-2</v>
      </c>
    </row>
    <row r="91" spans="7:15" x14ac:dyDescent="0.35">
      <c r="G91" s="2">
        <v>70</v>
      </c>
      <c r="H91" s="75" t="e">
        <v>#N/A</v>
      </c>
      <c r="I91" s="75" t="e">
        <v>#N/A</v>
      </c>
      <c r="J91" s="75" t="e" cm="1">
        <f t="array" ref="J91">_xlfn.LET(_xlpm.m, G91,
     _xlpm.rfr, I91,
     _xlpm.sm_up, INDEX(R.IRR_SM_UP, _xlpm.m),
     _xlpm.bm_up, INDEX(R.IRR_BM_UP, _xlpm.m),
     _xlpm.rfr * (1 + _xlpm.sm_up) + _xlpm.bm_up)</f>
        <v>#N/A</v>
      </c>
      <c r="K91" s="75" t="e">
        <f t="shared" si="6"/>
        <v>#N/A</v>
      </c>
      <c r="L91" s="77">
        <v>3.9480000000000001E-2</v>
      </c>
      <c r="M91" s="75" t="e">
        <f t="shared" si="7"/>
        <v>#N/A</v>
      </c>
      <c r="N91" s="75" t="e">
        <f t="shared" si="5"/>
        <v>#N/A</v>
      </c>
      <c r="O91" s="77">
        <v>4.0640000000000003E-2</v>
      </c>
    </row>
    <row r="92" spans="7:15" x14ac:dyDescent="0.35">
      <c r="G92" s="7">
        <v>71</v>
      </c>
      <c r="H92" s="75" t="e">
        <v>#N/A</v>
      </c>
      <c r="I92" s="75" t="e">
        <v>#N/A</v>
      </c>
      <c r="J92" s="75" t="e" cm="1">
        <f t="array" ref="J92">_xlfn.LET(_xlpm.m, G92,
     _xlpm.rfr, I92,
     _xlpm.sm_up, INDEX(R.IRR_SM_UP, _xlpm.m),
     _xlpm.bm_up, INDEX(R.IRR_BM_UP, _xlpm.m),
     _xlpm.rfr * (1 + _xlpm.sm_up) + _xlpm.bm_up)</f>
        <v>#N/A</v>
      </c>
      <c r="K92" s="75" t="e">
        <f t="shared" si="6"/>
        <v>#N/A</v>
      </c>
      <c r="L92" s="77">
        <v>3.9410000000000001E-2</v>
      </c>
      <c r="M92" s="75" t="e">
        <f t="shared" si="7"/>
        <v>#N/A</v>
      </c>
      <c r="N92" s="75" t="e">
        <f t="shared" si="5"/>
        <v>#N/A</v>
      </c>
      <c r="O92" s="77">
        <v>4.0550000000000003E-2</v>
      </c>
    </row>
    <row r="93" spans="7:15" x14ac:dyDescent="0.35">
      <c r="G93" s="7">
        <v>72</v>
      </c>
      <c r="H93" s="75" t="e">
        <v>#N/A</v>
      </c>
      <c r="I93" s="75" t="e">
        <v>#N/A</v>
      </c>
      <c r="J93" s="75" t="e" cm="1">
        <f t="array" ref="J93">_xlfn.LET(_xlpm.m, G93,
     _xlpm.rfr, I93,
     _xlpm.sm_up, INDEX(R.IRR_SM_UP, _xlpm.m),
     _xlpm.bm_up, INDEX(R.IRR_BM_UP, _xlpm.m),
     _xlpm.rfr * (1 + _xlpm.sm_up) + _xlpm.bm_up)</f>
        <v>#N/A</v>
      </c>
      <c r="K93" s="75" t="e">
        <f t="shared" si="6"/>
        <v>#N/A</v>
      </c>
      <c r="L93" s="77">
        <v>3.934E-2</v>
      </c>
      <c r="M93" s="75" t="e">
        <f t="shared" si="7"/>
        <v>#N/A</v>
      </c>
      <c r="N93" s="75" t="e">
        <f t="shared" si="5"/>
        <v>#N/A</v>
      </c>
      <c r="O93" s="77">
        <v>4.0469999999999999E-2</v>
      </c>
    </row>
    <row r="94" spans="7:15" x14ac:dyDescent="0.35">
      <c r="G94" s="7">
        <v>73</v>
      </c>
      <c r="H94" s="75" t="e">
        <v>#N/A</v>
      </c>
      <c r="I94" s="75" t="e">
        <v>#N/A</v>
      </c>
      <c r="J94" s="75" t="e" cm="1">
        <f t="array" ref="J94">_xlfn.LET(_xlpm.m, G94,
     _xlpm.rfr, I94,
     _xlpm.sm_up, INDEX(R.IRR_SM_UP, _xlpm.m),
     _xlpm.bm_up, INDEX(R.IRR_BM_UP, _xlpm.m),
     _xlpm.rfr * (1 + _xlpm.sm_up) + _xlpm.bm_up)</f>
        <v>#N/A</v>
      </c>
      <c r="K94" s="75" t="e">
        <f t="shared" si="6"/>
        <v>#N/A</v>
      </c>
      <c r="L94" s="77">
        <v>3.9269999999999999E-2</v>
      </c>
      <c r="M94" s="75" t="e">
        <f t="shared" si="7"/>
        <v>#N/A</v>
      </c>
      <c r="N94" s="75" t="e">
        <f t="shared" si="5"/>
        <v>#N/A</v>
      </c>
      <c r="O94" s="77">
        <v>4.0390000000000002E-2</v>
      </c>
    </row>
    <row r="95" spans="7:15" x14ac:dyDescent="0.35">
      <c r="G95" s="2">
        <v>74</v>
      </c>
      <c r="H95" s="75" t="e">
        <v>#N/A</v>
      </c>
      <c r="I95" s="75" t="e">
        <v>#N/A</v>
      </c>
      <c r="J95" s="75" t="e" cm="1">
        <f t="array" ref="J95">_xlfn.LET(_xlpm.m, G95,
     _xlpm.rfr, I95,
     _xlpm.sm_up, INDEX(R.IRR_SM_UP, _xlpm.m),
     _xlpm.bm_up, INDEX(R.IRR_BM_UP, _xlpm.m),
     _xlpm.rfr * (1 + _xlpm.sm_up) + _xlpm.bm_up)</f>
        <v>#N/A</v>
      </c>
      <c r="K95" s="75" t="e">
        <f t="shared" si="6"/>
        <v>#N/A</v>
      </c>
      <c r="L95" s="77">
        <v>3.9210000000000002E-2</v>
      </c>
      <c r="M95" s="75" t="e">
        <f t="shared" si="7"/>
        <v>#N/A</v>
      </c>
      <c r="N95" s="75" t="e">
        <f t="shared" si="5"/>
        <v>#N/A</v>
      </c>
      <c r="O95" s="77">
        <v>4.0309999999999999E-2</v>
      </c>
    </row>
    <row r="96" spans="7:15" x14ac:dyDescent="0.35">
      <c r="G96" s="2">
        <v>75</v>
      </c>
      <c r="H96" s="75" t="e">
        <v>#N/A</v>
      </c>
      <c r="I96" s="75" t="e">
        <v>#N/A</v>
      </c>
      <c r="J96" s="75" t="e" cm="1">
        <f t="array" ref="J96">_xlfn.LET(_xlpm.m, G96,
     _xlpm.rfr, I96,
     _xlpm.sm_up, INDEX(R.IRR_SM_UP, _xlpm.m),
     _xlpm.bm_up, INDEX(R.IRR_BM_UP, _xlpm.m),
     _xlpm.rfr * (1 + _xlpm.sm_up) + _xlpm.bm_up)</f>
        <v>#N/A</v>
      </c>
      <c r="K96" s="75" t="e">
        <f t="shared" si="6"/>
        <v>#N/A</v>
      </c>
      <c r="L96" s="77">
        <v>3.9149999999999997E-2</v>
      </c>
      <c r="M96" s="75" t="e">
        <f t="shared" si="7"/>
        <v>#N/A</v>
      </c>
      <c r="N96" s="75" t="e">
        <f t="shared" si="5"/>
        <v>#N/A</v>
      </c>
      <c r="O96" s="77">
        <v>4.0230000000000002E-2</v>
      </c>
    </row>
    <row r="97" spans="7:15" x14ac:dyDescent="0.35">
      <c r="G97" s="7">
        <v>76</v>
      </c>
      <c r="H97" s="75" t="e">
        <v>#N/A</v>
      </c>
      <c r="I97" s="75" t="e">
        <v>#N/A</v>
      </c>
      <c r="J97" s="75" t="e" cm="1">
        <f t="array" ref="J97">_xlfn.LET(_xlpm.m, G97,
     _xlpm.rfr, I97,
     _xlpm.sm_up, INDEX(R.IRR_SM_UP, _xlpm.m),
     _xlpm.bm_up, INDEX(R.IRR_BM_UP, _xlpm.m),
     _xlpm.rfr * (1 + _xlpm.sm_up) + _xlpm.bm_up)</f>
        <v>#N/A</v>
      </c>
      <c r="K97" s="75" t="e">
        <f t="shared" si="6"/>
        <v>#N/A</v>
      </c>
      <c r="L97" s="77">
        <v>3.909E-2</v>
      </c>
      <c r="M97" s="75" t="e">
        <f t="shared" si="7"/>
        <v>#N/A</v>
      </c>
      <c r="N97" s="75" t="e">
        <f t="shared" si="5"/>
        <v>#N/A</v>
      </c>
      <c r="O97" s="77">
        <v>4.0149999999999998E-2</v>
      </c>
    </row>
    <row r="98" spans="7:15" x14ac:dyDescent="0.35">
      <c r="G98" s="7">
        <v>77</v>
      </c>
      <c r="H98" s="75" t="e">
        <v>#N/A</v>
      </c>
      <c r="I98" s="75" t="e">
        <v>#N/A</v>
      </c>
      <c r="J98" s="75" t="e" cm="1">
        <f t="array" ref="J98">_xlfn.LET(_xlpm.m, G98,
     _xlpm.rfr, I98,
     _xlpm.sm_up, INDEX(R.IRR_SM_UP, _xlpm.m),
     _xlpm.bm_up, INDEX(R.IRR_BM_UP, _xlpm.m),
     _xlpm.rfr * (1 + _xlpm.sm_up) + _xlpm.bm_up)</f>
        <v>#N/A</v>
      </c>
      <c r="K98" s="75" t="e">
        <f t="shared" si="6"/>
        <v>#N/A</v>
      </c>
      <c r="L98" s="77">
        <v>3.9030000000000002E-2</v>
      </c>
      <c r="M98" s="75" t="e">
        <f t="shared" si="7"/>
        <v>#N/A</v>
      </c>
      <c r="N98" s="75" t="e">
        <f t="shared" si="5"/>
        <v>#N/A</v>
      </c>
      <c r="O98" s="77">
        <v>4.0079999999999998E-2</v>
      </c>
    </row>
    <row r="99" spans="7:15" x14ac:dyDescent="0.35">
      <c r="G99" s="7">
        <v>78</v>
      </c>
      <c r="H99" s="75" t="e">
        <v>#N/A</v>
      </c>
      <c r="I99" s="75" t="e">
        <v>#N/A</v>
      </c>
      <c r="J99" s="75" t="e" cm="1">
        <f t="array" ref="J99">_xlfn.LET(_xlpm.m, G99,
     _xlpm.rfr, I99,
     _xlpm.sm_up, INDEX(R.IRR_SM_UP, _xlpm.m),
     _xlpm.bm_up, INDEX(R.IRR_BM_UP, _xlpm.m),
     _xlpm.rfr * (1 + _xlpm.sm_up) + _xlpm.bm_up)</f>
        <v>#N/A</v>
      </c>
      <c r="K99" s="75" t="e">
        <f t="shared" si="6"/>
        <v>#N/A</v>
      </c>
      <c r="L99" s="77">
        <v>3.8969999999999998E-2</v>
      </c>
      <c r="M99" s="75" t="e">
        <f t="shared" si="7"/>
        <v>#N/A</v>
      </c>
      <c r="N99" s="75" t="e">
        <f t="shared" si="5"/>
        <v>#N/A</v>
      </c>
      <c r="O99" s="77">
        <v>4.0009999999999997E-2</v>
      </c>
    </row>
    <row r="100" spans="7:15" x14ac:dyDescent="0.35">
      <c r="G100" s="2">
        <v>79</v>
      </c>
      <c r="H100" s="75" t="e">
        <v>#N/A</v>
      </c>
      <c r="I100" s="75" t="e">
        <v>#N/A</v>
      </c>
      <c r="J100" s="75" t="e" cm="1">
        <f t="array" ref="J100">_xlfn.LET(_xlpm.m, G100,
     _xlpm.rfr, I100,
     _xlpm.sm_up, INDEX(R.IRR_SM_UP, _xlpm.m),
     _xlpm.bm_up, INDEX(R.IRR_BM_UP, _xlpm.m),
     _xlpm.rfr * (1 + _xlpm.sm_up) + _xlpm.bm_up)</f>
        <v>#N/A</v>
      </c>
      <c r="K100" s="75" t="e">
        <f t="shared" si="6"/>
        <v>#N/A</v>
      </c>
      <c r="L100" s="77">
        <v>3.891E-2</v>
      </c>
      <c r="M100" s="75" t="e">
        <f t="shared" si="7"/>
        <v>#N/A</v>
      </c>
      <c r="N100" s="75" t="e">
        <f t="shared" si="5"/>
        <v>#N/A</v>
      </c>
      <c r="O100" s="77">
        <v>3.9940000000000003E-2</v>
      </c>
    </row>
    <row r="101" spans="7:15" x14ac:dyDescent="0.35">
      <c r="G101" s="2">
        <v>80</v>
      </c>
      <c r="H101" s="75" t="e">
        <v>#N/A</v>
      </c>
      <c r="I101" s="75" t="e">
        <v>#N/A</v>
      </c>
      <c r="J101" s="75" t="e" cm="1">
        <f t="array" ref="J101">_xlfn.LET(_xlpm.m, G101,
     _xlpm.rfr, I101,
     _xlpm.sm_up, INDEX(R.IRR_SM_UP, _xlpm.m),
     _xlpm.bm_up, INDEX(R.IRR_BM_UP, _xlpm.m),
     _xlpm.rfr * (1 + _xlpm.sm_up) + _xlpm.bm_up)</f>
        <v>#N/A</v>
      </c>
      <c r="K101" s="75" t="e">
        <f t="shared" si="6"/>
        <v>#N/A</v>
      </c>
      <c r="L101" s="77">
        <v>3.8859999999999999E-2</v>
      </c>
      <c r="M101" s="75" t="e">
        <f t="shared" si="7"/>
        <v>#N/A</v>
      </c>
      <c r="N101" s="75" t="e">
        <f t="shared" si="5"/>
        <v>#N/A</v>
      </c>
      <c r="O101" s="77">
        <v>3.9870000000000003E-2</v>
      </c>
    </row>
    <row r="102" spans="7:15" x14ac:dyDescent="0.35">
      <c r="G102" s="7">
        <v>81</v>
      </c>
      <c r="H102" s="75" t="e">
        <v>#N/A</v>
      </c>
      <c r="I102" s="75" t="e">
        <v>#N/A</v>
      </c>
      <c r="J102" s="75" t="e" cm="1">
        <f t="array" ref="J102">_xlfn.LET(_xlpm.m, G102,
     _xlpm.rfr, I102,
     _xlpm.sm_up, INDEX(R.IRR_SM_UP, _xlpm.m),
     _xlpm.bm_up, INDEX(R.IRR_BM_UP, _xlpm.m),
     _xlpm.rfr * (1 + _xlpm.sm_up) + _xlpm.bm_up)</f>
        <v>#N/A</v>
      </c>
      <c r="K102" s="75" t="e">
        <f t="shared" si="6"/>
        <v>#N/A</v>
      </c>
      <c r="L102" s="77">
        <v>3.8800000000000001E-2</v>
      </c>
      <c r="M102" s="75" t="e">
        <f t="shared" si="7"/>
        <v>#N/A</v>
      </c>
      <c r="N102" s="75" t="e">
        <f t="shared" si="5"/>
        <v>#N/A</v>
      </c>
      <c r="O102" s="77">
        <v>3.9800000000000002E-2</v>
      </c>
    </row>
    <row r="103" spans="7:15" x14ac:dyDescent="0.35">
      <c r="G103" s="7">
        <v>82</v>
      </c>
      <c r="H103" s="75" t="e">
        <v>#N/A</v>
      </c>
      <c r="I103" s="75" t="e">
        <v>#N/A</v>
      </c>
      <c r="J103" s="75" t="e" cm="1">
        <f t="array" ref="J103">_xlfn.LET(_xlpm.m, G103,
     _xlpm.rfr, I103,
     _xlpm.sm_up, INDEX(R.IRR_SM_UP, _xlpm.m),
     _xlpm.bm_up, INDEX(R.IRR_BM_UP, _xlpm.m),
     _xlpm.rfr * (1 + _xlpm.sm_up) + _xlpm.bm_up)</f>
        <v>#N/A</v>
      </c>
      <c r="K103" s="75" t="e">
        <f t="shared" si="6"/>
        <v>#N/A</v>
      </c>
      <c r="L103" s="77">
        <v>3.875E-2</v>
      </c>
      <c r="M103" s="75" t="e">
        <f t="shared" si="7"/>
        <v>#N/A</v>
      </c>
      <c r="N103" s="75" t="e">
        <f t="shared" si="5"/>
        <v>#N/A</v>
      </c>
      <c r="O103" s="77">
        <v>3.9739999999999998E-2</v>
      </c>
    </row>
    <row r="104" spans="7:15" x14ac:dyDescent="0.35">
      <c r="G104" s="7">
        <v>83</v>
      </c>
      <c r="H104" s="75" t="e">
        <v>#N/A</v>
      </c>
      <c r="I104" s="75" t="e">
        <v>#N/A</v>
      </c>
      <c r="J104" s="75" t="e" cm="1">
        <f t="array" ref="J104">_xlfn.LET(_xlpm.m, G104,
     _xlpm.rfr, I104,
     _xlpm.sm_up, INDEX(R.IRR_SM_UP, _xlpm.m),
     _xlpm.bm_up, INDEX(R.IRR_BM_UP, _xlpm.m),
     _xlpm.rfr * (1 + _xlpm.sm_up) + _xlpm.bm_up)</f>
        <v>#N/A</v>
      </c>
      <c r="K104" s="75" t="e">
        <f t="shared" si="6"/>
        <v>#N/A</v>
      </c>
      <c r="L104" s="77">
        <v>3.8699999999999998E-2</v>
      </c>
      <c r="M104" s="75" t="e">
        <f t="shared" si="7"/>
        <v>#N/A</v>
      </c>
      <c r="N104" s="75" t="e">
        <f t="shared" si="5"/>
        <v>#N/A</v>
      </c>
      <c r="O104" s="77">
        <v>3.968E-2</v>
      </c>
    </row>
    <row r="105" spans="7:15" x14ac:dyDescent="0.35">
      <c r="G105" s="2">
        <v>84</v>
      </c>
      <c r="H105" s="75" t="e">
        <v>#N/A</v>
      </c>
      <c r="I105" s="75" t="e">
        <v>#N/A</v>
      </c>
      <c r="J105" s="75" t="e" cm="1">
        <f t="array" ref="J105">_xlfn.LET(_xlpm.m, G105,
     _xlpm.rfr, I105,
     _xlpm.sm_up, INDEX(R.IRR_SM_UP, _xlpm.m),
     _xlpm.bm_up, INDEX(R.IRR_BM_UP, _xlpm.m),
     _xlpm.rfr * (1 + _xlpm.sm_up) + _xlpm.bm_up)</f>
        <v>#N/A</v>
      </c>
      <c r="K105" s="75" t="e">
        <f t="shared" si="6"/>
        <v>#N/A</v>
      </c>
      <c r="L105" s="77">
        <v>3.8649999999999997E-2</v>
      </c>
      <c r="M105" s="75" t="e">
        <f t="shared" si="7"/>
        <v>#N/A</v>
      </c>
      <c r="N105" s="75" t="e">
        <f t="shared" si="5"/>
        <v>#N/A</v>
      </c>
      <c r="O105" s="77">
        <v>3.9609999999999999E-2</v>
      </c>
    </row>
    <row r="106" spans="7:15" x14ac:dyDescent="0.35">
      <c r="G106" s="2">
        <v>85</v>
      </c>
      <c r="H106" s="75" t="e">
        <v>#N/A</v>
      </c>
      <c r="I106" s="75" t="e">
        <v>#N/A</v>
      </c>
      <c r="J106" s="75" t="e" cm="1">
        <f t="array" ref="J106">_xlfn.LET(_xlpm.m, G106,
     _xlpm.rfr, I106,
     _xlpm.sm_up, INDEX(R.IRR_SM_UP, _xlpm.m),
     _xlpm.bm_up, INDEX(R.IRR_BM_UP, _xlpm.m),
     _xlpm.rfr * (1 + _xlpm.sm_up) + _xlpm.bm_up)</f>
        <v>#N/A</v>
      </c>
      <c r="K106" s="75" t="e">
        <f t="shared" si="6"/>
        <v>#N/A</v>
      </c>
      <c r="L106" s="77">
        <v>3.8600000000000002E-2</v>
      </c>
      <c r="M106" s="75" t="e">
        <f t="shared" si="7"/>
        <v>#N/A</v>
      </c>
      <c r="N106" s="75" t="e">
        <f t="shared" si="5"/>
        <v>#N/A</v>
      </c>
      <c r="O106" s="77">
        <v>3.9550000000000002E-2</v>
      </c>
    </row>
    <row r="107" spans="7:15" x14ac:dyDescent="0.35">
      <c r="G107" s="7">
        <v>86</v>
      </c>
      <c r="H107" s="75" t="e">
        <v>#N/A</v>
      </c>
      <c r="I107" s="75" t="e">
        <v>#N/A</v>
      </c>
      <c r="J107" s="75" t="e" cm="1">
        <f t="array" ref="J107">_xlfn.LET(_xlpm.m, G107,
     _xlpm.rfr, I107,
     _xlpm.sm_up, INDEX(R.IRR_SM_UP, _xlpm.m),
     _xlpm.bm_up, INDEX(R.IRR_BM_UP, _xlpm.m),
     _xlpm.rfr * (1 + _xlpm.sm_up) + _xlpm.bm_up)</f>
        <v>#N/A</v>
      </c>
      <c r="K107" s="75" t="e">
        <f t="shared" si="6"/>
        <v>#N/A</v>
      </c>
      <c r="L107" s="77">
        <v>3.8550000000000001E-2</v>
      </c>
      <c r="M107" s="75" t="e">
        <f t="shared" si="7"/>
        <v>#N/A</v>
      </c>
      <c r="N107" s="75" t="e">
        <f t="shared" si="5"/>
        <v>#N/A</v>
      </c>
      <c r="O107" s="77">
        <v>3.95E-2</v>
      </c>
    </row>
    <row r="108" spans="7:15" x14ac:dyDescent="0.35">
      <c r="G108" s="7">
        <v>87</v>
      </c>
      <c r="H108" s="75" t="e">
        <v>#N/A</v>
      </c>
      <c r="I108" s="75" t="e">
        <v>#N/A</v>
      </c>
      <c r="J108" s="75" t="e" cm="1">
        <f t="array" ref="J108">_xlfn.LET(_xlpm.m, G108,
     _xlpm.rfr, I108,
     _xlpm.sm_up, INDEX(R.IRR_SM_UP, _xlpm.m),
     _xlpm.bm_up, INDEX(R.IRR_BM_UP, _xlpm.m),
     _xlpm.rfr * (1 + _xlpm.sm_up) + _xlpm.bm_up)</f>
        <v>#N/A</v>
      </c>
      <c r="K108" s="75" t="e">
        <f t="shared" si="6"/>
        <v>#N/A</v>
      </c>
      <c r="L108" s="77">
        <v>3.8510000000000003E-2</v>
      </c>
      <c r="M108" s="75" t="e">
        <f t="shared" si="7"/>
        <v>#N/A</v>
      </c>
      <c r="N108" s="75" t="e">
        <f t="shared" si="5"/>
        <v>#N/A</v>
      </c>
      <c r="O108" s="77">
        <v>3.9440000000000003E-2</v>
      </c>
    </row>
    <row r="109" spans="7:15" x14ac:dyDescent="0.35">
      <c r="G109" s="7">
        <v>88</v>
      </c>
      <c r="H109" s="75" t="e">
        <v>#N/A</v>
      </c>
      <c r="I109" s="75" t="e">
        <v>#N/A</v>
      </c>
      <c r="J109" s="75" t="e" cm="1">
        <f t="array" ref="J109">_xlfn.LET(_xlpm.m, G109,
     _xlpm.rfr, I109,
     _xlpm.sm_up, INDEX(R.IRR_SM_UP, _xlpm.m),
     _xlpm.bm_up, INDEX(R.IRR_BM_UP, _xlpm.m),
     _xlpm.rfr * (1 + _xlpm.sm_up) + _xlpm.bm_up)</f>
        <v>#N/A</v>
      </c>
      <c r="K109" s="75" t="e">
        <f t="shared" si="6"/>
        <v>#N/A</v>
      </c>
      <c r="L109" s="77">
        <v>3.8460000000000001E-2</v>
      </c>
      <c r="M109" s="75" t="e">
        <f t="shared" si="7"/>
        <v>#N/A</v>
      </c>
      <c r="N109" s="75" t="e">
        <f t="shared" si="5"/>
        <v>#N/A</v>
      </c>
      <c r="O109" s="77">
        <v>3.9379999999999998E-2</v>
      </c>
    </row>
    <row r="110" spans="7:15" x14ac:dyDescent="0.35">
      <c r="G110" s="2">
        <v>89</v>
      </c>
      <c r="H110" s="75" t="e">
        <v>#N/A</v>
      </c>
      <c r="I110" s="75" t="e">
        <v>#N/A</v>
      </c>
      <c r="J110" s="75" t="e" cm="1">
        <f t="array" ref="J110">_xlfn.LET(_xlpm.m, G110,
     _xlpm.rfr, I110,
     _xlpm.sm_up, INDEX(R.IRR_SM_UP, _xlpm.m),
     _xlpm.bm_up, INDEX(R.IRR_BM_UP, _xlpm.m),
     _xlpm.rfr * (1 + _xlpm.sm_up) + _xlpm.bm_up)</f>
        <v>#N/A</v>
      </c>
      <c r="K110" s="75" t="e">
        <f t="shared" si="6"/>
        <v>#N/A</v>
      </c>
      <c r="L110" s="77">
        <v>3.8420000000000003E-2</v>
      </c>
      <c r="M110" s="75" t="e">
        <f t="shared" si="7"/>
        <v>#N/A</v>
      </c>
      <c r="N110" s="75" t="e">
        <f t="shared" si="5"/>
        <v>#N/A</v>
      </c>
      <c r="O110" s="77">
        <v>3.9329999999999997E-2</v>
      </c>
    </row>
    <row r="111" spans="7:15" x14ac:dyDescent="0.35">
      <c r="G111" s="2">
        <v>90</v>
      </c>
      <c r="H111" s="75" t="e">
        <v>#N/A</v>
      </c>
      <c r="I111" s="75" t="e">
        <v>#N/A</v>
      </c>
      <c r="J111" s="75" t="e" cm="1">
        <f t="array" ref="J111">_xlfn.LET(_xlpm.m, G111,
     _xlpm.rfr, I111,
     _xlpm.sm_up, INDEX(R.IRR_SM_UP, _xlpm.m),
     _xlpm.bm_up, INDEX(R.IRR_BM_UP, _xlpm.m),
     _xlpm.rfr * (1 + _xlpm.sm_up) + _xlpm.bm_up)</f>
        <v>#N/A</v>
      </c>
      <c r="K111" s="75" t="e">
        <f t="shared" si="6"/>
        <v>#N/A</v>
      </c>
      <c r="L111" s="77">
        <v>3.8370000000000001E-2</v>
      </c>
      <c r="M111" s="75" t="e">
        <f t="shared" si="7"/>
        <v>#N/A</v>
      </c>
      <c r="N111" s="75" t="e">
        <f t="shared" si="5"/>
        <v>#N/A</v>
      </c>
      <c r="O111" s="77">
        <v>3.9269999999999999E-2</v>
      </c>
    </row>
    <row r="112" spans="7:15" x14ac:dyDescent="0.35">
      <c r="G112" s="7">
        <v>91</v>
      </c>
      <c r="H112" s="75" t="e">
        <v>#N/A</v>
      </c>
      <c r="I112" s="75" t="e">
        <v>#N/A</v>
      </c>
      <c r="J112" s="75" t="e" cm="1">
        <f t="array" ref="J112">_xlfn.LET(_xlpm.m, G112,
     _xlpm.rfr, I112,
     _xlpm.sm_up, INDEX(R.IRR_SM_UP, _xlpm.m),
     _xlpm.bm_up, INDEX(R.IRR_BM_UP, _xlpm.m),
     _xlpm.rfr * (1 + _xlpm.sm_up) + _xlpm.bm_up)</f>
        <v>#N/A</v>
      </c>
      <c r="K112" s="75" t="e">
        <f t="shared" si="6"/>
        <v>#N/A</v>
      </c>
      <c r="L112" s="77">
        <v>3.8330000000000003E-2</v>
      </c>
      <c r="M112" s="75" t="e">
        <f t="shared" si="7"/>
        <v>#N/A</v>
      </c>
      <c r="N112" s="75" t="e">
        <f t="shared" si="5"/>
        <v>#N/A</v>
      </c>
      <c r="O112" s="77">
        <v>3.9219999999999998E-2</v>
      </c>
    </row>
    <row r="113" spans="7:15" x14ac:dyDescent="0.35">
      <c r="G113" s="7">
        <v>92</v>
      </c>
      <c r="H113" s="75" t="e">
        <v>#N/A</v>
      </c>
      <c r="I113" s="75" t="e">
        <v>#N/A</v>
      </c>
      <c r="J113" s="75" t="e" cm="1">
        <f t="array" ref="J113">_xlfn.LET(_xlpm.m, G113,
     _xlpm.rfr, I113,
     _xlpm.sm_up, INDEX(R.IRR_SM_UP, _xlpm.m),
     _xlpm.bm_up, INDEX(R.IRR_BM_UP, _xlpm.m),
     _xlpm.rfr * (1 + _xlpm.sm_up) + _xlpm.bm_up)</f>
        <v>#N/A</v>
      </c>
      <c r="K113" s="75" t="e">
        <f t="shared" si="6"/>
        <v>#N/A</v>
      </c>
      <c r="L113" s="77">
        <v>3.8289999999999998E-2</v>
      </c>
      <c r="M113" s="75" t="e">
        <f t="shared" si="7"/>
        <v>#N/A</v>
      </c>
      <c r="N113" s="75" t="e">
        <f t="shared" si="5"/>
        <v>#N/A</v>
      </c>
      <c r="O113" s="77">
        <v>3.9170000000000003E-2</v>
      </c>
    </row>
    <row r="114" spans="7:15" x14ac:dyDescent="0.35">
      <c r="G114" s="7">
        <v>93</v>
      </c>
      <c r="H114" s="75" t="e">
        <v>#N/A</v>
      </c>
      <c r="I114" s="75" t="e">
        <v>#N/A</v>
      </c>
      <c r="J114" s="75" t="e" cm="1">
        <f t="array" ref="J114">_xlfn.LET(_xlpm.m, G114,
     _xlpm.rfr, I114,
     _xlpm.sm_up, INDEX(R.IRR_SM_UP, _xlpm.m),
     _xlpm.bm_up, INDEX(R.IRR_BM_UP, _xlpm.m),
     _xlpm.rfr * (1 + _xlpm.sm_up) + _xlpm.bm_up)</f>
        <v>#N/A</v>
      </c>
      <c r="K114" s="75" t="e">
        <f t="shared" si="6"/>
        <v>#N/A</v>
      </c>
      <c r="L114" s="77">
        <v>3.8249999999999999E-2</v>
      </c>
      <c r="M114" s="75" t="e">
        <f t="shared" si="7"/>
        <v>#N/A</v>
      </c>
      <c r="N114" s="75" t="e">
        <f t="shared" si="5"/>
        <v>#N/A</v>
      </c>
      <c r="O114" s="77">
        <v>3.9120000000000002E-2</v>
      </c>
    </row>
    <row r="115" spans="7:15" x14ac:dyDescent="0.35">
      <c r="G115" s="2">
        <v>94</v>
      </c>
      <c r="H115" s="75" t="e">
        <v>#N/A</v>
      </c>
      <c r="I115" s="75" t="e">
        <v>#N/A</v>
      </c>
      <c r="J115" s="75" t="e" cm="1">
        <f t="array" ref="J115">_xlfn.LET(_xlpm.m, G115,
     _xlpm.rfr, I115,
     _xlpm.sm_up, INDEX(R.IRR_SM_UP, _xlpm.m),
     _xlpm.bm_up, INDEX(R.IRR_BM_UP, _xlpm.m),
     _xlpm.rfr * (1 + _xlpm.sm_up) + _xlpm.bm_up)</f>
        <v>#N/A</v>
      </c>
      <c r="K115" s="75" t="e">
        <f t="shared" si="6"/>
        <v>#N/A</v>
      </c>
      <c r="L115" s="77">
        <v>3.8210000000000001E-2</v>
      </c>
      <c r="M115" s="75" t="e">
        <f t="shared" si="7"/>
        <v>#N/A</v>
      </c>
      <c r="N115" s="75" t="e">
        <f t="shared" si="5"/>
        <v>#N/A</v>
      </c>
      <c r="O115" s="77">
        <v>3.9070000000000001E-2</v>
      </c>
    </row>
    <row r="116" spans="7:15" x14ac:dyDescent="0.35">
      <c r="G116" s="2">
        <v>95</v>
      </c>
      <c r="H116" s="75" t="e">
        <v>#N/A</v>
      </c>
      <c r="I116" s="75" t="e">
        <v>#N/A</v>
      </c>
      <c r="J116" s="75" t="e" cm="1">
        <f t="array" ref="J116">_xlfn.LET(_xlpm.m, G116,
     _xlpm.rfr, I116,
     _xlpm.sm_up, INDEX(R.IRR_SM_UP, _xlpm.m),
     _xlpm.bm_up, INDEX(R.IRR_BM_UP, _xlpm.m),
     _xlpm.rfr * (1 + _xlpm.sm_up) + _xlpm.bm_up)</f>
        <v>#N/A</v>
      </c>
      <c r="K116" s="75" t="e">
        <f t="shared" si="6"/>
        <v>#N/A</v>
      </c>
      <c r="L116" s="77">
        <v>3.8170000000000003E-2</v>
      </c>
      <c r="M116" s="75" t="e">
        <f t="shared" si="7"/>
        <v>#N/A</v>
      </c>
      <c r="N116" s="75" t="e">
        <f t="shared" si="5"/>
        <v>#N/A</v>
      </c>
      <c r="O116" s="77">
        <v>3.9019999999999999E-2</v>
      </c>
    </row>
    <row r="117" spans="7:15" x14ac:dyDescent="0.35">
      <c r="G117" s="7">
        <v>96</v>
      </c>
      <c r="H117" s="75" t="e">
        <v>#N/A</v>
      </c>
      <c r="I117" s="75" t="e">
        <v>#N/A</v>
      </c>
      <c r="J117" s="75" t="e" cm="1">
        <f t="array" ref="J117">_xlfn.LET(_xlpm.m, G117,
     _xlpm.rfr, I117,
     _xlpm.sm_up, INDEX(R.IRR_SM_UP, _xlpm.m),
     _xlpm.bm_up, INDEX(R.IRR_BM_UP, _xlpm.m),
     _xlpm.rfr * (1 + _xlpm.sm_up) + _xlpm.bm_up)</f>
        <v>#N/A</v>
      </c>
      <c r="K117" s="75" t="e">
        <f t="shared" si="6"/>
        <v>#N/A</v>
      </c>
      <c r="L117" s="77">
        <v>3.8129999999999997E-2</v>
      </c>
      <c r="M117" s="75" t="e">
        <f t="shared" si="7"/>
        <v>#N/A</v>
      </c>
      <c r="N117" s="75" t="e">
        <f t="shared" si="5"/>
        <v>#N/A</v>
      </c>
      <c r="O117" s="77">
        <v>3.8969999999999998E-2</v>
      </c>
    </row>
    <row r="118" spans="7:15" x14ac:dyDescent="0.35">
      <c r="G118" s="7">
        <v>97</v>
      </c>
      <c r="H118" s="75" t="e">
        <v>#N/A</v>
      </c>
      <c r="I118" s="75" t="e">
        <v>#N/A</v>
      </c>
      <c r="J118" s="75" t="e" cm="1">
        <f t="array" ref="J118">_xlfn.LET(_xlpm.m, G118,
     _xlpm.rfr, I118,
     _xlpm.sm_up, INDEX(R.IRR_SM_UP, _xlpm.m),
     _xlpm.bm_up, INDEX(R.IRR_BM_UP, _xlpm.m),
     _xlpm.rfr * (1 + _xlpm.sm_up) + _xlpm.bm_up)</f>
        <v>#N/A</v>
      </c>
      <c r="K118" s="75" t="e">
        <f t="shared" si="6"/>
        <v>#N/A</v>
      </c>
      <c r="L118" s="77">
        <v>3.8089999999999999E-2</v>
      </c>
      <c r="M118" s="75" t="e">
        <f t="shared" si="7"/>
        <v>#N/A</v>
      </c>
      <c r="N118" s="75" t="e">
        <f t="shared" ref="N118:N149" si="8">M118+LN(1+V.TOTAL_VA)</f>
        <v>#N/A</v>
      </c>
      <c r="O118" s="77">
        <v>3.8929999999999999E-2</v>
      </c>
    </row>
    <row r="119" spans="7:15" x14ac:dyDescent="0.35">
      <c r="G119" s="7">
        <v>98</v>
      </c>
      <c r="H119" s="75" t="e">
        <v>#N/A</v>
      </c>
      <c r="I119" s="75" t="e">
        <v>#N/A</v>
      </c>
      <c r="J119" s="75" t="e" cm="1">
        <f t="array" ref="J119">_xlfn.LET(_xlpm.m, G119,
     _xlpm.rfr, I119,
     _xlpm.sm_up, INDEX(R.IRR_SM_UP, _xlpm.m),
     _xlpm.bm_up, INDEX(R.IRR_BM_UP, _xlpm.m),
     _xlpm.rfr * (1 + _xlpm.sm_up) + _xlpm.bm_up)</f>
        <v>#N/A</v>
      </c>
      <c r="K119" s="75" t="e">
        <f t="shared" si="6"/>
        <v>#N/A</v>
      </c>
      <c r="L119" s="77">
        <v>3.8059999999999997E-2</v>
      </c>
      <c r="M119" s="75" t="e">
        <f t="shared" ref="M119:M150" si="9">G119*K119-G118*K118</f>
        <v>#N/A</v>
      </c>
      <c r="N119" s="75" t="e">
        <f t="shared" si="8"/>
        <v>#N/A</v>
      </c>
      <c r="O119" s="77">
        <v>3.8879999999999998E-2</v>
      </c>
    </row>
    <row r="120" spans="7:15" x14ac:dyDescent="0.35">
      <c r="G120" s="2">
        <v>99</v>
      </c>
      <c r="H120" s="75" t="e">
        <v>#N/A</v>
      </c>
      <c r="I120" s="75" t="e">
        <v>#N/A</v>
      </c>
      <c r="J120" s="75" t="e" cm="1">
        <f t="array" ref="J120">_xlfn.LET(_xlpm.m, G120,
     _xlpm.rfr, I120,
     _xlpm.sm_up, INDEX(R.IRR_SM_UP, _xlpm.m),
     _xlpm.bm_up, INDEX(R.IRR_BM_UP, _xlpm.m),
     _xlpm.rfr * (1 + _xlpm.sm_up) + _xlpm.bm_up)</f>
        <v>#N/A</v>
      </c>
      <c r="K120" s="75" t="e">
        <f t="shared" si="6"/>
        <v>#N/A</v>
      </c>
      <c r="L120" s="77">
        <v>3.8019999999999998E-2</v>
      </c>
      <c r="M120" s="75" t="e">
        <f t="shared" si="9"/>
        <v>#N/A</v>
      </c>
      <c r="N120" s="75" t="e">
        <f t="shared" si="8"/>
        <v>#N/A</v>
      </c>
      <c r="O120" s="77">
        <v>3.884E-2</v>
      </c>
    </row>
    <row r="121" spans="7:15" x14ac:dyDescent="0.35">
      <c r="G121" s="2">
        <v>100</v>
      </c>
      <c r="H121" s="75" t="e">
        <v>#N/A</v>
      </c>
      <c r="I121" s="75" t="e">
        <v>#N/A</v>
      </c>
      <c r="J121" s="75" t="e" cm="1">
        <f t="array" ref="J121">_xlfn.LET(_xlpm.m, G121,
     _xlpm.rfr, I121,
     _xlpm.sm_up, INDEX(R.IRR_SM_UP, _xlpm.m),
     _xlpm.bm_up, INDEX(R.IRR_BM_UP, _xlpm.m),
     _xlpm.rfr * (1 + _xlpm.sm_up) + _xlpm.bm_up)</f>
        <v>#N/A</v>
      </c>
      <c r="K121" s="75" t="e">
        <f t="shared" si="6"/>
        <v>#N/A</v>
      </c>
      <c r="L121" s="77">
        <v>3.798E-2</v>
      </c>
      <c r="M121" s="75" t="e">
        <f t="shared" si="9"/>
        <v>#N/A</v>
      </c>
      <c r="N121" s="75" t="e">
        <f t="shared" si="8"/>
        <v>#N/A</v>
      </c>
      <c r="O121" s="77">
        <v>3.8800000000000001E-2</v>
      </c>
    </row>
    <row r="122" spans="7:15" x14ac:dyDescent="0.35">
      <c r="G122" s="7">
        <v>101</v>
      </c>
      <c r="H122" s="75" t="e">
        <v>#N/A</v>
      </c>
      <c r="I122" s="75" t="e">
        <v>#N/A</v>
      </c>
      <c r="J122" s="75" t="e" cm="1">
        <f t="array" ref="J122">_xlfn.LET(_xlpm.m, G122,
     _xlpm.rfr, I122,
     _xlpm.sm_up, INDEX(R.IRR_SM_UP, _xlpm.m),
     _xlpm.bm_up, INDEX(R.IRR_BM_UP, _xlpm.m),
     _xlpm.rfr * (1 + _xlpm.sm_up) + _xlpm.bm_up)</f>
        <v>#N/A</v>
      </c>
      <c r="K122" s="75" t="e">
        <f t="shared" si="6"/>
        <v>#N/A</v>
      </c>
      <c r="L122" s="77">
        <v>3.7949999999999998E-2</v>
      </c>
      <c r="M122" s="75" t="e">
        <f t="shared" si="9"/>
        <v>#N/A</v>
      </c>
      <c r="N122" s="75" t="e">
        <f t="shared" si="8"/>
        <v>#N/A</v>
      </c>
      <c r="O122" s="77">
        <v>3.875E-2</v>
      </c>
    </row>
    <row r="123" spans="7:15" x14ac:dyDescent="0.35">
      <c r="G123" s="7">
        <v>102</v>
      </c>
      <c r="H123" s="75" t="e">
        <v>#N/A</v>
      </c>
      <c r="I123" s="75" t="e">
        <v>#N/A</v>
      </c>
      <c r="J123" s="75" t="e" cm="1">
        <f t="array" ref="J123">_xlfn.LET(_xlpm.m, G123,
     _xlpm.rfr, I123,
     _xlpm.sm_up, INDEX(R.IRR_SM_UP, _xlpm.m),
     _xlpm.bm_up, INDEX(R.IRR_BM_UP, _xlpm.m),
     _xlpm.rfr * (1 + _xlpm.sm_up) + _xlpm.bm_up)</f>
        <v>#N/A</v>
      </c>
      <c r="K123" s="75" t="e">
        <f t="shared" si="6"/>
        <v>#N/A</v>
      </c>
      <c r="L123" s="77">
        <v>3.7920000000000002E-2</v>
      </c>
      <c r="M123" s="75" t="e">
        <f t="shared" si="9"/>
        <v>#N/A</v>
      </c>
      <c r="N123" s="75" t="e">
        <f t="shared" si="8"/>
        <v>#N/A</v>
      </c>
      <c r="O123" s="77">
        <v>3.8710000000000001E-2</v>
      </c>
    </row>
    <row r="124" spans="7:15" x14ac:dyDescent="0.35">
      <c r="G124" s="7">
        <v>103</v>
      </c>
      <c r="H124" s="75" t="e">
        <v>#N/A</v>
      </c>
      <c r="I124" s="75" t="e">
        <v>#N/A</v>
      </c>
      <c r="J124" s="75" t="e" cm="1">
        <f t="array" ref="J124">_xlfn.LET(_xlpm.m, G124,
     _xlpm.rfr, I124,
     _xlpm.sm_up, INDEX(R.IRR_SM_UP, _xlpm.m),
     _xlpm.bm_up, INDEX(R.IRR_BM_UP, _xlpm.m),
     _xlpm.rfr * (1 + _xlpm.sm_up) + _xlpm.bm_up)</f>
        <v>#N/A</v>
      </c>
      <c r="K124" s="75" t="e">
        <f t="shared" si="6"/>
        <v>#N/A</v>
      </c>
      <c r="L124" s="77">
        <v>3.7879999999999997E-2</v>
      </c>
      <c r="M124" s="75" t="e">
        <f t="shared" si="9"/>
        <v>#N/A</v>
      </c>
      <c r="N124" s="75" t="e">
        <f t="shared" si="8"/>
        <v>#N/A</v>
      </c>
      <c r="O124" s="77">
        <v>3.8670000000000003E-2</v>
      </c>
    </row>
    <row r="125" spans="7:15" x14ac:dyDescent="0.35">
      <c r="G125" s="2">
        <v>104</v>
      </c>
      <c r="H125" s="75" t="e">
        <v>#N/A</v>
      </c>
      <c r="I125" s="75" t="e">
        <v>#N/A</v>
      </c>
      <c r="J125" s="75" t="e" cm="1">
        <f t="array" ref="J125">_xlfn.LET(_xlpm.m, G125,
     _xlpm.rfr, I125,
     _xlpm.sm_up, INDEX(R.IRR_SM_UP, _xlpm.m),
     _xlpm.bm_up, INDEX(R.IRR_BM_UP, _xlpm.m),
     _xlpm.rfr * (1 + _xlpm.sm_up) + _xlpm.bm_up)</f>
        <v>#N/A</v>
      </c>
      <c r="K125" s="75" t="e">
        <f t="shared" si="6"/>
        <v>#N/A</v>
      </c>
      <c r="L125" s="77">
        <v>3.7850000000000002E-2</v>
      </c>
      <c r="M125" s="75" t="e">
        <f t="shared" si="9"/>
        <v>#N/A</v>
      </c>
      <c r="N125" s="75" t="e">
        <f t="shared" si="8"/>
        <v>#N/A</v>
      </c>
      <c r="O125" s="77">
        <v>3.8629999999999998E-2</v>
      </c>
    </row>
    <row r="126" spans="7:15" x14ac:dyDescent="0.35">
      <c r="G126" s="2">
        <v>105</v>
      </c>
      <c r="H126" s="75" t="e">
        <v>#N/A</v>
      </c>
      <c r="I126" s="75" t="e">
        <v>#N/A</v>
      </c>
      <c r="J126" s="75" t="e" cm="1">
        <f t="array" ref="J126">_xlfn.LET(_xlpm.m, G126,
     _xlpm.rfr, I126,
     _xlpm.sm_up, INDEX(R.IRR_SM_UP, _xlpm.m),
     _xlpm.bm_up, INDEX(R.IRR_BM_UP, _xlpm.m),
     _xlpm.rfr * (1 + _xlpm.sm_up) + _xlpm.bm_up)</f>
        <v>#N/A</v>
      </c>
      <c r="K126" s="75" t="e">
        <f t="shared" si="6"/>
        <v>#N/A</v>
      </c>
      <c r="L126" s="77">
        <v>3.7819999999999999E-2</v>
      </c>
      <c r="M126" s="75" t="e">
        <f t="shared" si="9"/>
        <v>#N/A</v>
      </c>
      <c r="N126" s="75" t="e">
        <f t="shared" si="8"/>
        <v>#N/A</v>
      </c>
      <c r="O126" s="77">
        <v>3.8589999999999999E-2</v>
      </c>
    </row>
    <row r="127" spans="7:15" x14ac:dyDescent="0.35">
      <c r="G127" s="7">
        <v>106</v>
      </c>
      <c r="H127" s="75" t="e">
        <v>#N/A</v>
      </c>
      <c r="I127" s="75" t="e">
        <v>#N/A</v>
      </c>
      <c r="J127" s="75" t="e" cm="1">
        <f t="array" ref="J127">_xlfn.LET(_xlpm.m, G127,
     _xlpm.rfr, I127,
     _xlpm.sm_up, INDEX(R.IRR_SM_UP, _xlpm.m),
     _xlpm.bm_up, INDEX(R.IRR_BM_UP, _xlpm.m),
     _xlpm.rfr * (1 + _xlpm.sm_up) + _xlpm.bm_up)</f>
        <v>#N/A</v>
      </c>
      <c r="K127" s="75" t="e">
        <f t="shared" si="6"/>
        <v>#N/A</v>
      </c>
      <c r="L127" s="77">
        <v>3.7789999999999997E-2</v>
      </c>
      <c r="M127" s="75" t="e">
        <f t="shared" si="9"/>
        <v>#N/A</v>
      </c>
      <c r="N127" s="75" t="e">
        <f t="shared" si="8"/>
        <v>#N/A</v>
      </c>
      <c r="O127" s="77">
        <v>3.8550000000000001E-2</v>
      </c>
    </row>
    <row r="128" spans="7:15" x14ac:dyDescent="0.35">
      <c r="G128" s="7">
        <v>107</v>
      </c>
      <c r="H128" s="75" t="e">
        <v>#N/A</v>
      </c>
      <c r="I128" s="75" t="e">
        <v>#N/A</v>
      </c>
      <c r="J128" s="75" t="e" cm="1">
        <f t="array" ref="J128">_xlfn.LET(_xlpm.m, G128,
     _xlpm.rfr, I128,
     _xlpm.sm_up, INDEX(R.IRR_SM_UP, _xlpm.m),
     _xlpm.bm_up, INDEX(R.IRR_BM_UP, _xlpm.m),
     _xlpm.rfr * (1 + _xlpm.sm_up) + _xlpm.bm_up)</f>
        <v>#N/A</v>
      </c>
      <c r="K128" s="75" t="e">
        <f t="shared" si="6"/>
        <v>#N/A</v>
      </c>
      <c r="L128" s="77">
        <v>3.7760000000000002E-2</v>
      </c>
      <c r="M128" s="75" t="e">
        <f t="shared" si="9"/>
        <v>#N/A</v>
      </c>
      <c r="N128" s="75" t="e">
        <f t="shared" si="8"/>
        <v>#N/A</v>
      </c>
      <c r="O128" s="77">
        <v>3.8510000000000003E-2</v>
      </c>
    </row>
    <row r="129" spans="7:15" x14ac:dyDescent="0.35">
      <c r="G129" s="7">
        <v>108</v>
      </c>
      <c r="H129" s="75" t="e">
        <v>#N/A</v>
      </c>
      <c r="I129" s="75" t="e">
        <v>#N/A</v>
      </c>
      <c r="J129" s="75" t="e" cm="1">
        <f t="array" ref="J129">_xlfn.LET(_xlpm.m, G129,
     _xlpm.rfr, I129,
     _xlpm.sm_up, INDEX(R.IRR_SM_UP, _xlpm.m),
     _xlpm.bm_up, INDEX(R.IRR_BM_UP, _xlpm.m),
     _xlpm.rfr * (1 + _xlpm.sm_up) + _xlpm.bm_up)</f>
        <v>#N/A</v>
      </c>
      <c r="K129" s="75" t="e">
        <f t="shared" si="6"/>
        <v>#N/A</v>
      </c>
      <c r="L129" s="77">
        <v>3.773E-2</v>
      </c>
      <c r="M129" s="75" t="e">
        <f t="shared" si="9"/>
        <v>#N/A</v>
      </c>
      <c r="N129" s="75" t="e">
        <f t="shared" si="8"/>
        <v>#N/A</v>
      </c>
      <c r="O129" s="77">
        <v>3.848E-2</v>
      </c>
    </row>
    <row r="130" spans="7:15" x14ac:dyDescent="0.35">
      <c r="G130" s="2">
        <v>109</v>
      </c>
      <c r="H130" s="75" t="e">
        <v>#N/A</v>
      </c>
      <c r="I130" s="75" t="e">
        <v>#N/A</v>
      </c>
      <c r="J130" s="75" t="e" cm="1">
        <f t="array" ref="J130">_xlfn.LET(_xlpm.m, G130,
     _xlpm.rfr, I130,
     _xlpm.sm_up, INDEX(R.IRR_SM_UP, _xlpm.m),
     _xlpm.bm_up, INDEX(R.IRR_BM_UP, _xlpm.m),
     _xlpm.rfr * (1 + _xlpm.sm_up) + _xlpm.bm_up)</f>
        <v>#N/A</v>
      </c>
      <c r="K130" s="75" t="e">
        <f t="shared" si="6"/>
        <v>#N/A</v>
      </c>
      <c r="L130" s="77">
        <v>3.7699999999999997E-2</v>
      </c>
      <c r="M130" s="75" t="e">
        <f t="shared" si="9"/>
        <v>#N/A</v>
      </c>
      <c r="N130" s="75" t="e">
        <f t="shared" si="8"/>
        <v>#N/A</v>
      </c>
      <c r="O130" s="77">
        <v>3.8440000000000002E-2</v>
      </c>
    </row>
    <row r="131" spans="7:15" x14ac:dyDescent="0.35">
      <c r="G131" s="2">
        <v>110</v>
      </c>
      <c r="H131" s="75" t="e">
        <v>#N/A</v>
      </c>
      <c r="I131" s="75" t="e">
        <v>#N/A</v>
      </c>
      <c r="J131" s="75" t="e" cm="1">
        <f t="array" ref="J131">_xlfn.LET(_xlpm.m, G131,
     _xlpm.rfr, I131,
     _xlpm.sm_up, INDEX(R.IRR_SM_UP, _xlpm.m),
     _xlpm.bm_up, INDEX(R.IRR_BM_UP, _xlpm.m),
     _xlpm.rfr * (1 + _xlpm.sm_up) + _xlpm.bm_up)</f>
        <v>#N/A</v>
      </c>
      <c r="K131" s="75" t="e">
        <f t="shared" si="6"/>
        <v>#N/A</v>
      </c>
      <c r="L131" s="77">
        <v>3.7670000000000002E-2</v>
      </c>
      <c r="M131" s="75" t="e">
        <f t="shared" si="9"/>
        <v>#N/A</v>
      </c>
      <c r="N131" s="75" t="e">
        <f t="shared" si="8"/>
        <v>#N/A</v>
      </c>
      <c r="O131" s="77">
        <v>3.8399999999999997E-2</v>
      </c>
    </row>
    <row r="132" spans="7:15" x14ac:dyDescent="0.35">
      <c r="G132" s="7">
        <v>111</v>
      </c>
      <c r="H132" s="75" t="e">
        <v>#N/A</v>
      </c>
      <c r="I132" s="75" t="e">
        <v>#N/A</v>
      </c>
      <c r="J132" s="75" t="e" cm="1">
        <f t="array" ref="J132">_xlfn.LET(_xlpm.m, G132,
     _xlpm.rfr, I132,
     _xlpm.sm_up, INDEX(R.IRR_SM_UP, _xlpm.m),
     _xlpm.bm_up, INDEX(R.IRR_BM_UP, _xlpm.m),
     _xlpm.rfr * (1 + _xlpm.sm_up) + _xlpm.bm_up)</f>
        <v>#N/A</v>
      </c>
      <c r="K132" s="75" t="e">
        <f t="shared" si="6"/>
        <v>#N/A</v>
      </c>
      <c r="L132" s="77">
        <v>3.764E-2</v>
      </c>
      <c r="M132" s="75" t="e">
        <f t="shared" si="9"/>
        <v>#N/A</v>
      </c>
      <c r="N132" s="75" t="e">
        <f t="shared" si="8"/>
        <v>#N/A</v>
      </c>
      <c r="O132" s="77">
        <v>3.8370000000000001E-2</v>
      </c>
    </row>
    <row r="133" spans="7:15" x14ac:dyDescent="0.35">
      <c r="G133" s="7">
        <v>112</v>
      </c>
      <c r="H133" s="75" t="e">
        <v>#N/A</v>
      </c>
      <c r="I133" s="75" t="e">
        <v>#N/A</v>
      </c>
      <c r="J133" s="75" t="e" cm="1">
        <f t="array" ref="J133">_xlfn.LET(_xlpm.m, G133,
     _xlpm.rfr, I133,
     _xlpm.sm_up, INDEX(R.IRR_SM_UP, _xlpm.m),
     _xlpm.bm_up, INDEX(R.IRR_BM_UP, _xlpm.m),
     _xlpm.rfr * (1 + _xlpm.sm_up) + _xlpm.bm_up)</f>
        <v>#N/A</v>
      </c>
      <c r="K133" s="75" t="e">
        <f t="shared" si="6"/>
        <v>#N/A</v>
      </c>
      <c r="L133" s="77">
        <v>3.7609999999999998E-2</v>
      </c>
      <c r="M133" s="75" t="e">
        <f t="shared" si="9"/>
        <v>#N/A</v>
      </c>
      <c r="N133" s="75" t="e">
        <f t="shared" si="8"/>
        <v>#N/A</v>
      </c>
      <c r="O133" s="77">
        <v>3.8330000000000003E-2</v>
      </c>
    </row>
    <row r="134" spans="7:15" x14ac:dyDescent="0.35">
      <c r="G134" s="7">
        <v>113</v>
      </c>
      <c r="H134" s="75" t="e">
        <v>#N/A</v>
      </c>
      <c r="I134" s="75" t="e">
        <v>#N/A</v>
      </c>
      <c r="J134" s="75" t="e" cm="1">
        <f t="array" ref="J134">_xlfn.LET(_xlpm.m, G134,
     _xlpm.rfr, I134,
     _xlpm.sm_up, INDEX(R.IRR_SM_UP, _xlpm.m),
     _xlpm.bm_up, INDEX(R.IRR_BM_UP, _xlpm.m),
     _xlpm.rfr * (1 + _xlpm.sm_up) + _xlpm.bm_up)</f>
        <v>#N/A</v>
      </c>
      <c r="K134" s="75" t="e">
        <f t="shared" si="6"/>
        <v>#N/A</v>
      </c>
      <c r="L134" s="77">
        <v>3.7580000000000002E-2</v>
      </c>
      <c r="M134" s="75" t="e">
        <f t="shared" si="9"/>
        <v>#N/A</v>
      </c>
      <c r="N134" s="75" t="e">
        <f t="shared" si="8"/>
        <v>#N/A</v>
      </c>
      <c r="O134" s="77">
        <v>3.8300000000000001E-2</v>
      </c>
    </row>
    <row r="135" spans="7:15" x14ac:dyDescent="0.35">
      <c r="G135" s="2">
        <v>114</v>
      </c>
      <c r="H135" s="75" t="e">
        <v>#N/A</v>
      </c>
      <c r="I135" s="75" t="e">
        <v>#N/A</v>
      </c>
      <c r="J135" s="75" t="e" cm="1">
        <f t="array" ref="J135">_xlfn.LET(_xlpm.m, G135,
     _xlpm.rfr, I135,
     _xlpm.sm_up, INDEX(R.IRR_SM_UP, _xlpm.m),
     _xlpm.bm_up, INDEX(R.IRR_BM_UP, _xlpm.m),
     _xlpm.rfr * (1 + _xlpm.sm_up) + _xlpm.bm_up)</f>
        <v>#N/A</v>
      </c>
      <c r="K135" s="75" t="e">
        <f t="shared" si="6"/>
        <v>#N/A</v>
      </c>
      <c r="L135" s="77">
        <v>3.7560000000000003E-2</v>
      </c>
      <c r="M135" s="75" t="e">
        <f t="shared" si="9"/>
        <v>#N/A</v>
      </c>
      <c r="N135" s="75" t="e">
        <f t="shared" si="8"/>
        <v>#N/A</v>
      </c>
      <c r="O135" s="77">
        <v>3.8269999999999998E-2</v>
      </c>
    </row>
    <row r="136" spans="7:15" x14ac:dyDescent="0.35">
      <c r="G136" s="2">
        <v>115</v>
      </c>
      <c r="H136" s="75" t="e">
        <v>#N/A</v>
      </c>
      <c r="I136" s="75" t="e">
        <v>#N/A</v>
      </c>
      <c r="J136" s="75" t="e" cm="1">
        <f t="array" ref="J136">_xlfn.LET(_xlpm.m, G136,
     _xlpm.rfr, I136,
     _xlpm.sm_up, INDEX(R.IRR_SM_UP, _xlpm.m),
     _xlpm.bm_up, INDEX(R.IRR_BM_UP, _xlpm.m),
     _xlpm.rfr * (1 + _xlpm.sm_up) + _xlpm.bm_up)</f>
        <v>#N/A</v>
      </c>
      <c r="K136" s="75" t="e">
        <f t="shared" si="6"/>
        <v>#N/A</v>
      </c>
      <c r="L136" s="77">
        <v>3.7530000000000001E-2</v>
      </c>
      <c r="M136" s="75" t="e">
        <f t="shared" si="9"/>
        <v>#N/A</v>
      </c>
      <c r="N136" s="75" t="e">
        <f t="shared" si="8"/>
        <v>#N/A</v>
      </c>
      <c r="O136" s="77">
        <v>3.823E-2</v>
      </c>
    </row>
    <row r="137" spans="7:15" x14ac:dyDescent="0.35">
      <c r="G137" s="7">
        <v>116</v>
      </c>
      <c r="H137" s="75" t="e">
        <v>#N/A</v>
      </c>
      <c r="I137" s="75" t="e">
        <v>#N/A</v>
      </c>
      <c r="J137" s="75" t="e" cm="1">
        <f t="array" ref="J137">_xlfn.LET(_xlpm.m, G137,
     _xlpm.rfr, I137,
     _xlpm.sm_up, INDEX(R.IRR_SM_UP, _xlpm.m),
     _xlpm.bm_up, INDEX(R.IRR_BM_UP, _xlpm.m),
     _xlpm.rfr * (1 + _xlpm.sm_up) + _xlpm.bm_up)</f>
        <v>#N/A</v>
      </c>
      <c r="K137" s="75" t="e">
        <f t="shared" si="6"/>
        <v>#N/A</v>
      </c>
      <c r="L137" s="77">
        <v>3.7499999999999999E-2</v>
      </c>
      <c r="M137" s="75" t="e">
        <f t="shared" si="9"/>
        <v>#N/A</v>
      </c>
      <c r="N137" s="75" t="e">
        <f t="shared" si="8"/>
        <v>#N/A</v>
      </c>
      <c r="O137" s="77">
        <v>3.8199999999999998E-2</v>
      </c>
    </row>
    <row r="138" spans="7:15" x14ac:dyDescent="0.35">
      <c r="G138" s="7">
        <v>117</v>
      </c>
      <c r="H138" s="75" t="e">
        <v>#N/A</v>
      </c>
      <c r="I138" s="75" t="e">
        <v>#N/A</v>
      </c>
      <c r="J138" s="75" t="e" cm="1">
        <f t="array" ref="J138">_xlfn.LET(_xlpm.m, G138,
     _xlpm.rfr, I138,
     _xlpm.sm_up, INDEX(R.IRR_SM_UP, _xlpm.m),
     _xlpm.bm_up, INDEX(R.IRR_BM_UP, _xlpm.m),
     _xlpm.rfr * (1 + _xlpm.sm_up) + _xlpm.bm_up)</f>
        <v>#N/A</v>
      </c>
      <c r="K138" s="75" t="e">
        <f t="shared" si="6"/>
        <v>#N/A</v>
      </c>
      <c r="L138" s="77">
        <v>3.7479999999999999E-2</v>
      </c>
      <c r="M138" s="75" t="e">
        <f t="shared" si="9"/>
        <v>#N/A</v>
      </c>
      <c r="N138" s="75" t="e">
        <f t="shared" si="8"/>
        <v>#N/A</v>
      </c>
      <c r="O138" s="77">
        <v>3.8170000000000003E-2</v>
      </c>
    </row>
    <row r="139" spans="7:15" x14ac:dyDescent="0.35">
      <c r="G139" s="7">
        <v>118</v>
      </c>
      <c r="H139" s="75" t="e">
        <v>#N/A</v>
      </c>
      <c r="I139" s="75" t="e">
        <v>#N/A</v>
      </c>
      <c r="J139" s="75" t="e" cm="1">
        <f t="array" ref="J139">_xlfn.LET(_xlpm.m, G139,
     _xlpm.rfr, I139,
     _xlpm.sm_up, INDEX(R.IRR_SM_UP, _xlpm.m),
     _xlpm.bm_up, INDEX(R.IRR_BM_UP, _xlpm.m),
     _xlpm.rfr * (1 + _xlpm.sm_up) + _xlpm.bm_up)</f>
        <v>#N/A</v>
      </c>
      <c r="K139" s="75" t="e">
        <f t="shared" si="6"/>
        <v>#N/A</v>
      </c>
      <c r="L139" s="77">
        <v>3.7449999999999997E-2</v>
      </c>
      <c r="M139" s="75" t="e">
        <f t="shared" si="9"/>
        <v>#N/A</v>
      </c>
      <c r="N139" s="75" t="e">
        <f t="shared" si="8"/>
        <v>#N/A</v>
      </c>
      <c r="O139" s="77">
        <v>3.814E-2</v>
      </c>
    </row>
    <row r="140" spans="7:15" x14ac:dyDescent="0.35">
      <c r="G140" s="2">
        <v>119</v>
      </c>
      <c r="H140" s="75" t="e">
        <v>#N/A</v>
      </c>
      <c r="I140" s="75" t="e">
        <v>#N/A</v>
      </c>
      <c r="J140" s="75" t="e" cm="1">
        <f t="array" ref="J140">_xlfn.LET(_xlpm.m, G140,
     _xlpm.rfr, I140,
     _xlpm.sm_up, INDEX(R.IRR_SM_UP, _xlpm.m),
     _xlpm.bm_up, INDEX(R.IRR_BM_UP, _xlpm.m),
     _xlpm.rfr * (1 + _xlpm.sm_up) + _xlpm.bm_up)</f>
        <v>#N/A</v>
      </c>
      <c r="K140" s="75" t="e">
        <f t="shared" si="6"/>
        <v>#N/A</v>
      </c>
      <c r="L140" s="77">
        <v>3.7429999999999998E-2</v>
      </c>
      <c r="M140" s="75" t="e">
        <f t="shared" si="9"/>
        <v>#N/A</v>
      </c>
      <c r="N140" s="75" t="e">
        <f t="shared" si="8"/>
        <v>#N/A</v>
      </c>
      <c r="O140" s="77">
        <v>3.8109999999999998E-2</v>
      </c>
    </row>
    <row r="141" spans="7:15" x14ac:dyDescent="0.35">
      <c r="G141" s="2">
        <v>120</v>
      </c>
      <c r="H141" s="75" t="e">
        <v>#N/A</v>
      </c>
      <c r="I141" s="75" t="e">
        <v>#N/A</v>
      </c>
      <c r="J141" s="75" t="e" cm="1">
        <f t="array" ref="J141">_xlfn.LET(_xlpm.m, G141,
     _xlpm.rfr, I141,
     _xlpm.sm_up, INDEX(R.IRR_SM_UP, _xlpm.m),
     _xlpm.bm_up, INDEX(R.IRR_BM_UP, _xlpm.m),
     _xlpm.rfr * (1 + _xlpm.sm_up) + _xlpm.bm_up)</f>
        <v>#N/A</v>
      </c>
      <c r="K141" s="75" t="e">
        <f t="shared" si="6"/>
        <v>#N/A</v>
      </c>
      <c r="L141" s="77">
        <v>3.7400000000000003E-2</v>
      </c>
      <c r="M141" s="75" t="e">
        <f t="shared" si="9"/>
        <v>#N/A</v>
      </c>
      <c r="N141" s="75" t="e">
        <f t="shared" si="8"/>
        <v>#N/A</v>
      </c>
      <c r="O141" s="77">
        <v>3.8080000000000003E-2</v>
      </c>
    </row>
    <row r="142" spans="7:15" x14ac:dyDescent="0.35">
      <c r="G142" s="7">
        <v>121</v>
      </c>
      <c r="H142" s="75" t="e">
        <v>#N/A</v>
      </c>
      <c r="I142" s="75" t="e">
        <v>#N/A</v>
      </c>
      <c r="J142" s="75" t="e" cm="1">
        <f t="array" ref="J142">_xlfn.LET(_xlpm.m, G142,
     _xlpm.rfr, I142,
     _xlpm.sm_up, INDEX(R.IRR_SM_UP, _xlpm.m),
     _xlpm.bm_up, INDEX(R.IRR_BM_UP, _xlpm.m),
     _xlpm.rfr * (1 + _xlpm.sm_up) + _xlpm.bm_up)</f>
        <v>#N/A</v>
      </c>
      <c r="K142" s="75" t="e">
        <f t="shared" si="6"/>
        <v>#N/A</v>
      </c>
      <c r="L142" s="77">
        <v>3.7379999999999997E-2</v>
      </c>
      <c r="M142" s="75" t="e">
        <f t="shared" si="9"/>
        <v>#N/A</v>
      </c>
      <c r="N142" s="75" t="e">
        <f t="shared" si="8"/>
        <v>#N/A</v>
      </c>
      <c r="O142" s="77">
        <v>3.805E-2</v>
      </c>
    </row>
    <row r="143" spans="7:15" x14ac:dyDescent="0.35">
      <c r="G143" s="7">
        <v>122</v>
      </c>
      <c r="H143" s="75" t="e">
        <v>#N/A</v>
      </c>
      <c r="I143" s="75" t="e">
        <v>#N/A</v>
      </c>
      <c r="J143" s="75" t="e" cm="1">
        <f t="array" ref="J143">_xlfn.LET(_xlpm.m, G143,
     _xlpm.rfr, I143,
     _xlpm.sm_up, INDEX(R.IRR_SM_UP, _xlpm.m),
     _xlpm.bm_up, INDEX(R.IRR_BM_UP, _xlpm.m),
     _xlpm.rfr * (1 + _xlpm.sm_up) + _xlpm.bm_up)</f>
        <v>#N/A</v>
      </c>
      <c r="K143" s="75" t="e">
        <f t="shared" si="6"/>
        <v>#N/A</v>
      </c>
      <c r="L143" s="77">
        <v>3.7359999999999997E-2</v>
      </c>
      <c r="M143" s="75" t="e">
        <f t="shared" si="9"/>
        <v>#N/A</v>
      </c>
      <c r="N143" s="75" t="e">
        <f t="shared" si="8"/>
        <v>#N/A</v>
      </c>
      <c r="O143" s="77">
        <v>3.8019999999999998E-2</v>
      </c>
    </row>
    <row r="144" spans="7:15" x14ac:dyDescent="0.35">
      <c r="G144" s="7">
        <v>123</v>
      </c>
      <c r="H144" s="75" t="e">
        <v>#N/A</v>
      </c>
      <c r="I144" s="75" t="e">
        <v>#N/A</v>
      </c>
      <c r="J144" s="75" t="e" cm="1">
        <f t="array" ref="J144">_xlfn.LET(_xlpm.m, G144,
     _xlpm.rfr, I144,
     _xlpm.sm_up, INDEX(R.IRR_SM_UP, _xlpm.m),
     _xlpm.bm_up, INDEX(R.IRR_BM_UP, _xlpm.m),
     _xlpm.rfr * (1 + _xlpm.sm_up) + _xlpm.bm_up)</f>
        <v>#N/A</v>
      </c>
      <c r="K144" s="75" t="e">
        <f t="shared" si="6"/>
        <v>#N/A</v>
      </c>
      <c r="L144" s="77">
        <v>3.7330000000000002E-2</v>
      </c>
      <c r="M144" s="75" t="e">
        <f t="shared" si="9"/>
        <v>#N/A</v>
      </c>
      <c r="N144" s="75" t="e">
        <f t="shared" si="8"/>
        <v>#N/A</v>
      </c>
      <c r="O144" s="77">
        <v>3.7990000000000003E-2</v>
      </c>
    </row>
    <row r="145" spans="7:15" x14ac:dyDescent="0.35">
      <c r="G145" s="2">
        <v>124</v>
      </c>
      <c r="H145" s="75" t="e">
        <v>#N/A</v>
      </c>
      <c r="I145" s="75" t="e">
        <v>#N/A</v>
      </c>
      <c r="J145" s="75" t="e" cm="1">
        <f t="array" ref="J145">_xlfn.LET(_xlpm.m, G145,
     _xlpm.rfr, I145,
     _xlpm.sm_up, INDEX(R.IRR_SM_UP, _xlpm.m),
     _xlpm.bm_up, INDEX(R.IRR_BM_UP, _xlpm.m),
     _xlpm.rfr * (1 + _xlpm.sm_up) + _xlpm.bm_up)</f>
        <v>#N/A</v>
      </c>
      <c r="K145" s="75" t="e">
        <f t="shared" si="6"/>
        <v>#N/A</v>
      </c>
      <c r="L145" s="77">
        <v>3.7310000000000003E-2</v>
      </c>
      <c r="M145" s="75" t="e">
        <f t="shared" si="9"/>
        <v>#N/A</v>
      </c>
      <c r="N145" s="75" t="e">
        <f t="shared" si="8"/>
        <v>#N/A</v>
      </c>
      <c r="O145" s="77">
        <v>3.7960000000000001E-2</v>
      </c>
    </row>
    <row r="146" spans="7:15" x14ac:dyDescent="0.35">
      <c r="G146" s="2">
        <v>125</v>
      </c>
      <c r="H146" s="75" t="e">
        <v>#N/A</v>
      </c>
      <c r="I146" s="75" t="e">
        <v>#N/A</v>
      </c>
      <c r="J146" s="75" t="e" cm="1">
        <f t="array" ref="J146">_xlfn.LET(_xlpm.m, G146,
     _xlpm.rfr, I146,
     _xlpm.sm_up, INDEX(R.IRR_SM_UP, _xlpm.m),
     _xlpm.bm_up, INDEX(R.IRR_BM_UP, _xlpm.m),
     _xlpm.rfr * (1 + _xlpm.sm_up) + _xlpm.bm_up)</f>
        <v>#N/A</v>
      </c>
      <c r="K146" s="75" t="e">
        <f t="shared" si="6"/>
        <v>#N/A</v>
      </c>
      <c r="L146" s="77">
        <v>3.7289999999999997E-2</v>
      </c>
      <c r="M146" s="75" t="e">
        <f t="shared" si="9"/>
        <v>#N/A</v>
      </c>
      <c r="N146" s="75" t="e">
        <f t="shared" si="8"/>
        <v>#N/A</v>
      </c>
      <c r="O146" s="77">
        <v>3.7929999999999998E-2</v>
      </c>
    </row>
    <row r="147" spans="7:15" x14ac:dyDescent="0.35">
      <c r="G147" s="7">
        <v>126</v>
      </c>
      <c r="H147" s="75" t="e">
        <v>#N/A</v>
      </c>
      <c r="I147" s="75" t="e">
        <v>#N/A</v>
      </c>
      <c r="J147" s="75" t="e" cm="1">
        <f t="array" ref="J147">_xlfn.LET(_xlpm.m, G147,
     _xlpm.rfr, I147,
     _xlpm.sm_up, INDEX(R.IRR_SM_UP, _xlpm.m),
     _xlpm.bm_up, INDEX(R.IRR_BM_UP, _xlpm.m),
     _xlpm.rfr * (1 + _xlpm.sm_up) + _xlpm.bm_up)</f>
        <v>#N/A</v>
      </c>
      <c r="K147" s="75" t="e">
        <f t="shared" si="6"/>
        <v>#N/A</v>
      </c>
      <c r="L147" s="77">
        <v>3.7260000000000001E-2</v>
      </c>
      <c r="M147" s="75" t="e">
        <f t="shared" si="9"/>
        <v>#N/A</v>
      </c>
      <c r="N147" s="75" t="e">
        <f t="shared" si="8"/>
        <v>#N/A</v>
      </c>
      <c r="O147" s="77">
        <v>3.7909999999999999E-2</v>
      </c>
    </row>
    <row r="148" spans="7:15" x14ac:dyDescent="0.35">
      <c r="G148" s="7">
        <v>127</v>
      </c>
      <c r="H148" s="75" t="e">
        <v>#N/A</v>
      </c>
      <c r="I148" s="75" t="e">
        <v>#N/A</v>
      </c>
      <c r="J148" s="75" t="e" cm="1">
        <f t="array" ref="J148">_xlfn.LET(_xlpm.m, G148,
     _xlpm.rfr, I148,
     _xlpm.sm_up, INDEX(R.IRR_SM_UP, _xlpm.m),
     _xlpm.bm_up, INDEX(R.IRR_BM_UP, _xlpm.m),
     _xlpm.rfr * (1 + _xlpm.sm_up) + _xlpm.bm_up)</f>
        <v>#N/A</v>
      </c>
      <c r="K148" s="75" t="e">
        <f t="shared" si="6"/>
        <v>#N/A</v>
      </c>
      <c r="L148" s="77">
        <v>3.7240000000000002E-2</v>
      </c>
      <c r="M148" s="75" t="e">
        <f t="shared" si="9"/>
        <v>#N/A</v>
      </c>
      <c r="N148" s="75" t="e">
        <f t="shared" si="8"/>
        <v>#N/A</v>
      </c>
      <c r="O148" s="77">
        <v>3.7879999999999997E-2</v>
      </c>
    </row>
    <row r="149" spans="7:15" x14ac:dyDescent="0.35">
      <c r="G149" s="7">
        <v>128</v>
      </c>
      <c r="H149" s="75" t="e">
        <v>#N/A</v>
      </c>
      <c r="I149" s="75" t="e">
        <v>#N/A</v>
      </c>
      <c r="J149" s="75" t="e" cm="1">
        <f t="array" ref="J149">_xlfn.LET(_xlpm.m, G149,
     _xlpm.rfr, I149,
     _xlpm.sm_up, INDEX(R.IRR_SM_UP, _xlpm.m),
     _xlpm.bm_up, INDEX(R.IRR_BM_UP, _xlpm.m),
     _xlpm.rfr * (1 + _xlpm.sm_up) + _xlpm.bm_up)</f>
        <v>#N/A</v>
      </c>
      <c r="K149" s="75" t="e">
        <f t="shared" si="6"/>
        <v>#N/A</v>
      </c>
      <c r="L149" s="77">
        <v>3.7220000000000003E-2</v>
      </c>
      <c r="M149" s="75" t="e">
        <f t="shared" si="9"/>
        <v>#N/A</v>
      </c>
      <c r="N149" s="75" t="e">
        <f t="shared" si="8"/>
        <v>#N/A</v>
      </c>
      <c r="O149" s="77">
        <v>3.7850000000000002E-2</v>
      </c>
    </row>
    <row r="150" spans="7:15" x14ac:dyDescent="0.35">
      <c r="G150" s="2">
        <v>129</v>
      </c>
      <c r="H150" s="75" t="e">
        <v>#N/A</v>
      </c>
      <c r="I150" s="75" t="e">
        <v>#N/A</v>
      </c>
      <c r="J150" s="75" t="e" cm="1">
        <f t="array" ref="J150">_xlfn.LET(_xlpm.m, G150,
     _xlpm.rfr, I150,
     _xlpm.sm_up, INDEX(R.IRR_SM_UP, _xlpm.m),
     _xlpm.bm_up, INDEX(R.IRR_BM_UP, _xlpm.m),
     _xlpm.rfr * (1 + _xlpm.sm_up) + _xlpm.bm_up)</f>
        <v>#N/A</v>
      </c>
      <c r="K150" s="75" t="e">
        <f t="shared" si="6"/>
        <v>#N/A</v>
      </c>
      <c r="L150" s="77">
        <v>3.7199999999999997E-2</v>
      </c>
      <c r="M150" s="75" t="e">
        <f t="shared" si="9"/>
        <v>#N/A</v>
      </c>
      <c r="N150" s="75" t="e">
        <f t="shared" ref="N150:N171" si="10">M150+LN(1+V.TOTAL_VA)</f>
        <v>#N/A</v>
      </c>
      <c r="O150" s="77">
        <v>3.7830000000000003E-2</v>
      </c>
    </row>
    <row r="151" spans="7:15" x14ac:dyDescent="0.35">
      <c r="G151" s="2">
        <v>130</v>
      </c>
      <c r="H151" s="75" t="e">
        <v>#N/A</v>
      </c>
      <c r="I151" s="75" t="e">
        <v>#N/A</v>
      </c>
      <c r="J151" s="75" t="e" cm="1">
        <f t="array" ref="J151">_xlfn.LET(_xlpm.m, G151,
     _xlpm.rfr, I151,
     _xlpm.sm_up, INDEX(R.IRR_SM_UP, _xlpm.m),
     _xlpm.bm_up, INDEX(R.IRR_BM_UP, _xlpm.m),
     _xlpm.rfr * (1 + _xlpm.sm_up) + _xlpm.bm_up)</f>
        <v>#N/A</v>
      </c>
      <c r="K151" s="75" t="e">
        <f t="shared" ref="K151:K171" si="11">LN(1+J151)</f>
        <v>#N/A</v>
      </c>
      <c r="L151" s="77">
        <v>3.7179999999999998E-2</v>
      </c>
      <c r="M151" s="75" t="e">
        <f t="shared" ref="M151:M171" si="12">G151*K151-G150*K150</f>
        <v>#N/A</v>
      </c>
      <c r="N151" s="75" t="e">
        <f t="shared" si="10"/>
        <v>#N/A</v>
      </c>
      <c r="O151" s="77">
        <v>3.78E-2</v>
      </c>
    </row>
    <row r="152" spans="7:15" x14ac:dyDescent="0.35">
      <c r="G152" s="7">
        <v>131</v>
      </c>
      <c r="H152" s="75" t="e">
        <v>#N/A</v>
      </c>
      <c r="I152" s="75" t="e">
        <v>#N/A</v>
      </c>
      <c r="J152" s="75" t="e" cm="1">
        <f t="array" ref="J152">_xlfn.LET(_xlpm.m, G152,
     _xlpm.rfr, I152,
     _xlpm.sm_up, INDEX(R.IRR_SM_UP, _xlpm.m),
     _xlpm.bm_up, INDEX(R.IRR_BM_UP, _xlpm.m),
     _xlpm.rfr * (1 + _xlpm.sm_up) + _xlpm.bm_up)</f>
        <v>#N/A</v>
      </c>
      <c r="K152" s="75" t="e">
        <f t="shared" si="11"/>
        <v>#N/A</v>
      </c>
      <c r="L152" s="77">
        <v>3.7159999999999999E-2</v>
      </c>
      <c r="M152" s="75" t="e">
        <f t="shared" si="12"/>
        <v>#N/A</v>
      </c>
      <c r="N152" s="75" t="e">
        <f t="shared" si="10"/>
        <v>#N/A</v>
      </c>
      <c r="O152" s="77">
        <v>3.7780000000000001E-2</v>
      </c>
    </row>
    <row r="153" spans="7:15" x14ac:dyDescent="0.35">
      <c r="G153" s="7">
        <v>132</v>
      </c>
      <c r="H153" s="75" t="e">
        <v>#N/A</v>
      </c>
      <c r="I153" s="75" t="e">
        <v>#N/A</v>
      </c>
      <c r="J153" s="75" t="e" cm="1">
        <f t="array" ref="J153">_xlfn.LET(_xlpm.m, G153,
     _xlpm.rfr, I153,
     _xlpm.sm_up, INDEX(R.IRR_SM_UP, _xlpm.m),
     _xlpm.bm_up, INDEX(R.IRR_BM_UP, _xlpm.m),
     _xlpm.rfr * (1 + _xlpm.sm_up) + _xlpm.bm_up)</f>
        <v>#N/A</v>
      </c>
      <c r="K153" s="75" t="e">
        <f t="shared" si="11"/>
        <v>#N/A</v>
      </c>
      <c r="L153" s="77">
        <v>3.7139999999999999E-2</v>
      </c>
      <c r="M153" s="75" t="e">
        <f t="shared" si="12"/>
        <v>#N/A</v>
      </c>
      <c r="N153" s="75" t="e">
        <f t="shared" si="10"/>
        <v>#N/A</v>
      </c>
      <c r="O153" s="77">
        <v>3.7749999999999999E-2</v>
      </c>
    </row>
    <row r="154" spans="7:15" x14ac:dyDescent="0.35">
      <c r="G154" s="7">
        <v>133</v>
      </c>
      <c r="H154" s="75" t="e">
        <v>#N/A</v>
      </c>
      <c r="I154" s="75" t="e">
        <v>#N/A</v>
      </c>
      <c r="J154" s="75" t="e" cm="1">
        <f t="array" ref="J154">_xlfn.LET(_xlpm.m, G154,
     _xlpm.rfr, I154,
     _xlpm.sm_up, INDEX(R.IRR_SM_UP, _xlpm.m),
     _xlpm.bm_up, INDEX(R.IRR_BM_UP, _xlpm.m),
     _xlpm.rfr * (1 + _xlpm.sm_up) + _xlpm.bm_up)</f>
        <v>#N/A</v>
      </c>
      <c r="K154" s="75" t="e">
        <f t="shared" si="11"/>
        <v>#N/A</v>
      </c>
      <c r="L154" s="77">
        <v>3.712E-2</v>
      </c>
      <c r="M154" s="75" t="e">
        <f t="shared" si="12"/>
        <v>#N/A</v>
      </c>
      <c r="N154" s="75" t="e">
        <f t="shared" si="10"/>
        <v>#N/A</v>
      </c>
      <c r="O154" s="77">
        <v>3.773E-2</v>
      </c>
    </row>
    <row r="155" spans="7:15" x14ac:dyDescent="0.35">
      <c r="G155" s="2">
        <v>134</v>
      </c>
      <c r="H155" s="75" t="e">
        <v>#N/A</v>
      </c>
      <c r="I155" s="75" t="e">
        <v>#N/A</v>
      </c>
      <c r="J155" s="75" t="e" cm="1">
        <f t="array" ref="J155">_xlfn.LET(_xlpm.m, G155,
     _xlpm.rfr, I155,
     _xlpm.sm_up, INDEX(R.IRR_SM_UP, _xlpm.m),
     _xlpm.bm_up, INDEX(R.IRR_BM_UP, _xlpm.m),
     _xlpm.rfr * (1 + _xlpm.sm_up) + _xlpm.bm_up)</f>
        <v>#N/A</v>
      </c>
      <c r="K155" s="75" t="e">
        <f t="shared" si="11"/>
        <v>#N/A</v>
      </c>
      <c r="L155" s="77">
        <v>3.7100000000000001E-2</v>
      </c>
      <c r="M155" s="75" t="e">
        <f t="shared" si="12"/>
        <v>#N/A</v>
      </c>
      <c r="N155" s="75" t="e">
        <f t="shared" si="10"/>
        <v>#N/A</v>
      </c>
      <c r="O155" s="77">
        <v>3.7699999999999997E-2</v>
      </c>
    </row>
    <row r="156" spans="7:15" x14ac:dyDescent="0.35">
      <c r="G156" s="2">
        <v>135</v>
      </c>
      <c r="H156" s="75" t="e">
        <v>#N/A</v>
      </c>
      <c r="I156" s="75" t="e">
        <v>#N/A</v>
      </c>
      <c r="J156" s="75" t="e" cm="1">
        <f t="array" ref="J156">_xlfn.LET(_xlpm.m, G156,
     _xlpm.rfr, I156,
     _xlpm.sm_up, INDEX(R.IRR_SM_UP, _xlpm.m),
     _xlpm.bm_up, INDEX(R.IRR_BM_UP, _xlpm.m),
     _xlpm.rfr * (1 + _xlpm.sm_up) + _xlpm.bm_up)</f>
        <v>#N/A</v>
      </c>
      <c r="K156" s="75" t="e">
        <f t="shared" si="11"/>
        <v>#N/A</v>
      </c>
      <c r="L156" s="77">
        <v>3.7080000000000002E-2</v>
      </c>
      <c r="M156" s="75" t="e">
        <f t="shared" si="12"/>
        <v>#N/A</v>
      </c>
      <c r="N156" s="75" t="e">
        <f t="shared" si="10"/>
        <v>#N/A</v>
      </c>
      <c r="O156" s="77">
        <v>3.7679999999999998E-2</v>
      </c>
    </row>
    <row r="157" spans="7:15" x14ac:dyDescent="0.35">
      <c r="G157" s="7">
        <v>136</v>
      </c>
      <c r="H157" s="75" t="e">
        <v>#N/A</v>
      </c>
      <c r="I157" s="75" t="e">
        <v>#N/A</v>
      </c>
      <c r="J157" s="75" t="e" cm="1">
        <f t="array" ref="J157">_xlfn.LET(_xlpm.m, G157,
     _xlpm.rfr, I157,
     _xlpm.sm_up, INDEX(R.IRR_SM_UP, _xlpm.m),
     _xlpm.bm_up, INDEX(R.IRR_BM_UP, _xlpm.m),
     _xlpm.rfr * (1 + _xlpm.sm_up) + _xlpm.bm_up)</f>
        <v>#N/A</v>
      </c>
      <c r="K157" s="75" t="e">
        <f t="shared" si="11"/>
        <v>#N/A</v>
      </c>
      <c r="L157" s="77">
        <v>3.7060000000000003E-2</v>
      </c>
      <c r="M157" s="75" t="e">
        <f t="shared" si="12"/>
        <v>#N/A</v>
      </c>
      <c r="N157" s="75" t="e">
        <f t="shared" si="10"/>
        <v>#N/A</v>
      </c>
      <c r="O157" s="77">
        <v>3.7659999999999999E-2</v>
      </c>
    </row>
    <row r="158" spans="7:15" x14ac:dyDescent="0.35">
      <c r="G158" s="7">
        <v>137</v>
      </c>
      <c r="H158" s="75" t="e">
        <v>#N/A</v>
      </c>
      <c r="I158" s="75" t="e">
        <v>#N/A</v>
      </c>
      <c r="J158" s="75" t="e" cm="1">
        <f t="array" ref="J158">_xlfn.LET(_xlpm.m, G158,
     _xlpm.rfr, I158,
     _xlpm.sm_up, INDEX(R.IRR_SM_UP, _xlpm.m),
     _xlpm.bm_up, INDEX(R.IRR_BM_UP, _xlpm.m),
     _xlpm.rfr * (1 + _xlpm.sm_up) + _xlpm.bm_up)</f>
        <v>#N/A</v>
      </c>
      <c r="K158" s="75" t="e">
        <f t="shared" si="11"/>
        <v>#N/A</v>
      </c>
      <c r="L158" s="77">
        <v>3.7039999999999997E-2</v>
      </c>
      <c r="M158" s="75" t="e">
        <f t="shared" si="12"/>
        <v>#N/A</v>
      </c>
      <c r="N158" s="75" t="e">
        <f t="shared" si="10"/>
        <v>#N/A</v>
      </c>
      <c r="O158" s="77">
        <v>3.7629999999999997E-2</v>
      </c>
    </row>
    <row r="159" spans="7:15" x14ac:dyDescent="0.35">
      <c r="G159" s="7">
        <v>138</v>
      </c>
      <c r="H159" s="75" t="e">
        <v>#N/A</v>
      </c>
      <c r="I159" s="75" t="e">
        <v>#N/A</v>
      </c>
      <c r="J159" s="75" t="e" cm="1">
        <f t="array" ref="J159">_xlfn.LET(_xlpm.m, G159,
     _xlpm.rfr, I159,
     _xlpm.sm_up, INDEX(R.IRR_SM_UP, _xlpm.m),
     _xlpm.bm_up, INDEX(R.IRR_BM_UP, _xlpm.m),
     _xlpm.rfr * (1 + _xlpm.sm_up) + _xlpm.bm_up)</f>
        <v>#N/A</v>
      </c>
      <c r="K159" s="75" t="e">
        <f t="shared" si="11"/>
        <v>#N/A</v>
      </c>
      <c r="L159" s="77">
        <v>3.7019999999999997E-2</v>
      </c>
      <c r="M159" s="75" t="e">
        <f t="shared" si="12"/>
        <v>#N/A</v>
      </c>
      <c r="N159" s="75" t="e">
        <f t="shared" si="10"/>
        <v>#N/A</v>
      </c>
      <c r="O159" s="77">
        <v>3.7609999999999998E-2</v>
      </c>
    </row>
    <row r="160" spans="7:15" x14ac:dyDescent="0.35">
      <c r="G160" s="2">
        <v>139</v>
      </c>
      <c r="H160" s="75" t="e">
        <v>#N/A</v>
      </c>
      <c r="I160" s="75" t="e">
        <v>#N/A</v>
      </c>
      <c r="J160" s="75" t="e" cm="1">
        <f t="array" ref="J160">_xlfn.LET(_xlpm.m, G160,
     _xlpm.rfr, I160,
     _xlpm.sm_up, INDEX(R.IRR_SM_UP, _xlpm.m),
     _xlpm.bm_up, INDEX(R.IRR_BM_UP, _xlpm.m),
     _xlpm.rfr * (1 + _xlpm.sm_up) + _xlpm.bm_up)</f>
        <v>#N/A</v>
      </c>
      <c r="K160" s="75" t="e">
        <f t="shared" si="11"/>
        <v>#N/A</v>
      </c>
      <c r="L160" s="77">
        <v>3.7010000000000001E-2</v>
      </c>
      <c r="M160" s="75" t="e">
        <f t="shared" si="12"/>
        <v>#N/A</v>
      </c>
      <c r="N160" s="75" t="e">
        <f t="shared" si="10"/>
        <v>#N/A</v>
      </c>
      <c r="O160" s="77">
        <v>3.7589999999999998E-2</v>
      </c>
    </row>
    <row r="161" spans="7:15" x14ac:dyDescent="0.35">
      <c r="G161" s="2">
        <v>140</v>
      </c>
      <c r="H161" s="75" t="e">
        <v>#N/A</v>
      </c>
      <c r="I161" s="75" t="e">
        <v>#N/A</v>
      </c>
      <c r="J161" s="75" t="e" cm="1">
        <f t="array" ref="J161">_xlfn.LET(_xlpm.m, G161,
     _xlpm.rfr, I161,
     _xlpm.sm_up, INDEX(R.IRR_SM_UP, _xlpm.m),
     _xlpm.bm_up, INDEX(R.IRR_BM_UP, _xlpm.m),
     _xlpm.rfr * (1 + _xlpm.sm_up) + _xlpm.bm_up)</f>
        <v>#N/A</v>
      </c>
      <c r="K161" s="75" t="e">
        <f t="shared" si="11"/>
        <v>#N/A</v>
      </c>
      <c r="L161" s="77">
        <v>3.6990000000000002E-2</v>
      </c>
      <c r="M161" s="75" t="e">
        <f t="shared" si="12"/>
        <v>#N/A</v>
      </c>
      <c r="N161" s="75" t="e">
        <f t="shared" si="10"/>
        <v>#N/A</v>
      </c>
      <c r="O161" s="77">
        <v>3.7569999999999999E-2</v>
      </c>
    </row>
    <row r="162" spans="7:15" x14ac:dyDescent="0.35">
      <c r="G162" s="7">
        <v>141</v>
      </c>
      <c r="H162" s="75" t="e">
        <v>#N/A</v>
      </c>
      <c r="I162" s="75" t="e">
        <v>#N/A</v>
      </c>
      <c r="J162" s="75" t="e" cm="1">
        <f t="array" ref="J162">_xlfn.LET(_xlpm.m, G162,
     _xlpm.rfr, I162,
     _xlpm.sm_up, INDEX(R.IRR_SM_UP, _xlpm.m),
     _xlpm.bm_up, INDEX(R.IRR_BM_UP, _xlpm.m),
     _xlpm.rfr * (1 + _xlpm.sm_up) + _xlpm.bm_up)</f>
        <v>#N/A</v>
      </c>
      <c r="K162" s="75" t="e">
        <f t="shared" si="11"/>
        <v>#N/A</v>
      </c>
      <c r="L162" s="77">
        <v>3.6970000000000003E-2</v>
      </c>
      <c r="M162" s="75" t="e">
        <f t="shared" si="12"/>
        <v>#N/A</v>
      </c>
      <c r="N162" s="75" t="e">
        <f t="shared" si="10"/>
        <v>#N/A</v>
      </c>
      <c r="O162" s="77">
        <v>3.7539999999999997E-2</v>
      </c>
    </row>
    <row r="163" spans="7:15" x14ac:dyDescent="0.35">
      <c r="G163" s="7">
        <v>142</v>
      </c>
      <c r="H163" s="75" t="e">
        <v>#N/A</v>
      </c>
      <c r="I163" s="75" t="e">
        <v>#N/A</v>
      </c>
      <c r="J163" s="75" t="e" cm="1">
        <f t="array" ref="J163">_xlfn.LET(_xlpm.m, G163,
     _xlpm.rfr, I163,
     _xlpm.sm_up, INDEX(R.IRR_SM_UP, _xlpm.m),
     _xlpm.bm_up, INDEX(R.IRR_BM_UP, _xlpm.m),
     _xlpm.rfr * (1 + _xlpm.sm_up) + _xlpm.bm_up)</f>
        <v>#N/A</v>
      </c>
      <c r="K163" s="75" t="e">
        <f t="shared" si="11"/>
        <v>#N/A</v>
      </c>
      <c r="L163" s="77">
        <v>3.6949999999999997E-2</v>
      </c>
      <c r="M163" s="75" t="e">
        <f t="shared" si="12"/>
        <v>#N/A</v>
      </c>
      <c r="N163" s="75" t="e">
        <f t="shared" si="10"/>
        <v>#N/A</v>
      </c>
      <c r="O163" s="77">
        <v>3.7519999999999998E-2</v>
      </c>
    </row>
    <row r="164" spans="7:15" x14ac:dyDescent="0.35">
      <c r="G164" s="7">
        <v>143</v>
      </c>
      <c r="H164" s="75" t="e">
        <v>#N/A</v>
      </c>
      <c r="I164" s="75" t="e">
        <v>#N/A</v>
      </c>
      <c r="J164" s="75" t="e" cm="1">
        <f t="array" ref="J164">_xlfn.LET(_xlpm.m, G164,
     _xlpm.rfr, I164,
     _xlpm.sm_up, INDEX(R.IRR_SM_UP, _xlpm.m),
     _xlpm.bm_up, INDEX(R.IRR_BM_UP, _xlpm.m),
     _xlpm.rfr * (1 + _xlpm.sm_up) + _xlpm.bm_up)</f>
        <v>#N/A</v>
      </c>
      <c r="K164" s="75" t="e">
        <f t="shared" si="11"/>
        <v>#N/A</v>
      </c>
      <c r="L164" s="77">
        <v>3.6940000000000001E-2</v>
      </c>
      <c r="M164" s="75" t="e">
        <f t="shared" si="12"/>
        <v>#N/A</v>
      </c>
      <c r="N164" s="75" t="e">
        <f t="shared" si="10"/>
        <v>#N/A</v>
      </c>
      <c r="O164" s="77">
        <v>3.7499999999999999E-2</v>
      </c>
    </row>
    <row r="165" spans="7:15" x14ac:dyDescent="0.35">
      <c r="G165" s="2">
        <v>144</v>
      </c>
      <c r="H165" s="75" t="e">
        <v>#N/A</v>
      </c>
      <c r="I165" s="75" t="e">
        <v>#N/A</v>
      </c>
      <c r="J165" s="75" t="e" cm="1">
        <f t="array" ref="J165">_xlfn.LET(_xlpm.m, G165,
     _xlpm.rfr, I165,
     _xlpm.sm_up, INDEX(R.IRR_SM_UP, _xlpm.m),
     _xlpm.bm_up, INDEX(R.IRR_BM_UP, _xlpm.m),
     _xlpm.rfr * (1 + _xlpm.sm_up) + _xlpm.bm_up)</f>
        <v>#N/A</v>
      </c>
      <c r="K165" s="75" t="e">
        <f t="shared" si="11"/>
        <v>#N/A</v>
      </c>
      <c r="L165" s="77">
        <v>3.6920000000000001E-2</v>
      </c>
      <c r="M165" s="75" t="e">
        <f t="shared" si="12"/>
        <v>#N/A</v>
      </c>
      <c r="N165" s="75" t="e">
        <f t="shared" si="10"/>
        <v>#N/A</v>
      </c>
      <c r="O165" s="77">
        <v>3.7479999999999999E-2</v>
      </c>
    </row>
    <row r="166" spans="7:15" x14ac:dyDescent="0.35">
      <c r="G166" s="2">
        <v>145</v>
      </c>
      <c r="H166" s="75" t="e">
        <v>#N/A</v>
      </c>
      <c r="I166" s="75" t="e">
        <v>#N/A</v>
      </c>
      <c r="J166" s="75" t="e" cm="1">
        <f t="array" ref="J166">_xlfn.LET(_xlpm.m, G166,
     _xlpm.rfr, I166,
     _xlpm.sm_up, INDEX(R.IRR_SM_UP, _xlpm.m),
     _xlpm.bm_up, INDEX(R.IRR_BM_UP, _xlpm.m),
     _xlpm.rfr * (1 + _xlpm.sm_up) + _xlpm.bm_up)</f>
        <v>#N/A</v>
      </c>
      <c r="K166" s="75" t="e">
        <f t="shared" si="11"/>
        <v>#N/A</v>
      </c>
      <c r="L166" s="77">
        <v>3.6900000000000002E-2</v>
      </c>
      <c r="M166" s="75" t="e">
        <f t="shared" si="12"/>
        <v>#N/A</v>
      </c>
      <c r="N166" s="75" t="e">
        <f t="shared" si="10"/>
        <v>#N/A</v>
      </c>
      <c r="O166" s="77">
        <v>3.746E-2</v>
      </c>
    </row>
    <row r="167" spans="7:15" x14ac:dyDescent="0.35">
      <c r="G167" s="7">
        <v>146</v>
      </c>
      <c r="H167" s="75" t="e">
        <v>#N/A</v>
      </c>
      <c r="I167" s="75" t="e">
        <v>#N/A</v>
      </c>
      <c r="J167" s="75" t="e" cm="1">
        <f t="array" ref="J167">_xlfn.LET(_xlpm.m, G167,
     _xlpm.rfr, I167,
     _xlpm.sm_up, INDEX(R.IRR_SM_UP, _xlpm.m),
     _xlpm.bm_up, INDEX(R.IRR_BM_UP, _xlpm.m),
     _xlpm.rfr * (1 + _xlpm.sm_up) + _xlpm.bm_up)</f>
        <v>#N/A</v>
      </c>
      <c r="K167" s="75" t="e">
        <f t="shared" si="11"/>
        <v>#N/A</v>
      </c>
      <c r="L167" s="77">
        <v>3.6889999999999999E-2</v>
      </c>
      <c r="M167" s="75" t="e">
        <f t="shared" si="12"/>
        <v>#N/A</v>
      </c>
      <c r="N167" s="75" t="e">
        <f t="shared" si="10"/>
        <v>#N/A</v>
      </c>
      <c r="O167" s="77">
        <v>3.7440000000000001E-2</v>
      </c>
    </row>
    <row r="168" spans="7:15" x14ac:dyDescent="0.35">
      <c r="G168" s="7">
        <v>147</v>
      </c>
      <c r="H168" s="75" t="e">
        <v>#N/A</v>
      </c>
      <c r="I168" s="75" t="e">
        <v>#N/A</v>
      </c>
      <c r="J168" s="75" t="e" cm="1">
        <f t="array" ref="J168">_xlfn.LET(_xlpm.m, G168,
     _xlpm.rfr, I168,
     _xlpm.sm_up, INDEX(R.IRR_SM_UP, _xlpm.m),
     _xlpm.bm_up, INDEX(R.IRR_BM_UP, _xlpm.m),
     _xlpm.rfr * (1 + _xlpm.sm_up) + _xlpm.bm_up)</f>
        <v>#N/A</v>
      </c>
      <c r="K168" s="75" t="e">
        <f t="shared" si="11"/>
        <v>#N/A</v>
      </c>
      <c r="L168" s="77">
        <v>3.687E-2</v>
      </c>
      <c r="M168" s="75" t="e">
        <f t="shared" si="12"/>
        <v>#N/A</v>
      </c>
      <c r="N168" s="75" t="e">
        <f t="shared" si="10"/>
        <v>#N/A</v>
      </c>
      <c r="O168" s="77">
        <v>3.7420000000000002E-2</v>
      </c>
    </row>
    <row r="169" spans="7:15" x14ac:dyDescent="0.35">
      <c r="G169" s="7">
        <v>148</v>
      </c>
      <c r="H169" s="75" t="e">
        <v>#N/A</v>
      </c>
      <c r="I169" s="75" t="e">
        <v>#N/A</v>
      </c>
      <c r="J169" s="75" t="e" cm="1">
        <f t="array" ref="J169">_xlfn.LET(_xlpm.m, G169,
     _xlpm.rfr, I169,
     _xlpm.sm_up, INDEX(R.IRR_SM_UP, _xlpm.m),
     _xlpm.bm_up, INDEX(R.IRR_BM_UP, _xlpm.m),
     _xlpm.rfr * (1 + _xlpm.sm_up) + _xlpm.bm_up)</f>
        <v>#N/A</v>
      </c>
      <c r="K169" s="75" t="e">
        <f t="shared" si="11"/>
        <v>#N/A</v>
      </c>
      <c r="L169" s="77">
        <v>3.6850000000000001E-2</v>
      </c>
      <c r="M169" s="75" t="e">
        <f t="shared" si="12"/>
        <v>#N/A</v>
      </c>
      <c r="N169" s="75" t="e">
        <f t="shared" si="10"/>
        <v>#N/A</v>
      </c>
      <c r="O169" s="77">
        <v>3.7400000000000003E-2</v>
      </c>
    </row>
    <row r="170" spans="7:15" x14ac:dyDescent="0.35">
      <c r="G170" s="2">
        <v>149</v>
      </c>
      <c r="H170" s="75" t="e">
        <v>#N/A</v>
      </c>
      <c r="I170" s="75" t="e">
        <v>#N/A</v>
      </c>
      <c r="J170" s="75" t="e" cm="1">
        <f t="array" ref="J170">_xlfn.LET(_xlpm.m, G170,
     _xlpm.rfr, I170,
     _xlpm.sm_up, INDEX(R.IRR_SM_UP, _xlpm.m),
     _xlpm.bm_up, INDEX(R.IRR_BM_UP, _xlpm.m),
     _xlpm.rfr * (1 + _xlpm.sm_up) + _xlpm.bm_up)</f>
        <v>#N/A</v>
      </c>
      <c r="K170" s="75" t="e">
        <f t="shared" si="11"/>
        <v>#N/A</v>
      </c>
      <c r="L170" s="77">
        <v>3.6839999999999998E-2</v>
      </c>
      <c r="M170" s="75" t="e">
        <f t="shared" si="12"/>
        <v>#N/A</v>
      </c>
      <c r="N170" s="75" t="e">
        <f t="shared" si="10"/>
        <v>#N/A</v>
      </c>
      <c r="O170" s="77">
        <v>3.7379999999999997E-2</v>
      </c>
    </row>
    <row r="171" spans="7:15" x14ac:dyDescent="0.35">
      <c r="G171" s="2">
        <v>150</v>
      </c>
      <c r="H171" s="75" t="e">
        <v>#N/A</v>
      </c>
      <c r="I171" s="75" t="e">
        <v>#N/A</v>
      </c>
      <c r="J171" s="75" t="e" cm="1">
        <f t="array" ref="J171">_xlfn.LET(_xlpm.m, G171,
     _xlpm.rfr, I171,
     _xlpm.sm_up, INDEX(R.IRR_SM_UP, _xlpm.m),
     _xlpm.bm_up, INDEX(R.IRR_BM_UP, _xlpm.m),
     _xlpm.rfr * (1 + _xlpm.sm_up) + _xlpm.bm_up)</f>
        <v>#N/A</v>
      </c>
      <c r="K171" s="75" t="e">
        <f t="shared" si="11"/>
        <v>#N/A</v>
      </c>
      <c r="L171" s="78">
        <v>3.6819999999999999E-2</v>
      </c>
      <c r="M171" s="75" t="e">
        <f t="shared" si="12"/>
        <v>#N/A</v>
      </c>
      <c r="N171" s="75" t="e">
        <f t="shared" si="10"/>
        <v>#N/A</v>
      </c>
      <c r="O171" s="77">
        <v>3.7359999999999997E-2</v>
      </c>
    </row>
    <row r="172" spans="7:15" x14ac:dyDescent="0.35">
      <c r="K172" s="7"/>
      <c r="L172" s="7"/>
    </row>
  </sheetData>
  <pageMargins left="0.7" right="0.7" top="0.75" bottom="0.75" header="0.3" footer="0.3"/>
  <headerFooter>
    <oddHeader>&amp;R&amp;"Aptos"&amp;10&amp;K000000 PUBLIC&amp;1#_x000D_</oddHead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FF8C0-7D10-4E23-9B5C-A19440EE8836}">
  <sheetPr codeName="shInput2">
    <tabColor theme="3" tint="0.249977111117893"/>
  </sheetPr>
  <dimension ref="A1:S172"/>
  <sheetViews>
    <sheetView workbookViewId="0"/>
  </sheetViews>
  <sheetFormatPr defaultColWidth="0" defaultRowHeight="14.5" x14ac:dyDescent="0.35"/>
  <cols>
    <col min="1" max="6" width="9.1796875" style="2" customWidth="1"/>
    <col min="7" max="7" width="11.54296875" style="2" customWidth="1"/>
    <col min="8" max="8" width="17.54296875" style="2" customWidth="1"/>
    <col min="9" max="9" width="16.1796875" style="2" customWidth="1"/>
    <col min="10" max="10" width="10.81640625" style="2" customWidth="1"/>
    <col min="11" max="11" width="15.453125" style="2" customWidth="1"/>
    <col min="12" max="12" width="14.81640625" style="2" customWidth="1"/>
    <col min="13" max="13" width="15.1796875" style="2" customWidth="1"/>
    <col min="14" max="14" width="18.1796875" style="2" bestFit="1" customWidth="1"/>
    <col min="15" max="15" width="15.81640625" style="2" bestFit="1" customWidth="1"/>
    <col min="16" max="16" width="11.1796875" style="2" bestFit="1" customWidth="1"/>
    <col min="17" max="17" width="17.1796875" style="2" customWidth="1"/>
    <col min="18" max="18" width="1.81640625" style="2" customWidth="1"/>
    <col min="19" max="19" width="17" style="2" hidden="1" customWidth="1"/>
    <col min="20" max="16384" width="9.1796875" style="2" hidden="1"/>
  </cols>
  <sheetData>
    <row r="1" spans="1:18" x14ac:dyDescent="0.35">
      <c r="A1" s="3"/>
      <c r="B1" s="4"/>
      <c r="C1" s="4"/>
      <c r="D1" s="4"/>
      <c r="E1" s="4"/>
      <c r="F1" s="4"/>
      <c r="G1" s="4"/>
      <c r="H1" s="4"/>
      <c r="I1" s="4"/>
      <c r="J1" s="4"/>
      <c r="K1" s="4"/>
      <c r="L1" s="4"/>
      <c r="M1" s="4"/>
      <c r="N1" s="4"/>
      <c r="O1" s="4"/>
      <c r="P1" s="4"/>
      <c r="Q1" s="4"/>
      <c r="R1" s="4"/>
    </row>
    <row r="2" spans="1:18" x14ac:dyDescent="0.35">
      <c r="A2" s="3"/>
      <c r="B2" s="4"/>
      <c r="C2" s="4"/>
      <c r="D2" s="4"/>
      <c r="E2" s="4"/>
      <c r="F2" s="4"/>
      <c r="G2" s="4"/>
      <c r="H2" s="4"/>
      <c r="I2" s="4"/>
      <c r="J2" s="4"/>
      <c r="K2" s="4"/>
      <c r="L2" s="4"/>
      <c r="M2" s="4"/>
      <c r="N2" s="4"/>
      <c r="O2" s="4"/>
      <c r="P2" s="4"/>
      <c r="Q2" s="4"/>
      <c r="R2" s="4"/>
    </row>
    <row r="3" spans="1:18" ht="18.75" customHeight="1" x14ac:dyDescent="0.35">
      <c r="A3" s="3"/>
      <c r="B3" s="3"/>
      <c r="C3" s="4"/>
      <c r="D3" s="4"/>
      <c r="E3" s="4"/>
      <c r="F3" s="4"/>
      <c r="G3" s="4"/>
      <c r="H3" s="4"/>
      <c r="I3" s="4"/>
      <c r="J3" s="4"/>
      <c r="K3" s="4"/>
      <c r="L3" s="4"/>
      <c r="M3" s="4"/>
      <c r="N3" s="4"/>
      <c r="O3" s="4"/>
      <c r="P3" s="4"/>
      <c r="Q3" s="73" t="str">
        <f>V.COPYRIGHT</f>
        <v>©EIOPA, 2026.</v>
      </c>
      <c r="R3" s="4"/>
    </row>
    <row r="4" spans="1:18" x14ac:dyDescent="0.35">
      <c r="A4" s="1"/>
    </row>
    <row r="6" spans="1:18" ht="20" thickBot="1" x14ac:dyDescent="0.5">
      <c r="F6" s="6" t="s">
        <v>121</v>
      </c>
      <c r="G6" s="6"/>
      <c r="H6" s="6"/>
      <c r="I6" s="6"/>
      <c r="J6" s="6"/>
      <c r="K6" s="6"/>
      <c r="L6" s="6"/>
      <c r="M6" s="6"/>
      <c r="N6" s="6"/>
      <c r="O6" s="6"/>
      <c r="P6" s="6"/>
      <c r="Q6" s="6"/>
      <c r="R6" s="6"/>
    </row>
    <row r="7" spans="1:18" ht="15" thickTop="1" x14ac:dyDescent="0.35"/>
    <row r="8" spans="1:18" ht="15" thickBot="1" x14ac:dyDescent="0.4">
      <c r="G8" s="58"/>
      <c r="H8" s="64" t="s">
        <v>3</v>
      </c>
      <c r="I8" s="7"/>
      <c r="J8" s="7"/>
      <c r="K8" s="7"/>
      <c r="L8" s="7"/>
      <c r="M8" s="7"/>
      <c r="N8" s="7"/>
    </row>
    <row r="9" spans="1:18" x14ac:dyDescent="0.35">
      <c r="G9" s="7"/>
      <c r="H9" s="7"/>
      <c r="I9" s="7"/>
      <c r="J9" s="7"/>
      <c r="K9" s="7"/>
      <c r="L9" s="7"/>
      <c r="M9" s="7"/>
      <c r="N9" s="7"/>
    </row>
    <row r="10" spans="1:18" x14ac:dyDescent="0.35">
      <c r="G10" s="12" t="s">
        <v>4</v>
      </c>
      <c r="H10" s="69">
        <f>V.FSP</f>
        <v>20</v>
      </c>
      <c r="I10" s="7"/>
      <c r="J10" s="7"/>
      <c r="K10" s="7"/>
      <c r="L10" s="7"/>
    </row>
    <row r="11" spans="1:18" x14ac:dyDescent="0.35">
      <c r="G11" s="12" t="s">
        <v>5</v>
      </c>
      <c r="H11" s="81">
        <f>V.UFR-0.0015</f>
        <v>3.15E-2</v>
      </c>
      <c r="I11" s="7"/>
      <c r="J11" s="7"/>
      <c r="K11" s="7"/>
      <c r="L11" s="7"/>
    </row>
    <row r="12" spans="1:18" x14ac:dyDescent="0.35">
      <c r="G12" s="12" t="s">
        <v>42</v>
      </c>
      <c r="H12" s="80">
        <f>V.TOTAL_VA</f>
        <v>3.3999999999999998E-3</v>
      </c>
      <c r="I12" s="7"/>
      <c r="J12" s="7"/>
    </row>
    <row r="13" spans="1:18" x14ac:dyDescent="0.35">
      <c r="I13" s="7"/>
      <c r="J13" s="7"/>
      <c r="K13" s="7"/>
      <c r="L13" s="7"/>
    </row>
    <row r="14" spans="1:18" x14ac:dyDescent="0.35">
      <c r="I14" s="7"/>
      <c r="J14" s="7"/>
      <c r="K14" s="7"/>
      <c r="L14" s="7"/>
      <c r="M14" s="7"/>
      <c r="N14" s="7"/>
    </row>
    <row r="15" spans="1:18" x14ac:dyDescent="0.35">
      <c r="I15" s="7"/>
      <c r="J15" s="7"/>
      <c r="K15" s="7"/>
      <c r="L15" s="7"/>
      <c r="M15" s="7"/>
      <c r="N15" s="7"/>
    </row>
    <row r="16" spans="1:18" x14ac:dyDescent="0.35">
      <c r="I16" s="7"/>
      <c r="J16" s="7"/>
      <c r="K16" s="7"/>
      <c r="L16" s="7"/>
      <c r="M16" s="7"/>
      <c r="N16" s="7"/>
    </row>
    <row r="17" spans="6:18" ht="15" thickBot="1" x14ac:dyDescent="0.4">
      <c r="F17" s="58" t="s">
        <v>120</v>
      </c>
      <c r="G17" s="58"/>
      <c r="H17" s="63"/>
      <c r="I17" s="63"/>
      <c r="J17" s="58"/>
      <c r="K17" s="63"/>
      <c r="L17" s="63"/>
      <c r="M17" s="63"/>
      <c r="N17" s="63"/>
      <c r="O17" s="63"/>
      <c r="P17" s="63"/>
      <c r="Q17" s="63"/>
      <c r="R17" s="63"/>
    </row>
    <row r="18" spans="6:18" x14ac:dyDescent="0.35">
      <c r="H18" s="7"/>
      <c r="I18" s="7"/>
      <c r="J18" s="10"/>
      <c r="K18" s="7"/>
      <c r="L18" s="7"/>
    </row>
    <row r="19" spans="6:18" ht="17.5" x14ac:dyDescent="0.45">
      <c r="H19" s="10"/>
      <c r="J19" s="12" t="s">
        <v>124</v>
      </c>
      <c r="K19" s="74" cm="1">
        <f t="array" ref="K19">GetLLFR(R.IRR_SHOCK_DOWN_CC,R.DLT,R.LLFR_WEIGHTS)</f>
        <v>1.0122396036132211E-2</v>
      </c>
      <c r="M19" s="16" t="s">
        <v>125</v>
      </c>
      <c r="N19" s="74" cm="1">
        <f t="array" ref="N19">_xlfn.LET(_xlpm.FIRST_LLFR_WEIGHT, INDEX(R.LLFR_WEIGHTS, V.FSP),
     V.LLFR_IRR_DOWN + _xlpm.FIRST_LLFR_WEIGHT * LN(1+V.TOTAL_VA))</f>
        <v>1.1242492948577364E-2</v>
      </c>
    </row>
    <row r="20" spans="6:18" x14ac:dyDescent="0.35">
      <c r="H20" s="7"/>
      <c r="I20" s="7"/>
      <c r="J20" s="10"/>
      <c r="K20" s="7"/>
      <c r="L20" s="7"/>
    </row>
    <row r="21" spans="6:18" ht="41.15" customHeight="1" x14ac:dyDescent="0.35">
      <c r="G21" s="37" t="s">
        <v>13</v>
      </c>
      <c r="H21" s="37" t="s">
        <v>128</v>
      </c>
      <c r="I21" s="37" t="s">
        <v>129</v>
      </c>
      <c r="J21" s="37" t="s">
        <v>113</v>
      </c>
      <c r="K21" s="37" t="s">
        <v>114</v>
      </c>
      <c r="L21" s="85" t="s">
        <v>115</v>
      </c>
      <c r="M21" s="37" t="s">
        <v>116</v>
      </c>
      <c r="N21" s="37" t="s">
        <v>111</v>
      </c>
      <c r="O21" s="86" t="s">
        <v>117</v>
      </c>
    </row>
    <row r="22" spans="6:18" x14ac:dyDescent="0.35">
      <c r="G22" s="7">
        <v>1</v>
      </c>
      <c r="H22" s="75" cm="1">
        <f t="array" ref="H22:H171">R.BASECURVE</f>
        <v>2.1760000000000002E-2</v>
      </c>
      <c r="I22" s="75" cm="1">
        <f t="array" ref="I22:I171">_xlfn.LET(_xlpm.LLP, MAX(_xlfn._xlws.FILTER(R.MATURITY,R.DLT=1)),
     BootstrapCurve(V.INSTRUMENT,_xlfn.ANCHORARRAY(H22),R.DLT,"A",V.CRA,V.COUPON_FREQ,_xlpm.LLP,"A", "Z"))</f>
        <v>2.0760000000000112E-2</v>
      </c>
      <c r="J22" s="75" cm="1">
        <f t="array" ref="J22">_xlfn.LET(_xlpm.m, G22,
     _xlpm.rfr, I22,
     _xlpm.sm_down, INDEX(R.IRR_SM_DOWN, _xlpm.m),
     _xlpm.bm_down, INDEX(R.IRR_BM_DOWN, _xlpm.m),
     _xlpm.rfr * (1 - _xlpm.sm_down) - _xlpm.bm_down)</f>
        <v>-2.8807999999999508E-3</v>
      </c>
      <c r="K22" s="75">
        <f>LN(1+J22)</f>
        <v>-2.8849574908394325E-3</v>
      </c>
      <c r="L22" s="76" cm="1">
        <f t="array" ref="L22:L171">_xlfn.BYROW(_xlfn.HSTACK(ROUND(Extrapolation(R.IRR_SHOCK_DOWN_CC, "Z", V.FSP, V.UFR_DOWN, V.LLFR_IRR_DOWN, V.ALPHA, "A"), 5), R.RM_FLOOR), _xlfn.LAMBDA(_xlpm.r, MAX(_xlpm.r )))</f>
        <v>-2.8800000000000002E-3</v>
      </c>
      <c r="M22" s="75">
        <f>K22</f>
        <v>-2.8849574908394325E-3</v>
      </c>
      <c r="N22" s="75">
        <f t="shared" ref="N22:N53" si="0">M22+LN(1+V.TOTAL_VA)</f>
        <v>5.0927557717618446E-4</v>
      </c>
      <c r="O22" s="76" cm="1">
        <f t="array" ref="O22:O171">_xlfn.BYROW(_xlfn.HSTACK(ROUND(Extrapolation(N22:N171, "F", V.FSP,V.UFR_DOWN,V.LLFR_STAR_IRR_DOWN,V.ALPHA,"A"), 5),R.RM_FLOOR), _xlfn.LAMBDA(_xlpm.r, MAX(_xlpm.r)))</f>
        <v>5.1000000000000004E-4</v>
      </c>
    </row>
    <row r="23" spans="6:18" x14ac:dyDescent="0.35">
      <c r="G23" s="7">
        <v>2</v>
      </c>
      <c r="H23" s="75">
        <v>2.2620999999999999E-2</v>
      </c>
      <c r="I23" s="75">
        <v>2.1630315818982782E-2</v>
      </c>
      <c r="J23" s="75" cm="1">
        <f t="array" ref="J23">_xlfn.LET(_xlpm.m, G23,
     _xlpm.rfr, I23,
     _xlpm.sm_down, INDEX(R.IRR_SM_DOWN, _xlpm.m),
     _xlpm.bm_down, INDEX(R.IRR_BM_DOWN, _xlpm.m),
     _xlpm.rfr * (1 - _xlpm.sm_down) - _xlpm.bm_down)</f>
        <v>6.9885475130156138E-4</v>
      </c>
      <c r="K23" s="75">
        <f t="shared" ref="K23:K86" si="1">LN(1+J23)</f>
        <v>6.9861066603337386E-4</v>
      </c>
      <c r="L23" s="77">
        <v>6.9999999999999999E-4</v>
      </c>
      <c r="M23" s="75">
        <f t="shared" ref="M23:M54" si="2">G23*K23-G22*K22</f>
        <v>4.28217882290618E-3</v>
      </c>
      <c r="N23" s="75">
        <f t="shared" si="0"/>
        <v>7.6764118909217974E-3</v>
      </c>
      <c r="O23" s="77">
        <v>4.1000000000000003E-3</v>
      </c>
    </row>
    <row r="24" spans="6:18" x14ac:dyDescent="0.35">
      <c r="G24" s="7">
        <v>3</v>
      </c>
      <c r="H24" s="75">
        <v>2.3795E-2</v>
      </c>
      <c r="I24" s="75">
        <v>2.2828578407541489E-2</v>
      </c>
      <c r="J24" s="75" cm="1">
        <f t="array" ref="J24">_xlfn.LET(_xlpm.m, G24,
     _xlpm.rfr, I24,
     _xlpm.sm_down, INDEX(R.IRR_SM_DOWN, _xlpm.m),
     _xlpm.bm_down, INDEX(R.IRR_BM_DOWN, _xlpm.m),
     _xlpm.rfr * (1 - _xlpm.sm_down) - _xlpm.bm_down)</f>
        <v>4.4840039082232348E-3</v>
      </c>
      <c r="K24" s="75">
        <f t="shared" si="1"/>
        <v>4.4739807142234259E-3</v>
      </c>
      <c r="L24" s="77">
        <v>4.4799999999999996E-3</v>
      </c>
      <c r="M24" s="75">
        <f t="shared" si="2"/>
        <v>1.202472081060353E-2</v>
      </c>
      <c r="N24" s="75">
        <f t="shared" si="0"/>
        <v>1.5418953878619147E-2</v>
      </c>
      <c r="O24" s="77">
        <v>7.9000000000000008E-3</v>
      </c>
    </row>
    <row r="25" spans="6:18" x14ac:dyDescent="0.35">
      <c r="G25" s="2">
        <v>4</v>
      </c>
      <c r="H25" s="75">
        <v>2.4799999999999999E-2</v>
      </c>
      <c r="I25" s="75">
        <v>2.3862916203552631E-2</v>
      </c>
      <c r="J25" s="75" cm="1">
        <f t="array" ref="J25">_xlfn.LET(_xlpm.m, G25,
     _xlpm.rfr, I25,
     _xlpm.sm_down, INDEX(R.IRR_SM_DOWN, _xlpm.m),
     _xlpm.bm_down, INDEX(R.IRR_BM_DOWN, _xlpm.m),
     _xlpm.rfr * (1 - _xlpm.sm_down) - _xlpm.bm_down)</f>
        <v>6.9177497221315776E-3</v>
      </c>
      <c r="K25" s="75">
        <f t="shared" si="1"/>
        <v>6.8939318723813614E-3</v>
      </c>
      <c r="L25" s="77">
        <v>6.9199999999999999E-3</v>
      </c>
      <c r="M25" s="75">
        <f t="shared" si="2"/>
        <v>1.4153785346855168E-2</v>
      </c>
      <c r="N25" s="75">
        <f t="shared" si="0"/>
        <v>1.7548018414870786E-2</v>
      </c>
      <c r="O25" s="77">
        <v>1.034E-2</v>
      </c>
    </row>
    <row r="26" spans="6:18" x14ac:dyDescent="0.35">
      <c r="G26" s="2">
        <v>5</v>
      </c>
      <c r="H26" s="75">
        <v>2.5690000000000001E-2</v>
      </c>
      <c r="I26" s="75">
        <v>2.478758696287886E-2</v>
      </c>
      <c r="J26" s="75" cm="1">
        <f t="array" ref="J26">_xlfn.LET(_xlpm.m, G26,
     _xlpm.rfr, I26,
     _xlpm.sm_down, INDEX(R.IRR_SM_DOWN, _xlpm.m),
     _xlpm.bm_down, INDEX(R.IRR_BM_DOWN, _xlpm.m),
     _xlpm.rfr * (1 - _xlpm.sm_down) - _xlpm.bm_down)</f>
        <v>7.7725521777273158E-3</v>
      </c>
      <c r="K26" s="75">
        <f t="shared" si="1"/>
        <v>7.7425015072108356E-3</v>
      </c>
      <c r="L26" s="77">
        <v>7.77E-3</v>
      </c>
      <c r="M26" s="75">
        <f t="shared" si="2"/>
        <v>1.1136780046528735E-2</v>
      </c>
      <c r="N26" s="75">
        <f t="shared" si="0"/>
        <v>1.4531013114544352E-2</v>
      </c>
      <c r="O26" s="77">
        <v>1.12E-2</v>
      </c>
    </row>
    <row r="27" spans="6:18" x14ac:dyDescent="0.35">
      <c r="G27" s="7">
        <v>6</v>
      </c>
      <c r="H27" s="75">
        <v>2.6509999999999999E-2</v>
      </c>
      <c r="I27" s="75">
        <v>2.5648677956586319E-2</v>
      </c>
      <c r="J27" s="75" cm="1">
        <f t="array" ref="J27">_xlfn.LET(_xlpm.m, G27,
     _xlpm.rfr, I27,
     _xlpm.sm_down, INDEX(R.IRR_SM_DOWN, _xlpm.m),
     _xlpm.bm_down, INDEX(R.IRR_BM_DOWN, _xlpm.m),
     _xlpm.rfr * (1 - _xlpm.sm_down) - _xlpm.bm_down)</f>
        <v>9.2021803330835164E-3</v>
      </c>
      <c r="K27" s="75">
        <f t="shared" si="1"/>
        <v>9.1600982393120565E-3</v>
      </c>
      <c r="L27" s="77">
        <v>9.1999999999999998E-3</v>
      </c>
      <c r="M27" s="75">
        <f t="shared" si="2"/>
        <v>1.6248081899818162E-2</v>
      </c>
      <c r="N27" s="75">
        <f t="shared" si="0"/>
        <v>1.9642314967833779E-2</v>
      </c>
      <c r="O27" s="77">
        <v>1.2630000000000001E-2</v>
      </c>
    </row>
    <row r="28" spans="6:18" x14ac:dyDescent="0.35">
      <c r="G28" s="7">
        <v>7</v>
      </c>
      <c r="H28" s="75">
        <v>2.7320000000000001E-2</v>
      </c>
      <c r="I28" s="75">
        <v>2.6510381233600278E-2</v>
      </c>
      <c r="J28" s="75" cm="1">
        <f t="array" ref="J28">_xlfn.LET(_xlpm.m, G28,
     _xlpm.rfr, I28,
     _xlpm.sm_down, INDEX(R.IRR_SM_DOWN, _xlpm.m),
     _xlpm.bm_down, INDEX(R.IRR_BM_DOWN, _xlpm.m),
     _xlpm.rfr * (1 - _xlpm.sm_down) - _xlpm.bm_down)</f>
        <v>1.0401540177168173E-2</v>
      </c>
      <c r="K28" s="75">
        <f t="shared" si="1"/>
        <v>1.0347816377179088E-2</v>
      </c>
      <c r="L28" s="77">
        <v>1.04E-2</v>
      </c>
      <c r="M28" s="75">
        <f t="shared" si="2"/>
        <v>1.7474125204381269E-2</v>
      </c>
      <c r="N28" s="75">
        <f t="shared" si="0"/>
        <v>2.0868358272396886E-2</v>
      </c>
      <c r="O28" s="77">
        <v>1.384E-2</v>
      </c>
    </row>
    <row r="29" spans="6:18" x14ac:dyDescent="0.35">
      <c r="G29" s="7">
        <v>8</v>
      </c>
      <c r="H29" s="75">
        <v>2.8000000000000001E-2</v>
      </c>
      <c r="I29" s="75">
        <v>2.7239902777655978E-2</v>
      </c>
      <c r="J29" s="75" cm="1">
        <f t="array" ref="J29">_xlfn.LET(_xlpm.m, G29,
     _xlpm.rfr, I29,
     _xlpm.sm_down, INDEX(R.IRR_SM_DOWN, _xlpm.m),
     _xlpm.bm_down, INDEX(R.IRR_BM_DOWN, _xlpm.m),
     _xlpm.rfr * (1 - _xlpm.sm_down) - _xlpm.bm_down)</f>
        <v>1.0688739722146706E-2</v>
      </c>
      <c r="K29" s="75">
        <f t="shared" si="1"/>
        <v>1.0632018967996449E-2</v>
      </c>
      <c r="L29" s="77">
        <v>1.069E-2</v>
      </c>
      <c r="M29" s="75">
        <f t="shared" si="2"/>
        <v>1.2621437103717978E-2</v>
      </c>
      <c r="N29" s="75">
        <f t="shared" si="0"/>
        <v>1.6015670171733595E-2</v>
      </c>
      <c r="O29" s="77">
        <v>1.413E-2</v>
      </c>
    </row>
    <row r="30" spans="6:18" x14ac:dyDescent="0.35">
      <c r="G30" s="2">
        <v>9</v>
      </c>
      <c r="H30" s="75">
        <v>2.8631E-2</v>
      </c>
      <c r="I30" s="75">
        <v>2.7925209236814075E-2</v>
      </c>
      <c r="J30" s="75" cm="1">
        <f t="array" ref="J30">_xlfn.LET(_xlpm.m, G30,
     _xlpm.rfr, I30,
     _xlpm.sm_down, INDEX(R.IRR_SM_DOWN, _xlpm.m),
     _xlpm.bm_down, INDEX(R.IRR_BM_DOWN, _xlpm.m),
     _xlpm.rfr * (1 - _xlpm.sm_down) - _xlpm.bm_down)</f>
        <v>1.0934377634456583E-2</v>
      </c>
      <c r="K30" s="75">
        <f t="shared" si="1"/>
        <v>1.0875029558259119E-2</v>
      </c>
      <c r="L30" s="77">
        <v>1.093E-2</v>
      </c>
      <c r="M30" s="75">
        <f t="shared" si="2"/>
        <v>1.2819114280360477E-2</v>
      </c>
      <c r="N30" s="75">
        <f t="shared" si="0"/>
        <v>1.6213347348376095E-2</v>
      </c>
      <c r="O30" s="77">
        <v>1.4370000000000001E-2</v>
      </c>
    </row>
    <row r="31" spans="6:18" x14ac:dyDescent="0.35">
      <c r="G31" s="2">
        <v>10</v>
      </c>
      <c r="H31" s="75">
        <v>2.9270000000000001E-2</v>
      </c>
      <c r="I31" s="75">
        <v>2.8630835586778147E-2</v>
      </c>
      <c r="J31" s="75" cm="1">
        <f t="array" ref="J31">_xlfn.LET(_xlpm.m, G31,
     _xlpm.rfr, I31,
     _xlpm.sm_down, INDEX(R.IRR_SM_DOWN, _xlpm.m),
     _xlpm.bm_down, INDEX(R.IRR_BM_DOWN, _xlpm.m),
     _xlpm.rfr * (1 - _xlpm.sm_down) - _xlpm.bm_down)</f>
        <v>1.1078501352066887E-2</v>
      </c>
      <c r="K31" s="75">
        <f t="shared" si="1"/>
        <v>1.1017584256453336E-2</v>
      </c>
      <c r="L31" s="77">
        <v>1.108E-2</v>
      </c>
      <c r="M31" s="75">
        <f t="shared" si="2"/>
        <v>1.2300576540201294E-2</v>
      </c>
      <c r="N31" s="75">
        <f t="shared" si="0"/>
        <v>1.5694809608216911E-2</v>
      </c>
      <c r="O31" s="77">
        <v>1.452E-2</v>
      </c>
    </row>
    <row r="32" spans="6:18" x14ac:dyDescent="0.35">
      <c r="G32" s="7">
        <v>11</v>
      </c>
      <c r="H32" s="75">
        <v>2.9790000000000001E-2</v>
      </c>
      <c r="I32" s="75">
        <v>2.9208168536828172E-2</v>
      </c>
      <c r="J32" s="75" cm="1">
        <f t="array" ref="J32">_xlfn.LET(_xlpm.m, G32,
     _xlpm.rfr, I32,
     _xlpm.sm_down, INDEX(R.IRR_SM_DOWN, _xlpm.m),
     _xlpm.bm_down, INDEX(R.IRR_BM_DOWN, _xlpm.m),
     _xlpm.rfr * (1 - _xlpm.sm_down) - _xlpm.bm_down)</f>
        <v>1.1232819436728625E-2</v>
      </c>
      <c r="K32" s="75">
        <f t="shared" si="1"/>
        <v>1.1170199814082755E-2</v>
      </c>
      <c r="L32" s="77">
        <v>1.123E-2</v>
      </c>
      <c r="M32" s="75">
        <f t="shared" si="2"/>
        <v>1.2696355390376945E-2</v>
      </c>
      <c r="N32" s="75">
        <f t="shared" si="0"/>
        <v>1.6090588458392563E-2</v>
      </c>
      <c r="O32" s="77">
        <v>1.4670000000000001E-2</v>
      </c>
    </row>
    <row r="33" spans="7:15" x14ac:dyDescent="0.35">
      <c r="G33" s="7">
        <v>12</v>
      </c>
      <c r="H33" s="75">
        <v>3.0269999999999998E-2</v>
      </c>
      <c r="I33" s="75">
        <v>2.9747885728615753E-2</v>
      </c>
      <c r="J33" s="75" cm="1">
        <f t="array" ref="J33">_xlfn.LET(_xlpm.m, G33,
     _xlpm.rfr, I33,
     _xlpm.sm_down, INDEX(R.IRR_SM_DOWN, _xlpm.m),
     _xlpm.bm_down, INDEX(R.IRR_BM_DOWN, _xlpm.m),
     _xlpm.rfr * (1 - _xlpm.sm_down) - _xlpm.bm_down)</f>
        <v>1.1253773722597138E-2</v>
      </c>
      <c r="K33" s="75">
        <f t="shared" si="1"/>
        <v>1.1190921124117719E-2</v>
      </c>
      <c r="L33" s="77">
        <v>1.125E-2</v>
      </c>
      <c r="M33" s="75">
        <f t="shared" si="2"/>
        <v>1.1418855534502309E-2</v>
      </c>
      <c r="N33" s="75">
        <f t="shared" si="0"/>
        <v>1.4813088602517926E-2</v>
      </c>
      <c r="O33" s="77">
        <v>1.469E-2</v>
      </c>
    </row>
    <row r="34" spans="7:15" x14ac:dyDescent="0.35">
      <c r="G34" s="7">
        <v>13</v>
      </c>
      <c r="H34" s="75">
        <v>3.0779000000000001E-2</v>
      </c>
      <c r="I34" s="75">
        <v>3.0333297188037012E-2</v>
      </c>
      <c r="J34" s="75" cm="1">
        <f t="array" ref="J34">_xlfn.LET(_xlpm.m, G34,
     _xlpm.rfr, I34,
     _xlpm.sm_down, INDEX(R.IRR_SM_DOWN, _xlpm.m),
     _xlpm.bm_down, INDEX(R.IRR_BM_DOWN, _xlpm.m),
     _xlpm.rfr * (1 - _xlpm.sm_down) - _xlpm.bm_down)</f>
        <v>1.1389979397181099E-2</v>
      </c>
      <c r="K34" s="75">
        <f t="shared" si="1"/>
        <v>1.1325601959118685E-2</v>
      </c>
      <c r="L34" s="77">
        <v>1.1390000000000001E-2</v>
      </c>
      <c r="M34" s="75">
        <f t="shared" si="2"/>
        <v>1.2941771979130295E-2</v>
      </c>
      <c r="N34" s="75">
        <f t="shared" si="0"/>
        <v>1.6336005047145913E-2</v>
      </c>
      <c r="O34" s="77">
        <v>1.4829999999999999E-2</v>
      </c>
    </row>
    <row r="35" spans="7:15" x14ac:dyDescent="0.35">
      <c r="G35" s="2">
        <v>14</v>
      </c>
      <c r="H35" s="75">
        <v>3.1123999999999999E-2</v>
      </c>
      <c r="I35" s="75">
        <v>3.072992789349227E-2</v>
      </c>
      <c r="J35" s="75" cm="1">
        <f t="array" ref="J35">_xlfn.LET(_xlpm.m, G35,
     _xlpm.rfr, I35,
     _xlpm.sm_down, INDEX(R.IRR_SM_DOWN, _xlpm.m),
     _xlpm.bm_down, INDEX(R.IRR_BM_DOWN, _xlpm.m),
     _xlpm.rfr * (1 - _xlpm.sm_down) - _xlpm.bm_down)</f>
        <v>1.1408759620355674E-2</v>
      </c>
      <c r="K35" s="75">
        <f t="shared" si="1"/>
        <v>1.1344170512492658E-2</v>
      </c>
      <c r="L35" s="77">
        <v>1.141E-2</v>
      </c>
      <c r="M35" s="75">
        <f t="shared" si="2"/>
        <v>1.1585561706354303E-2</v>
      </c>
      <c r="N35" s="75">
        <f t="shared" si="0"/>
        <v>1.497979477436992E-2</v>
      </c>
      <c r="O35" s="77">
        <v>1.485E-2</v>
      </c>
    </row>
    <row r="36" spans="7:15" x14ac:dyDescent="0.35">
      <c r="G36" s="2">
        <v>15</v>
      </c>
      <c r="H36" s="75">
        <v>3.143E-2</v>
      </c>
      <c r="I36" s="75">
        <v>3.1073798007563491E-2</v>
      </c>
      <c r="J36" s="75" cm="1">
        <f t="array" ref="J36">_xlfn.LET(_xlpm.m, G36,
     _xlpm.rfr, I36,
     _xlpm.sm_down, INDEX(R.IRR_SM_DOWN, _xlpm.m),
     _xlpm.bm_down, INDEX(R.IRR_BM_DOWN, _xlpm.m),
     _xlpm.rfr * (1 - _xlpm.sm_down) - _xlpm.bm_down)</f>
        <v>1.1390588904159921E-2</v>
      </c>
      <c r="K36" s="75">
        <f t="shared" si="1"/>
        <v>1.1326204601825898E-2</v>
      </c>
      <c r="L36" s="77">
        <v>1.1390000000000001E-2</v>
      </c>
      <c r="M36" s="75">
        <f t="shared" si="2"/>
        <v>1.1074681852491247E-2</v>
      </c>
      <c r="N36" s="75">
        <f t="shared" si="0"/>
        <v>1.4468914920506865E-2</v>
      </c>
      <c r="O36" s="77">
        <v>1.4829999999999999E-2</v>
      </c>
    </row>
    <row r="37" spans="7:15" x14ac:dyDescent="0.35">
      <c r="G37" s="7">
        <v>16</v>
      </c>
      <c r="H37" s="75">
        <v>3.1741999999999999E-2</v>
      </c>
      <c r="I37" s="75">
        <v>3.1327924615086822E-2</v>
      </c>
      <c r="J37" s="75" cm="1">
        <f t="array" ref="J37">_xlfn.LET(_xlpm.m, G37,
     _xlpm.rfr, I37,
     _xlpm.sm_down, INDEX(R.IRR_SM_DOWN, _xlpm.m),
     _xlpm.bm_down, INDEX(R.IRR_BM_DOWN, _xlpm.m),
     _xlpm.rfr * (1 - _xlpm.sm_down) - _xlpm.bm_down)</f>
        <v>1.1003800045996017E-2</v>
      </c>
      <c r="K37" s="75">
        <f t="shared" si="1"/>
        <v>1.0943698731563241E-2</v>
      </c>
      <c r="L37" s="77">
        <v>1.0999999999999999E-2</v>
      </c>
      <c r="M37" s="75">
        <f t="shared" si="2"/>
        <v>5.2061106776233879E-3</v>
      </c>
      <c r="N37" s="75">
        <f t="shared" si="0"/>
        <v>8.6003437456390053E-3</v>
      </c>
      <c r="O37" s="77">
        <v>1.444E-2</v>
      </c>
    </row>
    <row r="38" spans="7:15" x14ac:dyDescent="0.35">
      <c r="G38" s="7">
        <v>17</v>
      </c>
      <c r="H38" s="75">
        <v>3.1960000000000002E-2</v>
      </c>
      <c r="I38" s="75">
        <v>3.155220598860331E-2</v>
      </c>
      <c r="J38" s="75" cm="1">
        <f t="array" ref="J38">_xlfn.LET(_xlpm.m, G38,
     _xlpm.rfr, I38,
     _xlpm.sm_down, INDEX(R.IRR_SM_DOWN, _xlpm.m),
     _xlpm.bm_down, INDEX(R.IRR_BM_DOWN, _xlpm.m),
     _xlpm.rfr * (1 - _xlpm.sm_down) - _xlpm.bm_down)</f>
        <v>1.0907147114073723E-2</v>
      </c>
      <c r="K38" s="75">
        <f t="shared" si="1"/>
        <v>1.0848093203405278E-2</v>
      </c>
      <c r="L38" s="77">
        <v>1.091E-2</v>
      </c>
      <c r="M38" s="75">
        <f t="shared" si="2"/>
        <v>9.3184047528778735E-3</v>
      </c>
      <c r="N38" s="75">
        <f t="shared" si="0"/>
        <v>1.2712637820893491E-2</v>
      </c>
      <c r="O38" s="77">
        <v>1.434E-2</v>
      </c>
    </row>
    <row r="39" spans="7:15" x14ac:dyDescent="0.35">
      <c r="G39" s="7">
        <v>18</v>
      </c>
      <c r="H39" s="75">
        <v>3.2131E-2</v>
      </c>
      <c r="I39" s="75">
        <v>3.1751608155370148E-2</v>
      </c>
      <c r="J39" s="75" cm="1">
        <f t="array" ref="J39">_xlfn.LET(_xlpm.m, G39,
     _xlpm.rfr, I39,
     _xlpm.sm_down, INDEX(R.IRR_SM_DOWN, _xlpm.m),
     _xlpm.bm_down, INDEX(R.IRR_BM_DOWN, _xlpm.m),
     _xlpm.rfr * (1 - _xlpm.sm_down) - _xlpm.bm_down)</f>
        <v>1.0793320159238775E-2</v>
      </c>
      <c r="K39" s="75">
        <f t="shared" si="1"/>
        <v>1.0735488040773171E-2</v>
      </c>
      <c r="L39" s="77">
        <v>1.0789999999999999E-2</v>
      </c>
      <c r="M39" s="75">
        <f t="shared" si="2"/>
        <v>8.8212002760273689E-3</v>
      </c>
      <c r="N39" s="75">
        <f t="shared" si="0"/>
        <v>1.2215433344042986E-2</v>
      </c>
      <c r="O39" s="77">
        <v>1.423E-2</v>
      </c>
    </row>
    <row r="40" spans="7:15" x14ac:dyDescent="0.35">
      <c r="G40" s="2">
        <v>19</v>
      </c>
      <c r="H40" s="75">
        <v>3.2272000000000002E-2</v>
      </c>
      <c r="I40" s="75">
        <v>3.1930053292680283E-2</v>
      </c>
      <c r="J40" s="75" cm="1">
        <f t="array" ref="J40">_xlfn.LET(_xlpm.m, G40,
     _xlpm.rfr, I40,
     _xlpm.sm_down, INDEX(R.IRR_SM_DOWN, _xlpm.m),
     _xlpm.bm_down, INDEX(R.IRR_BM_DOWN, _xlpm.m),
     _xlpm.rfr * (1 - _xlpm.sm_down) - _xlpm.bm_down)</f>
        <v>1.1084327179266943E-2</v>
      </c>
      <c r="K40" s="75">
        <f t="shared" si="1"/>
        <v>1.1023346232806385E-2</v>
      </c>
      <c r="L40" s="77">
        <v>1.108E-2</v>
      </c>
      <c r="M40" s="75">
        <f t="shared" si="2"/>
        <v>1.6204793689404223E-2</v>
      </c>
      <c r="N40" s="75">
        <f t="shared" si="0"/>
        <v>1.9599026757419841E-2</v>
      </c>
      <c r="O40" s="77">
        <v>1.452E-2</v>
      </c>
    </row>
    <row r="41" spans="7:15" x14ac:dyDescent="0.35">
      <c r="G41" s="2">
        <v>20</v>
      </c>
      <c r="H41" s="75">
        <v>3.2329999999999998E-2</v>
      </c>
      <c r="I41" s="75">
        <v>3.2090680303737518E-2</v>
      </c>
      <c r="J41" s="75" cm="1">
        <f t="array" ref="J41">_xlfn.LET(_xlpm.m, G41,
     _xlpm.rfr, I41,
     _xlpm.sm_down, INDEX(R.IRR_SM_DOWN, _xlpm.m),
     _xlpm.bm_down, INDEX(R.IRR_BM_DOWN, _xlpm.m),
     _xlpm.rfr * (1 - _xlpm.sm_down) - _xlpm.bm_down)</f>
        <v>1.1045340151868758E-2</v>
      </c>
      <c r="K41" s="75">
        <f t="shared" si="1"/>
        <v>1.0984785869410594E-2</v>
      </c>
      <c r="L41" s="77">
        <v>1.1050000000000001E-2</v>
      </c>
      <c r="M41" s="75">
        <f t="shared" si="2"/>
        <v>1.0252138964890578E-2</v>
      </c>
      <c r="N41" s="75">
        <f t="shared" si="0"/>
        <v>1.3646372032906195E-2</v>
      </c>
      <c r="O41" s="77">
        <v>1.448E-2</v>
      </c>
    </row>
    <row r="42" spans="7:15" x14ac:dyDescent="0.35">
      <c r="G42" s="7">
        <v>21</v>
      </c>
      <c r="H42" s="75">
        <v>3.2460000000000003E-2</v>
      </c>
      <c r="I42" s="75">
        <v>3.2112608705586076E-2</v>
      </c>
      <c r="J42" s="75" cm="1">
        <f t="array" ref="J42">_xlfn.LET(_xlpm.m, G42,
     _xlpm.rfr, I42,
     _xlpm.sm_down, INDEX(R.IRR_SM_DOWN, _xlpm.m),
     _xlpm.bm_down, INDEX(R.IRR_BM_DOWN, _xlpm.m),
     _xlpm.rfr * (1 - _xlpm.sm_down) - _xlpm.bm_down)</f>
        <v>1.1477430439848899E-2</v>
      </c>
      <c r="K42" s="75">
        <f t="shared" si="1"/>
        <v>1.1412064415626753E-2</v>
      </c>
      <c r="L42" s="77">
        <v>1.106E-2</v>
      </c>
      <c r="M42" s="75">
        <f t="shared" si="2"/>
        <v>1.9957635339949931E-2</v>
      </c>
      <c r="N42" s="75">
        <f t="shared" si="0"/>
        <v>2.3351868407965548E-2</v>
      </c>
      <c r="O42" s="77">
        <v>1.438E-2</v>
      </c>
    </row>
    <row r="43" spans="7:15" x14ac:dyDescent="0.35">
      <c r="G43" s="7">
        <v>22</v>
      </c>
      <c r="H43" s="75">
        <v>3.2510999999999998E-2</v>
      </c>
      <c r="I43" s="75">
        <v>3.2132544020653686E-2</v>
      </c>
      <c r="J43" s="75" cm="1">
        <f t="array" ref="J43">_xlfn.LET(_xlpm.m, G43,
     _xlpm.rfr, I43,
     _xlpm.sm_down, INDEX(R.IRR_SM_DOWN, _xlpm.m),
     _xlpm.bm_down, INDEX(R.IRR_BM_DOWN, _xlpm.m),
     _xlpm.rfr * (1 - _xlpm.sm_down) - _xlpm.bm_down)</f>
        <v>1.1166272010326843E-2</v>
      </c>
      <c r="K43" s="75">
        <f t="shared" si="1"/>
        <v>1.1104389434017693E-2</v>
      </c>
      <c r="L43" s="77">
        <v>1.116E-2</v>
      </c>
      <c r="M43" s="75">
        <f t="shared" si="2"/>
        <v>4.6432148202274204E-3</v>
      </c>
      <c r="N43" s="75">
        <f t="shared" si="0"/>
        <v>8.0374478882430378E-3</v>
      </c>
      <c r="O43" s="77">
        <v>1.438E-2</v>
      </c>
    </row>
    <row r="44" spans="7:15" x14ac:dyDescent="0.35">
      <c r="G44" s="7">
        <v>23</v>
      </c>
      <c r="H44" s="75">
        <v>3.2542000000000001E-2</v>
      </c>
      <c r="I44" s="75">
        <v>3.2150746166346389E-2</v>
      </c>
      <c r="J44" s="75" cm="1">
        <f t="array" ref="J44">_xlfn.LET(_xlpm.m, G44,
     _xlpm.rfr, I44,
     _xlpm.sm_down, INDEX(R.IRR_SM_DOWN, _xlpm.m),
     _xlpm.bm_down, INDEX(R.IRR_BM_DOWN, _xlpm.m),
     _xlpm.rfr * (1 - _xlpm.sm_down) - _xlpm.bm_down)</f>
        <v>1.0953865621509733E-2</v>
      </c>
      <c r="K44" s="75">
        <f t="shared" si="1"/>
        <v>1.0894306575293871E-2</v>
      </c>
      <c r="L44" s="77">
        <v>1.1339999999999999E-2</v>
      </c>
      <c r="M44" s="75">
        <f t="shared" si="2"/>
        <v>6.2724836833698006E-3</v>
      </c>
      <c r="N44" s="75">
        <f t="shared" si="0"/>
        <v>9.666716751385418E-3</v>
      </c>
      <c r="O44" s="77">
        <v>1.4460000000000001E-2</v>
      </c>
    </row>
    <row r="45" spans="7:15" x14ac:dyDescent="0.35">
      <c r="G45" s="2">
        <v>24</v>
      </c>
      <c r="H45" s="75">
        <v>3.2550999999999997E-2</v>
      </c>
      <c r="I45" s="75">
        <v>3.2167431748557185E-2</v>
      </c>
      <c r="J45" s="75" cm="1">
        <f t="array" ref="J45">_xlfn.LET(_xlpm.m, G45,
     _xlpm.rfr, I45,
     _xlpm.sm_down, INDEX(R.IRR_SM_DOWN, _xlpm.m),
     _xlpm.bm_down, INDEX(R.IRR_BM_DOWN, _xlpm.m),
     _xlpm.rfr * (1 - _xlpm.sm_down) - _xlpm.bm_down)</f>
        <v>1.096204155679302E-2</v>
      </c>
      <c r="K45" s="75">
        <f t="shared" si="1"/>
        <v>1.0902393890156232E-2</v>
      </c>
      <c r="L45" s="77">
        <v>1.157E-2</v>
      </c>
      <c r="M45" s="75">
        <f t="shared" si="2"/>
        <v>1.1088402131990527E-2</v>
      </c>
      <c r="N45" s="75">
        <f t="shared" si="0"/>
        <v>1.4482635200006144E-2</v>
      </c>
      <c r="O45" s="77">
        <v>1.4590000000000001E-2</v>
      </c>
    </row>
    <row r="46" spans="7:15" x14ac:dyDescent="0.35">
      <c r="G46" s="2">
        <v>25</v>
      </c>
      <c r="H46" s="75">
        <v>3.2500000000000001E-2</v>
      </c>
      <c r="I46" s="75">
        <v>3.2182782722422365E-2</v>
      </c>
      <c r="J46" s="75" cm="1">
        <f t="array" ref="J46">_xlfn.LET(_xlpm.m, G46,
     _xlpm.rfr, I46,
     _xlpm.sm_down, INDEX(R.IRR_SM_DOWN, _xlpm.m),
     _xlpm.bm_down, INDEX(R.IRR_BM_DOWN, _xlpm.m),
     _xlpm.rfr * (1 - _xlpm.sm_down) - _xlpm.bm_down)</f>
        <v>1.0747735706762733E-2</v>
      </c>
      <c r="K46" s="75">
        <f t="shared" si="1"/>
        <v>1.0690389325264529E-2</v>
      </c>
      <c r="L46" s="77">
        <v>1.1849999999999999E-2</v>
      </c>
      <c r="M46" s="75">
        <f t="shared" si="2"/>
        <v>5.6022797678636493E-3</v>
      </c>
      <c r="N46" s="75">
        <f t="shared" si="0"/>
        <v>8.9965128358792668E-3</v>
      </c>
      <c r="O46" s="77">
        <v>1.477E-2</v>
      </c>
    </row>
    <row r="47" spans="7:15" x14ac:dyDescent="0.35">
      <c r="G47" s="7">
        <v>26</v>
      </c>
      <c r="H47" s="75">
        <v>3.2539999999999999E-2</v>
      </c>
      <c r="I47" s="75">
        <v>3.2131567440399689E-2</v>
      </c>
      <c r="J47" s="75" cm="1">
        <f t="array" ref="J47">_xlfn.LET(_xlpm.m, G47,
     _xlpm.rfr, I47,
     _xlpm.sm_down, INDEX(R.IRR_SM_DOWN, _xlpm.m),
     _xlpm.bm_down, INDEX(R.IRR_BM_DOWN, _xlpm.m),
     _xlpm.rfr * (1 - _xlpm.sm_down) - _xlpm.bm_down)</f>
        <v>1.082315237139185E-2</v>
      </c>
      <c r="K47" s="75">
        <f t="shared" si="1"/>
        <v>1.0765001267006281E-2</v>
      </c>
      <c r="L47" s="77">
        <v>1.2149999999999999E-2</v>
      </c>
      <c r="M47" s="75">
        <f t="shared" si="2"/>
        <v>1.2630299810550083E-2</v>
      </c>
      <c r="N47" s="75">
        <f t="shared" si="0"/>
        <v>1.60245328785657E-2</v>
      </c>
      <c r="O47" s="77">
        <v>1.499E-2</v>
      </c>
    </row>
    <row r="48" spans="7:15" x14ac:dyDescent="0.35">
      <c r="G48" s="7">
        <v>27</v>
      </c>
      <c r="H48" s="75">
        <v>3.2528000000000001E-2</v>
      </c>
      <c r="I48" s="75">
        <v>3.2084148148809666E-2</v>
      </c>
      <c r="J48" s="75" cm="1">
        <f t="array" ref="J48">_xlfn.LET(_xlpm.m, G48,
     _xlpm.rfr, I48,
     _xlpm.sm_down, INDEX(R.IRR_SM_DOWN, _xlpm.m),
     _xlpm.bm_down, INDEX(R.IRR_BM_DOWN, _xlpm.m),
     _xlpm.rfr * (1 - _xlpm.sm_down) - _xlpm.bm_down)</f>
        <v>1.0579549629940541E-2</v>
      </c>
      <c r="K48" s="75">
        <f t="shared" si="1"/>
        <v>1.0523977801084038E-2</v>
      </c>
      <c r="L48" s="77">
        <v>1.248E-2</v>
      </c>
      <c r="M48" s="75">
        <f t="shared" si="2"/>
        <v>4.2573676871057176E-3</v>
      </c>
      <c r="N48" s="75">
        <f t="shared" si="0"/>
        <v>7.651600755121335E-3</v>
      </c>
      <c r="O48" s="77">
        <v>1.523E-2</v>
      </c>
    </row>
    <row r="49" spans="7:15" x14ac:dyDescent="0.35">
      <c r="G49" s="7">
        <v>28</v>
      </c>
      <c r="H49" s="75">
        <v>3.2509999999999997E-2</v>
      </c>
      <c r="I49" s="75">
        <v>3.2040117900203446E-2</v>
      </c>
      <c r="J49" s="75" cm="1">
        <f t="array" ref="J49">_xlfn.LET(_xlpm.m, G49,
     _xlpm.rfr, I49,
     _xlpm.sm_down, INDEX(R.IRR_SM_DOWN, _xlpm.m),
     _xlpm.bm_down, INDEX(R.IRR_BM_DOWN, _xlpm.m),
     _xlpm.rfr * (1 - _xlpm.sm_down) - _xlpm.bm_down)</f>
        <v>1.0658855413095619E-2</v>
      </c>
      <c r="K49" s="75">
        <f t="shared" si="1"/>
        <v>1.0602450269247898E-2</v>
      </c>
      <c r="L49" s="77">
        <v>1.282E-2</v>
      </c>
      <c r="M49" s="75">
        <f t="shared" si="2"/>
        <v>1.27212069096721E-2</v>
      </c>
      <c r="N49" s="75">
        <f t="shared" si="0"/>
        <v>1.6115439977687718E-2</v>
      </c>
      <c r="O49" s="77">
        <v>1.549E-2</v>
      </c>
    </row>
    <row r="50" spans="7:15" x14ac:dyDescent="0.35">
      <c r="G50" s="2">
        <v>29</v>
      </c>
      <c r="H50" s="75">
        <v>3.2489999999999998E-2</v>
      </c>
      <c r="I50" s="75">
        <v>3.1999125909014436E-2</v>
      </c>
      <c r="J50" s="75" cm="1">
        <f t="array" ref="J50">_xlfn.LET(_xlpm.m, G50,
     _xlpm.rfr, I50,
     _xlpm.sm_down, INDEX(R.IRR_SM_DOWN, _xlpm.m),
     _xlpm.bm_down, INDEX(R.IRR_BM_DOWN, _xlpm.m),
     _xlpm.rfr * (1 - _xlpm.sm_down) - _xlpm.bm_down)</f>
        <v>1.0839589177236784E-2</v>
      </c>
      <c r="K50" s="75">
        <f t="shared" si="1"/>
        <v>1.0781261947393393E-2</v>
      </c>
      <c r="L50" s="77">
        <v>1.3169999999999999E-2</v>
      </c>
      <c r="M50" s="75">
        <f t="shared" si="2"/>
        <v>1.578798893546729E-2</v>
      </c>
      <c r="N50" s="75">
        <f t="shared" si="0"/>
        <v>1.9182222003482907E-2</v>
      </c>
      <c r="O50" s="77">
        <v>1.5769999999999999E-2</v>
      </c>
    </row>
    <row r="51" spans="7:15" x14ac:dyDescent="0.35">
      <c r="G51" s="2">
        <v>30</v>
      </c>
      <c r="H51" s="75">
        <v>3.2431000000000001E-2</v>
      </c>
      <c r="I51" s="75">
        <v>3.1960868186216462E-2</v>
      </c>
      <c r="J51" s="75" cm="1">
        <f t="array" ref="J51">_xlfn.LET(_xlpm.m, G51,
     _xlpm.rfr, I51,
     _xlpm.sm_down, INDEX(R.IRR_SM_DOWN, _xlpm.m),
     _xlpm.bm_down, INDEX(R.IRR_BM_DOWN, _xlpm.m),
     _xlpm.rfr * (1 - _xlpm.sm_down) - _xlpm.bm_down)</f>
        <v>1.0921608047521736E-2</v>
      </c>
      <c r="K51" s="75">
        <f t="shared" si="1"/>
        <v>1.0862398008806194E-2</v>
      </c>
      <c r="L51" s="77">
        <v>1.353E-2</v>
      </c>
      <c r="M51" s="75">
        <f t="shared" si="2"/>
        <v>1.3215343789777401E-2</v>
      </c>
      <c r="N51" s="75">
        <f t="shared" si="0"/>
        <v>1.6609576857793018E-2</v>
      </c>
      <c r="O51" s="77">
        <v>1.6049999999999998E-2</v>
      </c>
    </row>
    <row r="52" spans="7:15" x14ac:dyDescent="0.35">
      <c r="G52" s="7">
        <v>31</v>
      </c>
      <c r="H52" s="75" t="e">
        <v>#N/A</v>
      </c>
      <c r="I52" s="75">
        <v>3.1861988269642039E-2</v>
      </c>
      <c r="J52" s="75" cm="1">
        <f t="array" ref="J52">_xlfn.LET(_xlpm.m, G52,
     _xlpm.rfr, I52,
     _xlpm.sm_down, INDEX(R.IRR_SM_DOWN, _xlpm.m),
     _xlpm.bm_down, INDEX(R.IRR_BM_DOWN, _xlpm.m),
     _xlpm.rfr * (1 - _xlpm.sm_down) - _xlpm.bm_down)</f>
        <v>1.0975134486731757E-2</v>
      </c>
      <c r="K52" s="75">
        <f t="shared" si="1"/>
        <v>1.0915344767259621E-2</v>
      </c>
      <c r="L52" s="77">
        <v>1.389E-2</v>
      </c>
      <c r="M52" s="75">
        <f t="shared" si="2"/>
        <v>1.2503747520862418E-2</v>
      </c>
      <c r="N52" s="75">
        <f t="shared" si="0"/>
        <v>1.5897980588878036E-2</v>
      </c>
      <c r="O52" s="77">
        <v>1.634E-2</v>
      </c>
    </row>
    <row r="53" spans="7:15" x14ac:dyDescent="0.35">
      <c r="G53" s="7">
        <v>32</v>
      </c>
      <c r="H53" s="75" t="e">
        <v>#N/A</v>
      </c>
      <c r="I53" s="75">
        <v>3.1769296952575132E-2</v>
      </c>
      <c r="J53" s="75" cm="1">
        <f t="array" ref="J53">_xlfn.LET(_xlpm.m, G53,
     _xlpm.rfr, I53,
     _xlpm.sm_down, INDEX(R.IRR_SM_DOWN, _xlpm.m),
     _xlpm.bm_down, INDEX(R.IRR_BM_DOWN, _xlpm.m),
     _xlpm.rfr * (1 - _xlpm.sm_down) - _xlpm.bm_down)</f>
        <v>1.1031569567710311E-2</v>
      </c>
      <c r="K53" s="75">
        <f t="shared" si="1"/>
        <v>1.0971165631631759E-2</v>
      </c>
      <c r="L53" s="77">
        <v>1.4250000000000001E-2</v>
      </c>
      <c r="M53" s="75">
        <f t="shared" si="2"/>
        <v>1.2701612427168052E-2</v>
      </c>
      <c r="N53" s="75">
        <f t="shared" si="0"/>
        <v>1.6095845495183669E-2</v>
      </c>
      <c r="O53" s="77">
        <v>1.6639999999999999E-2</v>
      </c>
    </row>
    <row r="54" spans="7:15" x14ac:dyDescent="0.35">
      <c r="G54" s="7">
        <v>33</v>
      </c>
      <c r="H54" s="75" t="e">
        <v>#N/A</v>
      </c>
      <c r="I54" s="75">
        <v>3.1682230875834438E-2</v>
      </c>
      <c r="J54" s="75" cm="1">
        <f t="array" ref="J54">_xlfn.LET(_xlpm.m, G54,
     _xlpm.rfr, I54,
     _xlpm.sm_down, INDEX(R.IRR_SM_DOWN, _xlpm.m),
     _xlpm.bm_down, INDEX(R.IRR_BM_DOWN, _xlpm.m),
     _xlpm.rfr * (1 - _xlpm.sm_down) - _xlpm.bm_down)</f>
        <v>1.087382620288384E-2</v>
      </c>
      <c r="K54" s="75">
        <f t="shared" si="1"/>
        <v>1.0815131263776015E-2</v>
      </c>
      <c r="L54" s="77">
        <v>1.46E-2</v>
      </c>
      <c r="M54" s="75">
        <f t="shared" si="2"/>
        <v>5.8220314923922434E-3</v>
      </c>
      <c r="N54" s="75">
        <f t="shared" ref="N54:N85" si="3">M54+LN(1+V.TOTAL_VA)</f>
        <v>9.2162645604078608E-3</v>
      </c>
      <c r="O54" s="77">
        <v>1.6930000000000001E-2</v>
      </c>
    </row>
    <row r="55" spans="7:15" x14ac:dyDescent="0.35">
      <c r="G55" s="2">
        <v>34</v>
      </c>
      <c r="H55" s="75" t="e">
        <v>#N/A</v>
      </c>
      <c r="I55" s="75">
        <v>3.1600293044559136E-2</v>
      </c>
      <c r="J55" s="75" cm="1">
        <f t="array" ref="J55">_xlfn.LET(_xlpm.m, G55,
     _xlpm.rfr, I55,
     _xlpm.sm_down, INDEX(R.IRR_SM_DOWN, _xlpm.m),
     _xlpm.bm_down, INDEX(R.IRR_BM_DOWN, _xlpm.m),
     _xlpm.rfr * (1 - _xlpm.sm_down) - _xlpm.bm_down)</f>
        <v>1.09361348004972E-2</v>
      </c>
      <c r="K55" s="75">
        <f t="shared" si="1"/>
        <v>1.0876767717087654E-2</v>
      </c>
      <c r="L55" s="77">
        <v>1.495E-2</v>
      </c>
      <c r="M55" s="75">
        <f t="shared" ref="M55:M86" si="4">G55*K55-G54*K54</f>
        <v>1.2910770676371697E-2</v>
      </c>
      <c r="N55" s="75">
        <f t="shared" si="3"/>
        <v>1.6305003744387314E-2</v>
      </c>
      <c r="O55" s="77">
        <v>1.7219999999999999E-2</v>
      </c>
    </row>
    <row r="56" spans="7:15" x14ac:dyDescent="0.35">
      <c r="G56" s="2">
        <v>35</v>
      </c>
      <c r="H56" s="75" t="e">
        <v>#N/A</v>
      </c>
      <c r="I56" s="75">
        <v>3.1523043335539791E-2</v>
      </c>
      <c r="J56" s="75" cm="1">
        <f t="array" ref="J56">_xlfn.LET(_xlpm.m, G56,
     _xlpm.rfr, I56,
     _xlpm.sm_down, INDEX(R.IRR_SM_DOWN, _xlpm.m),
     _xlpm.bm_down, INDEX(R.IRR_BM_DOWN, _xlpm.m),
     _xlpm.rfr * (1 - _xlpm.sm_down) - _xlpm.bm_down)</f>
        <v>1.1000599934348303E-2</v>
      </c>
      <c r="K56" s="75">
        <f t="shared" si="1"/>
        <v>1.094053344503102E-2</v>
      </c>
      <c r="L56" s="77">
        <v>1.5299999999999999E-2</v>
      </c>
      <c r="M56" s="75">
        <f t="shared" si="4"/>
        <v>1.3108568195105474E-2</v>
      </c>
      <c r="N56" s="75">
        <f t="shared" si="3"/>
        <v>1.6502801263121092E-2</v>
      </c>
      <c r="O56" s="77">
        <v>1.7510000000000001E-2</v>
      </c>
    </row>
    <row r="57" spans="7:15" x14ac:dyDescent="0.35">
      <c r="G57" s="7">
        <v>36</v>
      </c>
      <c r="H57" s="75" t="e">
        <v>#N/A</v>
      </c>
      <c r="I57" s="75">
        <v>3.1450090588614588E-2</v>
      </c>
      <c r="J57" s="75" cm="1">
        <f t="array" ref="J57">_xlfn.LET(_xlpm.m, G57,
     _xlpm.rfr, I57,
     _xlpm.sm_down, INDEX(R.IRR_SM_DOWN, _xlpm.m),
     _xlpm.bm_down, INDEX(R.IRR_BM_DOWN, _xlpm.m),
     _xlpm.rfr * (1 - _xlpm.sm_down) - _xlpm.bm_down)</f>
        <v>1.1067041670762709E-2</v>
      </c>
      <c r="K57" s="75">
        <f t="shared" si="1"/>
        <v>1.1006250075940189E-2</v>
      </c>
      <c r="L57" s="77">
        <v>1.5640000000000001E-2</v>
      </c>
      <c r="M57" s="75">
        <f t="shared" si="4"/>
        <v>1.3306332157761114E-2</v>
      </c>
      <c r="N57" s="75">
        <f t="shared" si="3"/>
        <v>1.6700565225776731E-2</v>
      </c>
      <c r="O57" s="77">
        <v>1.78E-2</v>
      </c>
    </row>
    <row r="58" spans="7:15" x14ac:dyDescent="0.35">
      <c r="G58" s="7">
        <v>37</v>
      </c>
      <c r="H58" s="75" t="e">
        <v>#N/A</v>
      </c>
      <c r="I58" s="75">
        <v>3.1381085982085555E-2</v>
      </c>
      <c r="J58" s="75" cm="1">
        <f t="array" ref="J58">_xlfn.LET(_xlpm.m, G58,
     _xlpm.rfr, I58,
     _xlpm.sm_down, INDEX(R.IRR_SM_DOWN, _xlpm.m),
     _xlpm.bm_down, INDEX(R.IRR_BM_DOWN, _xlpm.m),
     _xlpm.rfr * (1 - _xlpm.sm_down) - _xlpm.bm_down)</f>
        <v>1.0821488691938497E-2</v>
      </c>
      <c r="K58" s="75">
        <f t="shared" si="1"/>
        <v>1.0763355399656976E-2</v>
      </c>
      <c r="L58" s="77">
        <v>1.5970000000000002E-2</v>
      </c>
      <c r="M58" s="75">
        <f t="shared" si="4"/>
        <v>2.0191470534613454E-3</v>
      </c>
      <c r="N58" s="75">
        <f t="shared" si="3"/>
        <v>5.4133801214769628E-3</v>
      </c>
      <c r="O58" s="77">
        <v>1.8069999999999999E-2</v>
      </c>
    </row>
    <row r="59" spans="7:15" x14ac:dyDescent="0.35">
      <c r="G59" s="7">
        <v>38</v>
      </c>
      <c r="H59" s="75" t="e">
        <v>#N/A</v>
      </c>
      <c r="I59" s="75">
        <v>3.1315717455343117E-2</v>
      </c>
      <c r="J59" s="75" cm="1">
        <f t="array" ref="J59">_xlfn.LET(_xlpm.m, G59,
     _xlpm.rfr, I59,
     _xlpm.sm_down, INDEX(R.IRR_SM_DOWN, _xlpm.m),
     _xlpm.bm_down, INDEX(R.IRR_BM_DOWN, _xlpm.m),
     _xlpm.rfr * (1 - _xlpm.sm_down) - _xlpm.bm_down)</f>
        <v>1.0892072854904402E-2</v>
      </c>
      <c r="K59" s="75">
        <f t="shared" si="1"/>
        <v>1.0833181476245875E-2</v>
      </c>
      <c r="L59" s="77">
        <v>1.6299999999999999E-2</v>
      </c>
      <c r="M59" s="75">
        <f t="shared" si="4"/>
        <v>1.3416746310035088E-2</v>
      </c>
      <c r="N59" s="75">
        <f t="shared" si="3"/>
        <v>1.6810979378050706E-2</v>
      </c>
      <c r="O59" s="77">
        <v>1.8350000000000002E-2</v>
      </c>
    </row>
    <row r="60" spans="7:15" x14ac:dyDescent="0.35">
      <c r="G60" s="2">
        <v>39</v>
      </c>
      <c r="H60" s="75" t="e">
        <v>#N/A</v>
      </c>
      <c r="I60" s="75">
        <v>3.1253704990530151E-2</v>
      </c>
      <c r="J60" s="75" cm="1">
        <f t="array" ref="J60">_xlfn.LET(_xlpm.m, G60,
     _xlpm.rfr, I60,
     _xlpm.sm_down, INDEX(R.IRR_SM_DOWN, _xlpm.m),
     _xlpm.bm_down, INDEX(R.IRR_BM_DOWN, _xlpm.m),
     _xlpm.rfr * (1 - _xlpm.sm_down) - _xlpm.bm_down)</f>
        <v>1.0651630195833265E-2</v>
      </c>
      <c r="K60" s="75">
        <f t="shared" si="1"/>
        <v>1.0595301226769036E-2</v>
      </c>
      <c r="L60" s="77">
        <v>1.661E-2</v>
      </c>
      <c r="M60" s="75">
        <f t="shared" si="4"/>
        <v>1.5558517466491284E-3</v>
      </c>
      <c r="N60" s="75">
        <f t="shared" si="3"/>
        <v>4.9500848146647458E-3</v>
      </c>
      <c r="O60" s="77">
        <v>1.8620000000000001E-2</v>
      </c>
    </row>
    <row r="61" spans="7:15" x14ac:dyDescent="0.35">
      <c r="G61" s="2">
        <v>40</v>
      </c>
      <c r="H61" s="75">
        <v>3.2059999999999998E-2</v>
      </c>
      <c r="I61" s="75">
        <v>3.1194796602740382E-2</v>
      </c>
      <c r="J61" s="75" cm="1">
        <f t="array" ref="J61">_xlfn.LET(_xlpm.m, G61,
     _xlpm.rfr, I61,
     _xlpm.sm_down, INDEX(R.IRR_SM_DOWN, _xlpm.m),
     _xlpm.bm_down, INDEX(R.IRR_BM_DOWN, _xlpm.m),
     _xlpm.rfr * (1 - _xlpm.sm_down) - _xlpm.bm_down)</f>
        <v>1.0413762539178365E-2</v>
      </c>
      <c r="K61" s="75">
        <f t="shared" si="1"/>
        <v>1.0359912843386545E-2</v>
      </c>
      <c r="L61" s="77">
        <v>1.6920000000000001E-2</v>
      </c>
      <c r="M61" s="75">
        <f t="shared" si="4"/>
        <v>1.1797658914694531E-3</v>
      </c>
      <c r="N61" s="75">
        <f t="shared" si="3"/>
        <v>4.5739989594850705E-3</v>
      </c>
      <c r="O61" s="77">
        <v>1.8880000000000001E-2</v>
      </c>
    </row>
    <row r="62" spans="7:15" x14ac:dyDescent="0.35">
      <c r="G62" s="7">
        <v>41</v>
      </c>
      <c r="H62" s="75" t="e">
        <v>#N/A</v>
      </c>
      <c r="I62" s="75">
        <v>3.1011027367062738E-2</v>
      </c>
      <c r="J62" s="75" cm="1">
        <f t="array" ref="J62">_xlfn.LET(_xlpm.m, G62,
     _xlpm.rfr, I62,
     _xlpm.sm_down, INDEX(R.IRR_SM_DOWN, _xlpm.m),
     _xlpm.bm_down, INDEX(R.IRR_BM_DOWN, _xlpm.m),
     _xlpm.rfr * (1 - _xlpm.sm_down) - _xlpm.bm_down)</f>
        <v>1.0434741767836979E-2</v>
      </c>
      <c r="K62" s="75">
        <f t="shared" si="1"/>
        <v>1.0380675635465767E-2</v>
      </c>
      <c r="L62" s="77">
        <v>1.7219999999999999E-2</v>
      </c>
      <c r="M62" s="75">
        <f t="shared" si="4"/>
        <v>1.121118731863463E-2</v>
      </c>
      <c r="N62" s="75">
        <f t="shared" si="3"/>
        <v>1.4605420386650247E-2</v>
      </c>
      <c r="O62" s="77">
        <v>1.9130000000000001E-2</v>
      </c>
    </row>
    <row r="63" spans="7:15" x14ac:dyDescent="0.35">
      <c r="G63" s="7">
        <v>42</v>
      </c>
      <c r="H63" s="75" t="e">
        <v>#N/A</v>
      </c>
      <c r="I63" s="75">
        <v>3.0836039494853029E-2</v>
      </c>
      <c r="J63" s="75" cm="1">
        <f t="array" ref="J63">_xlfn.LET(_xlpm.m, G63,
     _xlpm.rfr, I63,
     _xlpm.sm_down, INDEX(R.IRR_SM_DOWN, _xlpm.m),
     _xlpm.bm_down, INDEX(R.IRR_BM_DOWN, _xlpm.m),
     _xlpm.rfr * (1 - _xlpm.sm_down) - _xlpm.bm_down)</f>
        <v>1.0151136587838273E-2</v>
      </c>
      <c r="K63" s="75">
        <f t="shared" si="1"/>
        <v>1.009995984417064E-2</v>
      </c>
      <c r="L63" s="77">
        <v>1.7510000000000001E-2</v>
      </c>
      <c r="M63" s="75">
        <f t="shared" si="4"/>
        <v>-1.4093875989295568E-3</v>
      </c>
      <c r="N63" s="75">
        <f t="shared" si="3"/>
        <v>1.9848454690860602E-3</v>
      </c>
      <c r="O63" s="77">
        <v>1.9380000000000001E-2</v>
      </c>
    </row>
    <row r="64" spans="7:15" x14ac:dyDescent="0.35">
      <c r="G64" s="7">
        <v>43</v>
      </c>
      <c r="H64" s="75" t="e">
        <v>#N/A</v>
      </c>
      <c r="I64" s="75">
        <v>3.0669218253303265E-2</v>
      </c>
      <c r="J64" s="75" cm="1">
        <f t="array" ref="J64">_xlfn.LET(_xlpm.m, G64,
     _xlpm.rfr, I64,
     _xlpm.sm_down, INDEX(R.IRR_SM_DOWN, _xlpm.m),
     _xlpm.bm_down, INDEX(R.IRR_BM_DOWN, _xlpm.m),
     _xlpm.rfr * (1 - _xlpm.sm_down) - _xlpm.bm_down)</f>
        <v>9.8743794838543411E-3</v>
      </c>
      <c r="K64" s="75">
        <f t="shared" si="1"/>
        <v>9.8259463690797376E-3</v>
      </c>
      <c r="L64" s="77">
        <v>1.779E-2</v>
      </c>
      <c r="M64" s="75">
        <f t="shared" si="4"/>
        <v>-1.6826195847381986E-3</v>
      </c>
      <c r="N64" s="75">
        <f t="shared" si="3"/>
        <v>1.7116134832774184E-3</v>
      </c>
      <c r="O64" s="77">
        <v>1.9619999999999999E-2</v>
      </c>
    </row>
    <row r="65" spans="7:15" x14ac:dyDescent="0.35">
      <c r="G65" s="2">
        <v>44</v>
      </c>
      <c r="H65" s="75" t="e">
        <v>#N/A</v>
      </c>
      <c r="I65" s="75">
        <v>3.0510004979567462E-2</v>
      </c>
      <c r="J65" s="75" cm="1">
        <f t="array" ref="J65">_xlfn.LET(_xlpm.m, G65,
     _xlpm.rfr, I65,
     _xlpm.sm_down, INDEX(R.IRR_SM_DOWN, _xlpm.m),
     _xlpm.bm_down, INDEX(R.IRR_BM_DOWN, _xlpm.m),
     _xlpm.rfr * (1 - _xlpm.sm_down) - _xlpm.bm_down)</f>
        <v>9.2989019420313106E-3</v>
      </c>
      <c r="K65" s="75">
        <f t="shared" si="1"/>
        <v>9.2559333219594357E-3</v>
      </c>
      <c r="L65" s="77">
        <v>1.806E-2</v>
      </c>
      <c r="M65" s="75">
        <f t="shared" si="4"/>
        <v>-1.5254627704213541E-2</v>
      </c>
      <c r="N65" s="75">
        <f t="shared" si="3"/>
        <v>-1.1860394636197924E-2</v>
      </c>
      <c r="O65" s="77">
        <v>1.985E-2</v>
      </c>
    </row>
    <row r="66" spans="7:15" x14ac:dyDescent="0.35">
      <c r="G66" s="2">
        <v>45</v>
      </c>
      <c r="H66" s="75" t="e">
        <v>#N/A</v>
      </c>
      <c r="I66" s="75">
        <v>3.0357890830607026E-2</v>
      </c>
      <c r="J66" s="75" cm="1">
        <f t="array" ref="J66">_xlfn.LET(_xlpm.m, G66,
     _xlpm.rfr, I66,
     _xlpm.sm_down, INDEX(R.IRR_SM_DOWN, _xlpm.m),
     _xlpm.bm_down, INDEX(R.IRR_BM_DOWN, _xlpm.m),
     _xlpm.rfr * (1 - _xlpm.sm_down) - _xlpm.bm_down)</f>
        <v>9.0359985156306701E-3</v>
      </c>
      <c r="K66" s="75">
        <f t="shared" si="1"/>
        <v>8.995418153908934E-3</v>
      </c>
      <c r="L66" s="77">
        <v>1.8329999999999999E-2</v>
      </c>
      <c r="M66" s="75">
        <f t="shared" si="4"/>
        <v>-2.4672492403131074E-3</v>
      </c>
      <c r="N66" s="75">
        <f t="shared" si="3"/>
        <v>9.2698382770250954E-4</v>
      </c>
      <c r="O66" s="77">
        <v>2.0080000000000001E-2</v>
      </c>
    </row>
    <row r="67" spans="7:15" x14ac:dyDescent="0.35">
      <c r="G67" s="7">
        <v>46</v>
      </c>
      <c r="H67" s="75" t="e">
        <v>#N/A</v>
      </c>
      <c r="I67" s="75">
        <v>3.0212411350849289E-2</v>
      </c>
      <c r="J67" s="75" cm="1">
        <f t="array" ref="J67">_xlfn.LET(_xlpm.m, G67,
     _xlpm.rfr, I67,
     _xlpm.sm_down, INDEX(R.IRR_SM_DOWN, _xlpm.m),
     _xlpm.bm_down, INDEX(R.IRR_BM_DOWN, _xlpm.m),
     _xlpm.rfr * (1 - _xlpm.sm_down) - _xlpm.bm_down)</f>
        <v>9.1807163133227291E-3</v>
      </c>
      <c r="K67" s="75">
        <f t="shared" si="1"/>
        <v>9.1388297081553983E-3</v>
      </c>
      <c r="L67" s="77">
        <v>1.8579999999999999E-2</v>
      </c>
      <c r="M67" s="75">
        <f t="shared" si="4"/>
        <v>1.5592349649246273E-2</v>
      </c>
      <c r="N67" s="75">
        <f t="shared" si="3"/>
        <v>1.8986582717261891E-2</v>
      </c>
      <c r="O67" s="77">
        <v>2.0299999999999999E-2</v>
      </c>
    </row>
    <row r="68" spans="7:15" x14ac:dyDescent="0.35">
      <c r="G68" s="7">
        <v>47</v>
      </c>
      <c r="H68" s="75" t="e">
        <v>#N/A</v>
      </c>
      <c r="I68" s="75">
        <v>3.0073141735484921E-2</v>
      </c>
      <c r="J68" s="75" cm="1">
        <f t="array" ref="J68">_xlfn.LET(_xlpm.m, G68,
     _xlpm.rfr, I68,
     _xlpm.sm_down, INDEX(R.IRR_SM_DOWN, _xlpm.m),
     _xlpm.bm_down, INDEX(R.IRR_BM_DOWN, _xlpm.m),
     _xlpm.rfr * (1 - _xlpm.sm_down) - _xlpm.bm_down)</f>
        <v>8.9270624421294194E-3</v>
      </c>
      <c r="K68" s="75">
        <f t="shared" si="1"/>
        <v>8.8874517835478319E-3</v>
      </c>
      <c r="L68" s="77">
        <v>1.883E-2</v>
      </c>
      <c r="M68" s="75">
        <f t="shared" si="4"/>
        <v>-2.6759327484002227E-3</v>
      </c>
      <c r="N68" s="75">
        <f t="shared" si="3"/>
        <v>7.1830031961539432E-4</v>
      </c>
      <c r="O68" s="77">
        <v>2.051E-2</v>
      </c>
    </row>
    <row r="69" spans="7:15" x14ac:dyDescent="0.35">
      <c r="G69" s="7">
        <v>48</v>
      </c>
      <c r="H69" s="75" t="e">
        <v>#N/A</v>
      </c>
      <c r="I69" s="75">
        <v>2.9939692687646513E-2</v>
      </c>
      <c r="J69" s="75" cm="1">
        <f t="array" ref="J69">_xlfn.LET(_xlpm.m, G69,
     _xlpm.rfr, I69,
     _xlpm.sm_down, INDEX(R.IRR_SM_DOWN, _xlpm.m),
     _xlpm.bm_down, INDEX(R.IRR_BM_DOWN, _xlpm.m),
     _xlpm.rfr * (1 - _xlpm.sm_down) - _xlpm.bm_down)</f>
        <v>8.6782893675527457E-3</v>
      </c>
      <c r="K69" s="75">
        <f t="shared" si="1"/>
        <v>8.6408494679719137E-3</v>
      </c>
      <c r="L69" s="77">
        <v>1.907E-2</v>
      </c>
      <c r="M69" s="75">
        <f t="shared" si="4"/>
        <v>-2.9494593640962408E-3</v>
      </c>
      <c r="N69" s="75">
        <f t="shared" si="3"/>
        <v>4.4477370391937622E-4</v>
      </c>
      <c r="O69" s="77">
        <v>2.0719999999999999E-2</v>
      </c>
    </row>
    <row r="70" spans="7:15" x14ac:dyDescent="0.35">
      <c r="G70" s="2">
        <v>49</v>
      </c>
      <c r="H70" s="75" t="e">
        <v>#N/A</v>
      </c>
      <c r="I70" s="75">
        <v>2.9811706784378833E-2</v>
      </c>
      <c r="J70" s="75" cm="1">
        <f t="array" ref="J70">_xlfn.LET(_xlpm.m, G70,
     _xlpm.rfr, I70,
     _xlpm.sm_down, INDEX(R.IRR_SM_DOWN, _xlpm.m),
     _xlpm.bm_down, INDEX(R.IRR_BM_DOWN, _xlpm.m),
     _xlpm.rfr * (1 - _xlpm.sm_down) - _xlpm.bm_down)</f>
        <v>8.8322144423763783E-3</v>
      </c>
      <c r="K70" s="75">
        <f t="shared" si="1"/>
        <v>8.7934385869199265E-3</v>
      </c>
      <c r="L70" s="77">
        <v>1.9310000000000001E-2</v>
      </c>
      <c r="M70" s="75">
        <f t="shared" si="4"/>
        <v>1.6117716296424556E-2</v>
      </c>
      <c r="N70" s="75">
        <f t="shared" si="3"/>
        <v>1.9511949364440173E-2</v>
      </c>
      <c r="O70" s="77">
        <v>2.0920000000000001E-2</v>
      </c>
    </row>
    <row r="71" spans="7:15" x14ac:dyDescent="0.35">
      <c r="G71" s="2">
        <v>50</v>
      </c>
      <c r="H71" s="75">
        <v>3.1309999999999998E-2</v>
      </c>
      <c r="I71" s="75">
        <v>2.9688855279960569E-2</v>
      </c>
      <c r="J71" s="75" cm="1">
        <f t="array" ref="J71">_xlfn.LET(_xlpm.m, G71,
     _xlpm.rfr, I71,
     _xlpm.sm_down, INDEX(R.IRR_SM_DOWN, _xlpm.m),
     _xlpm.bm_down, INDEX(R.IRR_BM_DOWN, _xlpm.m),
     _xlpm.rfr * (1 - _xlpm.sm_down) - _xlpm.bm_down)</f>
        <v>8.5910993479861985E-3</v>
      </c>
      <c r="K71" s="75">
        <f t="shared" si="1"/>
        <v>8.5544058624638895E-3</v>
      </c>
      <c r="L71" s="77">
        <v>1.9529999999999999E-2</v>
      </c>
      <c r="M71" s="75">
        <f t="shared" si="4"/>
        <v>-3.1581976358819319E-3</v>
      </c>
      <c r="N71" s="75">
        <f t="shared" si="3"/>
        <v>2.3603543213368506E-4</v>
      </c>
      <c r="O71" s="77">
        <v>2.112E-2</v>
      </c>
    </row>
    <row r="72" spans="7:15" x14ac:dyDescent="0.35">
      <c r="G72" s="7">
        <v>51</v>
      </c>
      <c r="H72" s="75" t="e">
        <v>#N/A</v>
      </c>
      <c r="I72" s="75" t="e">
        <v>#N/A</v>
      </c>
      <c r="J72" s="75" t="e" cm="1">
        <f t="array" ref="J72">_xlfn.LET(_xlpm.m, G72,
     _xlpm.rfr, I72,
     _xlpm.sm_down, INDEX(R.IRR_SM_DOWN, _xlpm.m),
     _xlpm.bm_down, INDEX(R.IRR_BM_DOWN, _xlpm.m),
     _xlpm.rfr * (1 - _xlpm.sm_down) - _xlpm.bm_down)</f>
        <v>#N/A</v>
      </c>
      <c r="K72" s="75" t="e">
        <f t="shared" si="1"/>
        <v>#N/A</v>
      </c>
      <c r="L72" s="77">
        <v>1.975E-2</v>
      </c>
      <c r="M72" s="75" t="e">
        <f t="shared" si="4"/>
        <v>#N/A</v>
      </c>
      <c r="N72" s="75" t="e">
        <f t="shared" si="3"/>
        <v>#N/A</v>
      </c>
      <c r="O72" s="77">
        <v>2.1309999999999999E-2</v>
      </c>
    </row>
    <row r="73" spans="7:15" x14ac:dyDescent="0.35">
      <c r="G73" s="7">
        <v>52</v>
      </c>
      <c r="H73" s="75" t="e">
        <v>#N/A</v>
      </c>
      <c r="I73" s="75" t="e">
        <v>#N/A</v>
      </c>
      <c r="J73" s="75" t="e" cm="1">
        <f t="array" ref="J73">_xlfn.LET(_xlpm.m, G73,
     _xlpm.rfr, I73,
     _xlpm.sm_down, INDEX(R.IRR_SM_DOWN, _xlpm.m),
     _xlpm.bm_down, INDEX(R.IRR_BM_DOWN, _xlpm.m),
     _xlpm.rfr * (1 - _xlpm.sm_down) - _xlpm.bm_down)</f>
        <v>#N/A</v>
      </c>
      <c r="K73" s="75" t="e">
        <f t="shared" si="1"/>
        <v>#N/A</v>
      </c>
      <c r="L73" s="77">
        <v>1.9959999999999999E-2</v>
      </c>
      <c r="M73" s="75" t="e">
        <f t="shared" si="4"/>
        <v>#N/A</v>
      </c>
      <c r="N73" s="75" t="e">
        <f t="shared" si="3"/>
        <v>#N/A</v>
      </c>
      <c r="O73" s="77">
        <v>2.1489999999999999E-2</v>
      </c>
    </row>
    <row r="74" spans="7:15" x14ac:dyDescent="0.35">
      <c r="G74" s="7">
        <v>53</v>
      </c>
      <c r="H74" s="75" t="e">
        <v>#N/A</v>
      </c>
      <c r="I74" s="75" t="e">
        <v>#N/A</v>
      </c>
      <c r="J74" s="75" t="e" cm="1">
        <f t="array" ref="J74">_xlfn.LET(_xlpm.m, G74,
     _xlpm.rfr, I74,
     _xlpm.sm_down, INDEX(R.IRR_SM_DOWN, _xlpm.m),
     _xlpm.bm_down, INDEX(R.IRR_BM_DOWN, _xlpm.m),
     _xlpm.rfr * (1 - _xlpm.sm_down) - _xlpm.bm_down)</f>
        <v>#N/A</v>
      </c>
      <c r="K74" s="75" t="e">
        <f t="shared" si="1"/>
        <v>#N/A</v>
      </c>
      <c r="L74" s="77">
        <v>2.017E-2</v>
      </c>
      <c r="M74" s="75" t="e">
        <f t="shared" si="4"/>
        <v>#N/A</v>
      </c>
      <c r="N74" s="75" t="e">
        <f t="shared" si="3"/>
        <v>#N/A</v>
      </c>
      <c r="O74" s="77">
        <v>2.1669999999999998E-2</v>
      </c>
    </row>
    <row r="75" spans="7:15" x14ac:dyDescent="0.35">
      <c r="G75" s="2">
        <v>54</v>
      </c>
      <c r="H75" s="75" t="e">
        <v>#N/A</v>
      </c>
      <c r="I75" s="75" t="e">
        <v>#N/A</v>
      </c>
      <c r="J75" s="75" t="e" cm="1">
        <f t="array" ref="J75">_xlfn.LET(_xlpm.m, G75,
     _xlpm.rfr, I75,
     _xlpm.sm_down, INDEX(R.IRR_SM_DOWN, _xlpm.m),
     _xlpm.bm_down, INDEX(R.IRR_BM_DOWN, _xlpm.m),
     _xlpm.rfr * (1 - _xlpm.sm_down) - _xlpm.bm_down)</f>
        <v>#N/A</v>
      </c>
      <c r="K75" s="75" t="e">
        <f t="shared" si="1"/>
        <v>#N/A</v>
      </c>
      <c r="L75" s="77">
        <v>2.0369999999999999E-2</v>
      </c>
      <c r="M75" s="75" t="e">
        <f t="shared" si="4"/>
        <v>#N/A</v>
      </c>
      <c r="N75" s="75" t="e">
        <f t="shared" si="3"/>
        <v>#N/A</v>
      </c>
      <c r="O75" s="77">
        <v>2.1839999999999998E-2</v>
      </c>
    </row>
    <row r="76" spans="7:15" x14ac:dyDescent="0.35">
      <c r="G76" s="2">
        <v>55</v>
      </c>
      <c r="H76" s="75" t="e">
        <v>#N/A</v>
      </c>
      <c r="I76" s="75" t="e">
        <v>#N/A</v>
      </c>
      <c r="J76" s="75" t="e" cm="1">
        <f t="array" ref="J76">_xlfn.LET(_xlpm.m, G76,
     _xlpm.rfr, I76,
     _xlpm.sm_down, INDEX(R.IRR_SM_DOWN, _xlpm.m),
     _xlpm.bm_down, INDEX(R.IRR_BM_DOWN, _xlpm.m),
     _xlpm.rfr * (1 - _xlpm.sm_down) - _xlpm.bm_down)</f>
        <v>#N/A</v>
      </c>
      <c r="K76" s="75" t="e">
        <f t="shared" si="1"/>
        <v>#N/A</v>
      </c>
      <c r="L76" s="77">
        <v>2.0559999999999998E-2</v>
      </c>
      <c r="M76" s="75" t="e">
        <f t="shared" si="4"/>
        <v>#N/A</v>
      </c>
      <c r="N76" s="75" t="e">
        <f t="shared" si="3"/>
        <v>#N/A</v>
      </c>
      <c r="O76" s="77">
        <v>2.2009999999999998E-2</v>
      </c>
    </row>
    <row r="77" spans="7:15" x14ac:dyDescent="0.35">
      <c r="G77" s="7">
        <v>56</v>
      </c>
      <c r="H77" s="75" t="e">
        <v>#N/A</v>
      </c>
      <c r="I77" s="75" t="e">
        <v>#N/A</v>
      </c>
      <c r="J77" s="75" t="e" cm="1">
        <f t="array" ref="J77">_xlfn.LET(_xlpm.m, G77,
     _xlpm.rfr, I77,
     _xlpm.sm_down, INDEX(R.IRR_SM_DOWN, _xlpm.m),
     _xlpm.bm_down, INDEX(R.IRR_BM_DOWN, _xlpm.m),
     _xlpm.rfr * (1 - _xlpm.sm_down) - _xlpm.bm_down)</f>
        <v>#N/A</v>
      </c>
      <c r="K77" s="75" t="e">
        <f t="shared" si="1"/>
        <v>#N/A</v>
      </c>
      <c r="L77" s="77">
        <v>2.0750000000000001E-2</v>
      </c>
      <c r="M77" s="75" t="e">
        <f t="shared" si="4"/>
        <v>#N/A</v>
      </c>
      <c r="N77" s="75" t="e">
        <f t="shared" si="3"/>
        <v>#N/A</v>
      </c>
      <c r="O77" s="77">
        <v>2.2169999999999999E-2</v>
      </c>
    </row>
    <row r="78" spans="7:15" x14ac:dyDescent="0.35">
      <c r="G78" s="7">
        <v>57</v>
      </c>
      <c r="H78" s="75" t="e">
        <v>#N/A</v>
      </c>
      <c r="I78" s="75" t="e">
        <v>#N/A</v>
      </c>
      <c r="J78" s="75" t="e" cm="1">
        <f t="array" ref="J78">_xlfn.LET(_xlpm.m, G78,
     _xlpm.rfr, I78,
     _xlpm.sm_down, INDEX(R.IRR_SM_DOWN, _xlpm.m),
     _xlpm.bm_down, INDEX(R.IRR_BM_DOWN, _xlpm.m),
     _xlpm.rfr * (1 - _xlpm.sm_down) - _xlpm.bm_down)</f>
        <v>#N/A</v>
      </c>
      <c r="K78" s="75" t="e">
        <f t="shared" si="1"/>
        <v>#N/A</v>
      </c>
      <c r="L78" s="77">
        <v>2.0930000000000001E-2</v>
      </c>
      <c r="M78" s="75" t="e">
        <f t="shared" si="4"/>
        <v>#N/A</v>
      </c>
      <c r="N78" s="75" t="e">
        <f t="shared" si="3"/>
        <v>#N/A</v>
      </c>
      <c r="O78" s="77">
        <v>2.232E-2</v>
      </c>
    </row>
    <row r="79" spans="7:15" x14ac:dyDescent="0.35">
      <c r="G79" s="7">
        <v>58</v>
      </c>
      <c r="H79" s="75" t="e">
        <v>#N/A</v>
      </c>
      <c r="I79" s="75" t="e">
        <v>#N/A</v>
      </c>
      <c r="J79" s="75" t="e" cm="1">
        <f t="array" ref="J79">_xlfn.LET(_xlpm.m, G79,
     _xlpm.rfr, I79,
     _xlpm.sm_down, INDEX(R.IRR_SM_DOWN, _xlpm.m),
     _xlpm.bm_down, INDEX(R.IRR_BM_DOWN, _xlpm.m),
     _xlpm.rfr * (1 - _xlpm.sm_down) - _xlpm.bm_down)</f>
        <v>#N/A</v>
      </c>
      <c r="K79" s="75" t="e">
        <f t="shared" si="1"/>
        <v>#N/A</v>
      </c>
      <c r="L79" s="77">
        <v>2.1100000000000001E-2</v>
      </c>
      <c r="M79" s="75" t="e">
        <f t="shared" si="4"/>
        <v>#N/A</v>
      </c>
      <c r="N79" s="75" t="e">
        <f t="shared" si="3"/>
        <v>#N/A</v>
      </c>
      <c r="O79" s="77">
        <v>2.248E-2</v>
      </c>
    </row>
    <row r="80" spans="7:15" x14ac:dyDescent="0.35">
      <c r="G80" s="2">
        <v>59</v>
      </c>
      <c r="H80" s="75" t="e">
        <v>#N/A</v>
      </c>
      <c r="I80" s="75" t="e">
        <v>#N/A</v>
      </c>
      <c r="J80" s="75" t="e" cm="1">
        <f t="array" ref="J80">_xlfn.LET(_xlpm.m, G80,
     _xlpm.rfr, I80,
     _xlpm.sm_down, INDEX(R.IRR_SM_DOWN, _xlpm.m),
     _xlpm.bm_down, INDEX(R.IRR_BM_DOWN, _xlpm.m),
     _xlpm.rfr * (1 - _xlpm.sm_down) - _xlpm.bm_down)</f>
        <v>#N/A</v>
      </c>
      <c r="K80" s="75" t="e">
        <f t="shared" si="1"/>
        <v>#N/A</v>
      </c>
      <c r="L80" s="77">
        <v>2.1270000000000001E-2</v>
      </c>
      <c r="M80" s="75" t="e">
        <f t="shared" si="4"/>
        <v>#N/A</v>
      </c>
      <c r="N80" s="75" t="e">
        <f t="shared" si="3"/>
        <v>#N/A</v>
      </c>
      <c r="O80" s="77">
        <v>2.2620000000000001E-2</v>
      </c>
    </row>
    <row r="81" spans="7:15" x14ac:dyDescent="0.35">
      <c r="G81" s="2">
        <v>60</v>
      </c>
      <c r="H81" s="75" t="e">
        <v>#N/A</v>
      </c>
      <c r="I81" s="75" t="e">
        <v>#N/A</v>
      </c>
      <c r="J81" s="75" t="e" cm="1">
        <f t="array" ref="J81">_xlfn.LET(_xlpm.m, G81,
     _xlpm.rfr, I81,
     _xlpm.sm_down, INDEX(R.IRR_SM_DOWN, _xlpm.m),
     _xlpm.bm_down, INDEX(R.IRR_BM_DOWN, _xlpm.m),
     _xlpm.rfr * (1 - _xlpm.sm_down) - _xlpm.bm_down)</f>
        <v>#N/A</v>
      </c>
      <c r="K81" s="75" t="e">
        <f t="shared" si="1"/>
        <v>#N/A</v>
      </c>
      <c r="L81" s="77">
        <v>2.1440000000000001E-2</v>
      </c>
      <c r="M81" s="75" t="e">
        <f t="shared" si="4"/>
        <v>#N/A</v>
      </c>
      <c r="N81" s="75" t="e">
        <f t="shared" si="3"/>
        <v>#N/A</v>
      </c>
      <c r="O81" s="77">
        <v>2.2769999999999999E-2</v>
      </c>
    </row>
    <row r="82" spans="7:15" x14ac:dyDescent="0.35">
      <c r="G82" s="7">
        <v>61</v>
      </c>
      <c r="H82" s="75" t="e">
        <v>#N/A</v>
      </c>
      <c r="I82" s="75" t="e">
        <v>#N/A</v>
      </c>
      <c r="J82" s="75" t="e" cm="1">
        <f t="array" ref="J82">_xlfn.LET(_xlpm.m, G82,
     _xlpm.rfr, I82,
     _xlpm.sm_down, INDEX(R.IRR_SM_DOWN, _xlpm.m),
     _xlpm.bm_down, INDEX(R.IRR_BM_DOWN, _xlpm.m),
     _xlpm.rfr * (1 - _xlpm.sm_down) - _xlpm.bm_down)</f>
        <v>#N/A</v>
      </c>
      <c r="K82" s="75" t="e">
        <f t="shared" si="1"/>
        <v>#N/A</v>
      </c>
      <c r="L82" s="77">
        <v>2.1600000000000001E-2</v>
      </c>
      <c r="M82" s="75" t="e">
        <f t="shared" si="4"/>
        <v>#N/A</v>
      </c>
      <c r="N82" s="75" t="e">
        <f t="shared" si="3"/>
        <v>#N/A</v>
      </c>
      <c r="O82" s="77">
        <v>2.29E-2</v>
      </c>
    </row>
    <row r="83" spans="7:15" x14ac:dyDescent="0.35">
      <c r="G83" s="7">
        <v>62</v>
      </c>
      <c r="H83" s="75" t="e">
        <v>#N/A</v>
      </c>
      <c r="I83" s="75" t="e">
        <v>#N/A</v>
      </c>
      <c r="J83" s="75" t="e" cm="1">
        <f t="array" ref="J83">_xlfn.LET(_xlpm.m, G83,
     _xlpm.rfr, I83,
     _xlpm.sm_down, INDEX(R.IRR_SM_DOWN, _xlpm.m),
     _xlpm.bm_down, INDEX(R.IRR_BM_DOWN, _xlpm.m),
     _xlpm.rfr * (1 - _xlpm.sm_down) - _xlpm.bm_down)</f>
        <v>#N/A</v>
      </c>
      <c r="K83" s="75" t="e">
        <f t="shared" si="1"/>
        <v>#N/A</v>
      </c>
      <c r="L83" s="77">
        <v>2.1749999999999999E-2</v>
      </c>
      <c r="M83" s="75" t="e">
        <f t="shared" si="4"/>
        <v>#N/A</v>
      </c>
      <c r="N83" s="75" t="e">
        <f t="shared" si="3"/>
        <v>#N/A</v>
      </c>
      <c r="O83" s="77">
        <v>2.3040000000000001E-2</v>
      </c>
    </row>
    <row r="84" spans="7:15" x14ac:dyDescent="0.35">
      <c r="G84" s="7">
        <v>63</v>
      </c>
      <c r="H84" s="75" t="e">
        <v>#N/A</v>
      </c>
      <c r="I84" s="75" t="e">
        <v>#N/A</v>
      </c>
      <c r="J84" s="75" t="e" cm="1">
        <f t="array" ref="J84">_xlfn.LET(_xlpm.m, G84,
     _xlpm.rfr, I84,
     _xlpm.sm_down, INDEX(R.IRR_SM_DOWN, _xlpm.m),
     _xlpm.bm_down, INDEX(R.IRR_BM_DOWN, _xlpm.m),
     _xlpm.rfr * (1 - _xlpm.sm_down) - _xlpm.bm_down)</f>
        <v>#N/A</v>
      </c>
      <c r="K84" s="75" t="e">
        <f t="shared" si="1"/>
        <v>#N/A</v>
      </c>
      <c r="L84" s="77">
        <v>2.1899999999999999E-2</v>
      </c>
      <c r="M84" s="75" t="e">
        <f t="shared" si="4"/>
        <v>#N/A</v>
      </c>
      <c r="N84" s="75" t="e">
        <f t="shared" si="3"/>
        <v>#N/A</v>
      </c>
      <c r="O84" s="77">
        <v>2.317E-2</v>
      </c>
    </row>
    <row r="85" spans="7:15" x14ac:dyDescent="0.35">
      <c r="G85" s="2">
        <v>64</v>
      </c>
      <c r="H85" s="75" t="e">
        <v>#N/A</v>
      </c>
      <c r="I85" s="75" t="e">
        <v>#N/A</v>
      </c>
      <c r="J85" s="75" t="e" cm="1">
        <f t="array" ref="J85">_xlfn.LET(_xlpm.m, G85,
     _xlpm.rfr, I85,
     _xlpm.sm_down, INDEX(R.IRR_SM_DOWN, _xlpm.m),
     _xlpm.bm_down, INDEX(R.IRR_BM_DOWN, _xlpm.m),
     _xlpm.rfr * (1 - _xlpm.sm_down) - _xlpm.bm_down)</f>
        <v>#N/A</v>
      </c>
      <c r="K85" s="75" t="e">
        <f t="shared" si="1"/>
        <v>#N/A</v>
      </c>
      <c r="L85" s="77">
        <v>2.205E-2</v>
      </c>
      <c r="M85" s="75" t="e">
        <f t="shared" si="4"/>
        <v>#N/A</v>
      </c>
      <c r="N85" s="75" t="e">
        <f t="shared" si="3"/>
        <v>#N/A</v>
      </c>
      <c r="O85" s="77">
        <v>2.3300000000000001E-2</v>
      </c>
    </row>
    <row r="86" spans="7:15" x14ac:dyDescent="0.35">
      <c r="G86" s="2">
        <v>65</v>
      </c>
      <c r="H86" s="75" t="e">
        <v>#N/A</v>
      </c>
      <c r="I86" s="75" t="e">
        <v>#N/A</v>
      </c>
      <c r="J86" s="75" t="e" cm="1">
        <f t="array" ref="J86">_xlfn.LET(_xlpm.m, G86,
     _xlpm.rfr, I86,
     _xlpm.sm_down, INDEX(R.IRR_SM_DOWN, _xlpm.m),
     _xlpm.bm_down, INDEX(R.IRR_BM_DOWN, _xlpm.m),
     _xlpm.rfr * (1 - _xlpm.sm_down) - _xlpm.bm_down)</f>
        <v>#N/A</v>
      </c>
      <c r="K86" s="75" t="e">
        <f t="shared" si="1"/>
        <v>#N/A</v>
      </c>
      <c r="L86" s="77">
        <v>2.2190000000000001E-2</v>
      </c>
      <c r="M86" s="75" t="e">
        <f t="shared" si="4"/>
        <v>#N/A</v>
      </c>
      <c r="N86" s="75" t="e">
        <f t="shared" ref="N86:N117" si="5">M86+LN(1+V.TOTAL_VA)</f>
        <v>#N/A</v>
      </c>
      <c r="O86" s="77">
        <v>2.342E-2</v>
      </c>
    </row>
    <row r="87" spans="7:15" x14ac:dyDescent="0.35">
      <c r="G87" s="7">
        <v>66</v>
      </c>
      <c r="H87" s="75" t="e">
        <v>#N/A</v>
      </c>
      <c r="I87" s="75" t="e">
        <v>#N/A</v>
      </c>
      <c r="J87" s="75" t="e" cm="1">
        <f t="array" ref="J87">_xlfn.LET(_xlpm.m, G87,
     _xlpm.rfr, I87,
     _xlpm.sm_down, INDEX(R.IRR_SM_DOWN, _xlpm.m),
     _xlpm.bm_down, INDEX(R.IRR_BM_DOWN, _xlpm.m),
     _xlpm.rfr * (1 - _xlpm.sm_down) - _xlpm.bm_down)</f>
        <v>#N/A</v>
      </c>
      <c r="K87" s="75" t="e">
        <f t="shared" ref="K87:K150" si="6">LN(1+J87)</f>
        <v>#N/A</v>
      </c>
      <c r="L87" s="77">
        <v>2.2329999999999999E-2</v>
      </c>
      <c r="M87" s="75" t="e">
        <f t="shared" ref="M87:M118" si="7">G87*K87-G86*K86</f>
        <v>#N/A</v>
      </c>
      <c r="N87" s="75" t="e">
        <f t="shared" si="5"/>
        <v>#N/A</v>
      </c>
      <c r="O87" s="77">
        <v>2.3539999999999998E-2</v>
      </c>
    </row>
    <row r="88" spans="7:15" x14ac:dyDescent="0.35">
      <c r="G88" s="7">
        <v>67</v>
      </c>
      <c r="H88" s="75" t="e">
        <v>#N/A</v>
      </c>
      <c r="I88" s="75" t="e">
        <v>#N/A</v>
      </c>
      <c r="J88" s="75" t="e" cm="1">
        <f t="array" ref="J88">_xlfn.LET(_xlpm.m, G88,
     _xlpm.rfr, I88,
     _xlpm.sm_down, INDEX(R.IRR_SM_DOWN, _xlpm.m),
     _xlpm.bm_down, INDEX(R.IRR_BM_DOWN, _xlpm.m),
     _xlpm.rfr * (1 - _xlpm.sm_down) - _xlpm.bm_down)</f>
        <v>#N/A</v>
      </c>
      <c r="K88" s="75" t="e">
        <f t="shared" si="6"/>
        <v>#N/A</v>
      </c>
      <c r="L88" s="77">
        <v>2.247E-2</v>
      </c>
      <c r="M88" s="75" t="e">
        <f t="shared" si="7"/>
        <v>#N/A</v>
      </c>
      <c r="N88" s="75" t="e">
        <f t="shared" si="5"/>
        <v>#N/A</v>
      </c>
      <c r="O88" s="77">
        <v>2.366E-2</v>
      </c>
    </row>
    <row r="89" spans="7:15" x14ac:dyDescent="0.35">
      <c r="G89" s="7">
        <v>68</v>
      </c>
      <c r="H89" s="75" t="e">
        <v>#N/A</v>
      </c>
      <c r="I89" s="75" t="e">
        <v>#N/A</v>
      </c>
      <c r="J89" s="75" t="e" cm="1">
        <f t="array" ref="J89">_xlfn.LET(_xlpm.m, G89,
     _xlpm.rfr, I89,
     _xlpm.sm_down, INDEX(R.IRR_SM_DOWN, _xlpm.m),
     _xlpm.bm_down, INDEX(R.IRR_BM_DOWN, _xlpm.m),
     _xlpm.rfr * (1 - _xlpm.sm_down) - _xlpm.bm_down)</f>
        <v>#N/A</v>
      </c>
      <c r="K89" s="75" t="e">
        <f t="shared" si="6"/>
        <v>#N/A</v>
      </c>
      <c r="L89" s="77">
        <v>2.2599999999999999E-2</v>
      </c>
      <c r="M89" s="75" t="e">
        <f t="shared" si="7"/>
        <v>#N/A</v>
      </c>
      <c r="N89" s="75" t="e">
        <f t="shared" si="5"/>
        <v>#N/A</v>
      </c>
      <c r="O89" s="77">
        <v>2.3769999999999999E-2</v>
      </c>
    </row>
    <row r="90" spans="7:15" x14ac:dyDescent="0.35">
      <c r="G90" s="2">
        <v>69</v>
      </c>
      <c r="H90" s="75" t="e">
        <v>#N/A</v>
      </c>
      <c r="I90" s="75" t="e">
        <v>#N/A</v>
      </c>
      <c r="J90" s="75" t="e" cm="1">
        <f t="array" ref="J90">_xlfn.LET(_xlpm.m, G90,
     _xlpm.rfr, I90,
     _xlpm.sm_down, INDEX(R.IRR_SM_DOWN, _xlpm.m),
     _xlpm.bm_down, INDEX(R.IRR_BM_DOWN, _xlpm.m),
     _xlpm.rfr * (1 - _xlpm.sm_down) - _xlpm.bm_down)</f>
        <v>#N/A</v>
      </c>
      <c r="K90" s="75" t="e">
        <f t="shared" si="6"/>
        <v>#N/A</v>
      </c>
      <c r="L90" s="77">
        <v>2.2720000000000001E-2</v>
      </c>
      <c r="M90" s="75" t="e">
        <f t="shared" si="7"/>
        <v>#N/A</v>
      </c>
      <c r="N90" s="75" t="e">
        <f t="shared" si="5"/>
        <v>#N/A</v>
      </c>
      <c r="O90" s="77">
        <v>2.3879999999999998E-2</v>
      </c>
    </row>
    <row r="91" spans="7:15" x14ac:dyDescent="0.35">
      <c r="G91" s="2">
        <v>70</v>
      </c>
      <c r="H91" s="75" t="e">
        <v>#N/A</v>
      </c>
      <c r="I91" s="75" t="e">
        <v>#N/A</v>
      </c>
      <c r="J91" s="75" t="e" cm="1">
        <f t="array" ref="J91">_xlfn.LET(_xlpm.m, G91,
     _xlpm.rfr, I91,
     _xlpm.sm_down, INDEX(R.IRR_SM_DOWN, _xlpm.m),
     _xlpm.bm_down, INDEX(R.IRR_BM_DOWN, _xlpm.m),
     _xlpm.rfr * (1 - _xlpm.sm_down) - _xlpm.bm_down)</f>
        <v>#N/A</v>
      </c>
      <c r="K91" s="75" t="e">
        <f t="shared" si="6"/>
        <v>#N/A</v>
      </c>
      <c r="L91" s="77">
        <v>2.2849999999999999E-2</v>
      </c>
      <c r="M91" s="75" t="e">
        <f t="shared" si="7"/>
        <v>#N/A</v>
      </c>
      <c r="N91" s="75" t="e">
        <f t="shared" si="5"/>
        <v>#N/A</v>
      </c>
      <c r="O91" s="77">
        <v>2.3990000000000001E-2</v>
      </c>
    </row>
    <row r="92" spans="7:15" x14ac:dyDescent="0.35">
      <c r="G92" s="7">
        <v>71</v>
      </c>
      <c r="H92" s="75" t="e">
        <v>#N/A</v>
      </c>
      <c r="I92" s="75" t="e">
        <v>#N/A</v>
      </c>
      <c r="J92" s="75" t="e" cm="1">
        <f t="array" ref="J92">_xlfn.LET(_xlpm.m, G92,
     _xlpm.rfr, I92,
     _xlpm.sm_down, INDEX(R.IRR_SM_DOWN, _xlpm.m),
     _xlpm.bm_down, INDEX(R.IRR_BM_DOWN, _xlpm.m),
     _xlpm.rfr * (1 - _xlpm.sm_down) - _xlpm.bm_down)</f>
        <v>#N/A</v>
      </c>
      <c r="K92" s="75" t="e">
        <f t="shared" si="6"/>
        <v>#N/A</v>
      </c>
      <c r="L92" s="77">
        <v>2.2970000000000001E-2</v>
      </c>
      <c r="M92" s="75" t="e">
        <f t="shared" si="7"/>
        <v>#N/A</v>
      </c>
      <c r="N92" s="75" t="e">
        <f t="shared" si="5"/>
        <v>#N/A</v>
      </c>
      <c r="O92" s="77">
        <v>2.409E-2</v>
      </c>
    </row>
    <row r="93" spans="7:15" x14ac:dyDescent="0.35">
      <c r="G93" s="7">
        <v>72</v>
      </c>
      <c r="H93" s="75" t="e">
        <v>#N/A</v>
      </c>
      <c r="I93" s="75" t="e">
        <v>#N/A</v>
      </c>
      <c r="J93" s="75" t="e" cm="1">
        <f t="array" ref="J93">_xlfn.LET(_xlpm.m, G93,
     _xlpm.rfr, I93,
     _xlpm.sm_down, INDEX(R.IRR_SM_DOWN, _xlpm.m),
     _xlpm.bm_down, INDEX(R.IRR_BM_DOWN, _xlpm.m),
     _xlpm.rfr * (1 - _xlpm.sm_down) - _xlpm.bm_down)</f>
        <v>#N/A</v>
      </c>
      <c r="K93" s="75" t="e">
        <f t="shared" si="6"/>
        <v>#N/A</v>
      </c>
      <c r="L93" s="77">
        <v>2.308E-2</v>
      </c>
      <c r="M93" s="75" t="e">
        <f t="shared" si="7"/>
        <v>#N/A</v>
      </c>
      <c r="N93" s="75" t="e">
        <f t="shared" si="5"/>
        <v>#N/A</v>
      </c>
      <c r="O93" s="77">
        <v>2.419E-2</v>
      </c>
    </row>
    <row r="94" spans="7:15" x14ac:dyDescent="0.35">
      <c r="G94" s="7">
        <v>73</v>
      </c>
      <c r="H94" s="75" t="e">
        <v>#N/A</v>
      </c>
      <c r="I94" s="75" t="e">
        <v>#N/A</v>
      </c>
      <c r="J94" s="75" t="e" cm="1">
        <f t="array" ref="J94">_xlfn.LET(_xlpm.m, G94,
     _xlpm.rfr, I94,
     _xlpm.sm_down, INDEX(R.IRR_SM_DOWN, _xlpm.m),
     _xlpm.bm_down, INDEX(R.IRR_BM_DOWN, _xlpm.m),
     _xlpm.rfr * (1 - _xlpm.sm_down) - _xlpm.bm_down)</f>
        <v>#N/A</v>
      </c>
      <c r="K94" s="75" t="e">
        <f t="shared" si="6"/>
        <v>#N/A</v>
      </c>
      <c r="L94" s="77">
        <v>2.3199999999999998E-2</v>
      </c>
      <c r="M94" s="75" t="e">
        <f t="shared" si="7"/>
        <v>#N/A</v>
      </c>
      <c r="N94" s="75" t="e">
        <f t="shared" si="5"/>
        <v>#N/A</v>
      </c>
      <c r="O94" s="77">
        <v>2.4289999999999999E-2</v>
      </c>
    </row>
    <row r="95" spans="7:15" x14ac:dyDescent="0.35">
      <c r="G95" s="2">
        <v>74</v>
      </c>
      <c r="H95" s="75" t="e">
        <v>#N/A</v>
      </c>
      <c r="I95" s="75" t="e">
        <v>#N/A</v>
      </c>
      <c r="J95" s="75" t="e" cm="1">
        <f t="array" ref="J95">_xlfn.LET(_xlpm.m, G95,
     _xlpm.rfr, I95,
     _xlpm.sm_down, INDEX(R.IRR_SM_DOWN, _xlpm.m),
     _xlpm.bm_down, INDEX(R.IRR_BM_DOWN, _xlpm.m),
     _xlpm.rfr * (1 - _xlpm.sm_down) - _xlpm.bm_down)</f>
        <v>#N/A</v>
      </c>
      <c r="K95" s="75" t="e">
        <f t="shared" si="6"/>
        <v>#N/A</v>
      </c>
      <c r="L95" s="77">
        <v>2.3310000000000001E-2</v>
      </c>
      <c r="M95" s="75" t="e">
        <f t="shared" si="7"/>
        <v>#N/A</v>
      </c>
      <c r="N95" s="75" t="e">
        <f t="shared" si="5"/>
        <v>#N/A</v>
      </c>
      <c r="O95" s="77">
        <v>2.4389999999999998E-2</v>
      </c>
    </row>
    <row r="96" spans="7:15" x14ac:dyDescent="0.35">
      <c r="G96" s="2">
        <v>75</v>
      </c>
      <c r="H96" s="75" t="e">
        <v>#N/A</v>
      </c>
      <c r="I96" s="75" t="e">
        <v>#N/A</v>
      </c>
      <c r="J96" s="75" t="e" cm="1">
        <f t="array" ref="J96">_xlfn.LET(_xlpm.m, G96,
     _xlpm.rfr, I96,
     _xlpm.sm_down, INDEX(R.IRR_SM_DOWN, _xlpm.m),
     _xlpm.bm_down, INDEX(R.IRR_BM_DOWN, _xlpm.m),
     _xlpm.rfr * (1 - _xlpm.sm_down) - _xlpm.bm_down)</f>
        <v>#N/A</v>
      </c>
      <c r="K96" s="75" t="e">
        <f t="shared" si="6"/>
        <v>#N/A</v>
      </c>
      <c r="L96" s="77">
        <v>2.342E-2</v>
      </c>
      <c r="M96" s="75" t="e">
        <f t="shared" si="7"/>
        <v>#N/A</v>
      </c>
      <c r="N96" s="75" t="e">
        <f t="shared" si="5"/>
        <v>#N/A</v>
      </c>
      <c r="O96" s="77">
        <v>2.4479999999999998E-2</v>
      </c>
    </row>
    <row r="97" spans="7:15" x14ac:dyDescent="0.35">
      <c r="G97" s="7">
        <v>76</v>
      </c>
      <c r="H97" s="75" t="e">
        <v>#N/A</v>
      </c>
      <c r="I97" s="75" t="e">
        <v>#N/A</v>
      </c>
      <c r="J97" s="75" t="e" cm="1">
        <f t="array" ref="J97">_xlfn.LET(_xlpm.m, G97,
     _xlpm.rfr, I97,
     _xlpm.sm_down, INDEX(R.IRR_SM_DOWN, _xlpm.m),
     _xlpm.bm_down, INDEX(R.IRR_BM_DOWN, _xlpm.m),
     _xlpm.rfr * (1 - _xlpm.sm_down) - _xlpm.bm_down)</f>
        <v>#N/A</v>
      </c>
      <c r="K97" s="75" t="e">
        <f t="shared" si="6"/>
        <v>#N/A</v>
      </c>
      <c r="L97" s="77">
        <v>2.3519999999999999E-2</v>
      </c>
      <c r="M97" s="75" t="e">
        <f t="shared" si="7"/>
        <v>#N/A</v>
      </c>
      <c r="N97" s="75" t="e">
        <f t="shared" si="5"/>
        <v>#N/A</v>
      </c>
      <c r="O97" s="77">
        <v>2.4570000000000002E-2</v>
      </c>
    </row>
    <row r="98" spans="7:15" x14ac:dyDescent="0.35">
      <c r="G98" s="7">
        <v>77</v>
      </c>
      <c r="H98" s="75" t="e">
        <v>#N/A</v>
      </c>
      <c r="I98" s="75" t="e">
        <v>#N/A</v>
      </c>
      <c r="J98" s="75" t="e" cm="1">
        <f t="array" ref="J98">_xlfn.LET(_xlpm.m, G98,
     _xlpm.rfr, I98,
     _xlpm.sm_down, INDEX(R.IRR_SM_DOWN, _xlpm.m),
     _xlpm.bm_down, INDEX(R.IRR_BM_DOWN, _xlpm.m),
     _xlpm.rfr * (1 - _xlpm.sm_down) - _xlpm.bm_down)</f>
        <v>#N/A</v>
      </c>
      <c r="K98" s="75" t="e">
        <f t="shared" si="6"/>
        <v>#N/A</v>
      </c>
      <c r="L98" s="77">
        <v>2.3619999999999999E-2</v>
      </c>
      <c r="M98" s="75" t="e">
        <f t="shared" si="7"/>
        <v>#N/A</v>
      </c>
      <c r="N98" s="75" t="e">
        <f t="shared" si="5"/>
        <v>#N/A</v>
      </c>
      <c r="O98" s="77">
        <v>2.4660000000000001E-2</v>
      </c>
    </row>
    <row r="99" spans="7:15" x14ac:dyDescent="0.35">
      <c r="G99" s="7">
        <v>78</v>
      </c>
      <c r="H99" s="75" t="e">
        <v>#N/A</v>
      </c>
      <c r="I99" s="75" t="e">
        <v>#N/A</v>
      </c>
      <c r="J99" s="75" t="e" cm="1">
        <f t="array" ref="J99">_xlfn.LET(_xlpm.m, G99,
     _xlpm.rfr, I99,
     _xlpm.sm_down, INDEX(R.IRR_SM_DOWN, _xlpm.m),
     _xlpm.bm_down, INDEX(R.IRR_BM_DOWN, _xlpm.m),
     _xlpm.rfr * (1 - _xlpm.sm_down) - _xlpm.bm_down)</f>
        <v>#N/A</v>
      </c>
      <c r="K99" s="75" t="e">
        <f t="shared" si="6"/>
        <v>#N/A</v>
      </c>
      <c r="L99" s="77">
        <v>2.3720000000000001E-2</v>
      </c>
      <c r="M99" s="75" t="e">
        <f t="shared" si="7"/>
        <v>#N/A</v>
      </c>
      <c r="N99" s="75" t="e">
        <f t="shared" si="5"/>
        <v>#N/A</v>
      </c>
      <c r="O99" s="77">
        <v>2.4750000000000001E-2</v>
      </c>
    </row>
    <row r="100" spans="7:15" x14ac:dyDescent="0.35">
      <c r="G100" s="2">
        <v>79</v>
      </c>
      <c r="H100" s="75" t="e">
        <v>#N/A</v>
      </c>
      <c r="I100" s="75" t="e">
        <v>#N/A</v>
      </c>
      <c r="J100" s="75" t="e" cm="1">
        <f t="array" ref="J100">_xlfn.LET(_xlpm.m, G100,
     _xlpm.rfr, I100,
     _xlpm.sm_down, INDEX(R.IRR_SM_DOWN, _xlpm.m),
     _xlpm.bm_down, INDEX(R.IRR_BM_DOWN, _xlpm.m),
     _xlpm.rfr * (1 - _xlpm.sm_down) - _xlpm.bm_down)</f>
        <v>#N/A</v>
      </c>
      <c r="K100" s="75" t="e">
        <f t="shared" si="6"/>
        <v>#N/A</v>
      </c>
      <c r="L100" s="77">
        <v>2.3820000000000001E-2</v>
      </c>
      <c r="M100" s="75" t="e">
        <f t="shared" si="7"/>
        <v>#N/A</v>
      </c>
      <c r="N100" s="75" t="e">
        <f t="shared" si="5"/>
        <v>#N/A</v>
      </c>
      <c r="O100" s="77">
        <v>2.4830000000000001E-2</v>
      </c>
    </row>
    <row r="101" spans="7:15" x14ac:dyDescent="0.35">
      <c r="G101" s="2">
        <v>80</v>
      </c>
      <c r="H101" s="75" t="e">
        <v>#N/A</v>
      </c>
      <c r="I101" s="75" t="e">
        <v>#N/A</v>
      </c>
      <c r="J101" s="75" t="e" cm="1">
        <f t="array" ref="J101">_xlfn.LET(_xlpm.m, G101,
     _xlpm.rfr, I101,
     _xlpm.sm_down, INDEX(R.IRR_SM_DOWN, _xlpm.m),
     _xlpm.bm_down, INDEX(R.IRR_BM_DOWN, _xlpm.m),
     _xlpm.rfr * (1 - _xlpm.sm_down) - _xlpm.bm_down)</f>
        <v>#N/A</v>
      </c>
      <c r="K101" s="75" t="e">
        <f t="shared" si="6"/>
        <v>#N/A</v>
      </c>
      <c r="L101" s="77">
        <v>2.392E-2</v>
      </c>
      <c r="M101" s="75" t="e">
        <f t="shared" si="7"/>
        <v>#N/A</v>
      </c>
      <c r="N101" s="75" t="e">
        <f t="shared" si="5"/>
        <v>#N/A</v>
      </c>
      <c r="O101" s="77">
        <v>2.4920000000000001E-2</v>
      </c>
    </row>
    <row r="102" spans="7:15" x14ac:dyDescent="0.35">
      <c r="G102" s="7">
        <v>81</v>
      </c>
      <c r="H102" s="75" t="e">
        <v>#N/A</v>
      </c>
      <c r="I102" s="75" t="e">
        <v>#N/A</v>
      </c>
      <c r="J102" s="75" t="e" cm="1">
        <f t="array" ref="J102">_xlfn.LET(_xlpm.m, G102,
     _xlpm.rfr, I102,
     _xlpm.sm_down, INDEX(R.IRR_SM_DOWN, _xlpm.m),
     _xlpm.bm_down, INDEX(R.IRR_BM_DOWN, _xlpm.m),
     _xlpm.rfr * (1 - _xlpm.sm_down) - _xlpm.bm_down)</f>
        <v>#N/A</v>
      </c>
      <c r="K102" s="75" t="e">
        <f t="shared" si="6"/>
        <v>#N/A</v>
      </c>
      <c r="L102" s="77">
        <v>2.401E-2</v>
      </c>
      <c r="M102" s="75" t="e">
        <f t="shared" si="7"/>
        <v>#N/A</v>
      </c>
      <c r="N102" s="75" t="e">
        <f t="shared" si="5"/>
        <v>#N/A</v>
      </c>
      <c r="O102" s="77">
        <v>2.5000000000000001E-2</v>
      </c>
    </row>
    <row r="103" spans="7:15" x14ac:dyDescent="0.35">
      <c r="G103" s="7">
        <v>82</v>
      </c>
      <c r="H103" s="75" t="e">
        <v>#N/A</v>
      </c>
      <c r="I103" s="75" t="e">
        <v>#N/A</v>
      </c>
      <c r="J103" s="75" t="e" cm="1">
        <f t="array" ref="J103">_xlfn.LET(_xlpm.m, G103,
     _xlpm.rfr, I103,
     _xlpm.sm_down, INDEX(R.IRR_SM_DOWN, _xlpm.m),
     _xlpm.bm_down, INDEX(R.IRR_BM_DOWN, _xlpm.m),
     _xlpm.rfr * (1 - _xlpm.sm_down) - _xlpm.bm_down)</f>
        <v>#N/A</v>
      </c>
      <c r="K103" s="75" t="e">
        <f t="shared" si="6"/>
        <v>#N/A</v>
      </c>
      <c r="L103" s="77">
        <v>2.41E-2</v>
      </c>
      <c r="M103" s="75" t="e">
        <f t="shared" si="7"/>
        <v>#N/A</v>
      </c>
      <c r="N103" s="75" t="e">
        <f t="shared" si="5"/>
        <v>#N/A</v>
      </c>
      <c r="O103" s="77">
        <v>2.5080000000000002E-2</v>
      </c>
    </row>
    <row r="104" spans="7:15" x14ac:dyDescent="0.35">
      <c r="G104" s="7">
        <v>83</v>
      </c>
      <c r="H104" s="75" t="e">
        <v>#N/A</v>
      </c>
      <c r="I104" s="75" t="e">
        <v>#N/A</v>
      </c>
      <c r="J104" s="75" t="e" cm="1">
        <f t="array" ref="J104">_xlfn.LET(_xlpm.m, G104,
     _xlpm.rfr, I104,
     _xlpm.sm_down, INDEX(R.IRR_SM_DOWN, _xlpm.m),
     _xlpm.bm_down, INDEX(R.IRR_BM_DOWN, _xlpm.m),
     _xlpm.rfr * (1 - _xlpm.sm_down) - _xlpm.bm_down)</f>
        <v>#N/A</v>
      </c>
      <c r="K104" s="75" t="e">
        <f t="shared" si="6"/>
        <v>#N/A</v>
      </c>
      <c r="L104" s="77">
        <v>2.419E-2</v>
      </c>
      <c r="M104" s="75" t="e">
        <f t="shared" si="7"/>
        <v>#N/A</v>
      </c>
      <c r="N104" s="75" t="e">
        <f t="shared" si="5"/>
        <v>#N/A</v>
      </c>
      <c r="O104" s="77">
        <v>2.5149999999999999E-2</v>
      </c>
    </row>
    <row r="105" spans="7:15" x14ac:dyDescent="0.35">
      <c r="G105" s="2">
        <v>84</v>
      </c>
      <c r="H105" s="75" t="e">
        <v>#N/A</v>
      </c>
      <c r="I105" s="75" t="e">
        <v>#N/A</v>
      </c>
      <c r="J105" s="75" t="e" cm="1">
        <f t="array" ref="J105">_xlfn.LET(_xlpm.m, G105,
     _xlpm.rfr, I105,
     _xlpm.sm_down, INDEX(R.IRR_SM_DOWN, _xlpm.m),
     _xlpm.bm_down, INDEX(R.IRR_BM_DOWN, _xlpm.m),
     _xlpm.rfr * (1 - _xlpm.sm_down) - _xlpm.bm_down)</f>
        <v>#N/A</v>
      </c>
      <c r="K105" s="75" t="e">
        <f t="shared" si="6"/>
        <v>#N/A</v>
      </c>
      <c r="L105" s="77">
        <v>2.4279999999999999E-2</v>
      </c>
      <c r="M105" s="75" t="e">
        <f t="shared" si="7"/>
        <v>#N/A</v>
      </c>
      <c r="N105" s="75" t="e">
        <f t="shared" si="5"/>
        <v>#N/A</v>
      </c>
      <c r="O105" s="77">
        <v>2.5229999999999999E-2</v>
      </c>
    </row>
    <row r="106" spans="7:15" x14ac:dyDescent="0.35">
      <c r="G106" s="2">
        <v>85</v>
      </c>
      <c r="H106" s="75" t="e">
        <v>#N/A</v>
      </c>
      <c r="I106" s="75" t="e">
        <v>#N/A</v>
      </c>
      <c r="J106" s="75" t="e" cm="1">
        <f t="array" ref="J106">_xlfn.LET(_xlpm.m, G106,
     _xlpm.rfr, I106,
     _xlpm.sm_down, INDEX(R.IRR_SM_DOWN, _xlpm.m),
     _xlpm.bm_down, INDEX(R.IRR_BM_DOWN, _xlpm.m),
     _xlpm.rfr * (1 - _xlpm.sm_down) - _xlpm.bm_down)</f>
        <v>#N/A</v>
      </c>
      <c r="K106" s="75" t="e">
        <f t="shared" si="6"/>
        <v>#N/A</v>
      </c>
      <c r="L106" s="77">
        <v>2.436E-2</v>
      </c>
      <c r="M106" s="75" t="e">
        <f t="shared" si="7"/>
        <v>#N/A</v>
      </c>
      <c r="N106" s="75" t="e">
        <f t="shared" si="5"/>
        <v>#N/A</v>
      </c>
      <c r="O106" s="77">
        <v>2.53E-2</v>
      </c>
    </row>
    <row r="107" spans="7:15" x14ac:dyDescent="0.35">
      <c r="G107" s="7">
        <v>86</v>
      </c>
      <c r="H107" s="75" t="e">
        <v>#N/A</v>
      </c>
      <c r="I107" s="75" t="e">
        <v>#N/A</v>
      </c>
      <c r="J107" s="75" t="e" cm="1">
        <f t="array" ref="J107">_xlfn.LET(_xlpm.m, G107,
     _xlpm.rfr, I107,
     _xlpm.sm_down, INDEX(R.IRR_SM_DOWN, _xlpm.m),
     _xlpm.bm_down, INDEX(R.IRR_BM_DOWN, _xlpm.m),
     _xlpm.rfr * (1 - _xlpm.sm_down) - _xlpm.bm_down)</f>
        <v>#N/A</v>
      </c>
      <c r="K107" s="75" t="e">
        <f t="shared" si="6"/>
        <v>#N/A</v>
      </c>
      <c r="L107" s="77">
        <v>2.444E-2</v>
      </c>
      <c r="M107" s="75" t="e">
        <f t="shared" si="7"/>
        <v>#N/A</v>
      </c>
      <c r="N107" s="75" t="e">
        <f t="shared" si="5"/>
        <v>#N/A</v>
      </c>
      <c r="O107" s="77">
        <v>2.537E-2</v>
      </c>
    </row>
    <row r="108" spans="7:15" x14ac:dyDescent="0.35">
      <c r="G108" s="7">
        <v>87</v>
      </c>
      <c r="H108" s="75" t="e">
        <v>#N/A</v>
      </c>
      <c r="I108" s="75" t="e">
        <v>#N/A</v>
      </c>
      <c r="J108" s="75" t="e" cm="1">
        <f t="array" ref="J108">_xlfn.LET(_xlpm.m, G108,
     _xlpm.rfr, I108,
     _xlpm.sm_down, INDEX(R.IRR_SM_DOWN, _xlpm.m),
     _xlpm.bm_down, INDEX(R.IRR_BM_DOWN, _xlpm.m),
     _xlpm.rfr * (1 - _xlpm.sm_down) - _xlpm.bm_down)</f>
        <v>#N/A</v>
      </c>
      <c r="K108" s="75" t="e">
        <f t="shared" si="6"/>
        <v>#N/A</v>
      </c>
      <c r="L108" s="77">
        <v>2.452E-2</v>
      </c>
      <c r="M108" s="75" t="e">
        <f t="shared" si="7"/>
        <v>#N/A</v>
      </c>
      <c r="N108" s="75" t="e">
        <f t="shared" si="5"/>
        <v>#N/A</v>
      </c>
      <c r="O108" s="77">
        <v>2.5440000000000001E-2</v>
      </c>
    </row>
    <row r="109" spans="7:15" x14ac:dyDescent="0.35">
      <c r="G109" s="7">
        <v>88</v>
      </c>
      <c r="H109" s="75" t="e">
        <v>#N/A</v>
      </c>
      <c r="I109" s="75" t="e">
        <v>#N/A</v>
      </c>
      <c r="J109" s="75" t="e" cm="1">
        <f t="array" ref="J109">_xlfn.LET(_xlpm.m, G109,
     _xlpm.rfr, I109,
     _xlpm.sm_down, INDEX(R.IRR_SM_DOWN, _xlpm.m),
     _xlpm.bm_down, INDEX(R.IRR_BM_DOWN, _xlpm.m),
     _xlpm.rfr * (1 - _xlpm.sm_down) - _xlpm.bm_down)</f>
        <v>#N/A</v>
      </c>
      <c r="K109" s="75" t="e">
        <f t="shared" si="6"/>
        <v>#N/A</v>
      </c>
      <c r="L109" s="77">
        <v>2.46E-2</v>
      </c>
      <c r="M109" s="75" t="e">
        <f t="shared" si="7"/>
        <v>#N/A</v>
      </c>
      <c r="N109" s="75" t="e">
        <f t="shared" si="5"/>
        <v>#N/A</v>
      </c>
      <c r="O109" s="77">
        <v>2.5510000000000001E-2</v>
      </c>
    </row>
    <row r="110" spans="7:15" x14ac:dyDescent="0.35">
      <c r="G110" s="2">
        <v>89</v>
      </c>
      <c r="H110" s="75" t="e">
        <v>#N/A</v>
      </c>
      <c r="I110" s="75" t="e">
        <v>#N/A</v>
      </c>
      <c r="J110" s="75" t="e" cm="1">
        <f t="array" ref="J110">_xlfn.LET(_xlpm.m, G110,
     _xlpm.rfr, I110,
     _xlpm.sm_down, INDEX(R.IRR_SM_DOWN, _xlpm.m),
     _xlpm.bm_down, INDEX(R.IRR_BM_DOWN, _xlpm.m),
     _xlpm.rfr * (1 - _xlpm.sm_down) - _xlpm.bm_down)</f>
        <v>#N/A</v>
      </c>
      <c r="K110" s="75" t="e">
        <f t="shared" si="6"/>
        <v>#N/A</v>
      </c>
      <c r="L110" s="77">
        <v>2.4680000000000001E-2</v>
      </c>
      <c r="M110" s="75" t="e">
        <f t="shared" si="7"/>
        <v>#N/A</v>
      </c>
      <c r="N110" s="75" t="e">
        <f t="shared" si="5"/>
        <v>#N/A</v>
      </c>
      <c r="O110" s="77">
        <v>2.5579999999999999E-2</v>
      </c>
    </row>
    <row r="111" spans="7:15" x14ac:dyDescent="0.35">
      <c r="G111" s="2">
        <v>90</v>
      </c>
      <c r="H111" s="75" t="e">
        <v>#N/A</v>
      </c>
      <c r="I111" s="75" t="e">
        <v>#N/A</v>
      </c>
      <c r="J111" s="75" t="e" cm="1">
        <f t="array" ref="J111">_xlfn.LET(_xlpm.m, G111,
     _xlpm.rfr, I111,
     _xlpm.sm_down, INDEX(R.IRR_SM_DOWN, _xlpm.m),
     _xlpm.bm_down, INDEX(R.IRR_BM_DOWN, _xlpm.m),
     _xlpm.rfr * (1 - _xlpm.sm_down) - _xlpm.bm_down)</f>
        <v>#N/A</v>
      </c>
      <c r="K111" s="75" t="e">
        <f t="shared" si="6"/>
        <v>#N/A</v>
      </c>
      <c r="L111" s="77">
        <v>2.4760000000000001E-2</v>
      </c>
      <c r="M111" s="75" t="e">
        <f t="shared" si="7"/>
        <v>#N/A</v>
      </c>
      <c r="N111" s="75" t="e">
        <f t="shared" si="5"/>
        <v>#N/A</v>
      </c>
      <c r="O111" s="77">
        <v>2.564E-2</v>
      </c>
    </row>
    <row r="112" spans="7:15" x14ac:dyDescent="0.35">
      <c r="G112" s="7">
        <v>91</v>
      </c>
      <c r="H112" s="75" t="e">
        <v>#N/A</v>
      </c>
      <c r="I112" s="75" t="e">
        <v>#N/A</v>
      </c>
      <c r="J112" s="75" t="e" cm="1">
        <f t="array" ref="J112">_xlfn.LET(_xlpm.m, G112,
     _xlpm.rfr, I112,
     _xlpm.sm_down, INDEX(R.IRR_SM_DOWN, _xlpm.m),
     _xlpm.bm_down, INDEX(R.IRR_BM_DOWN, _xlpm.m),
     _xlpm.rfr * (1 - _xlpm.sm_down) - _xlpm.bm_down)</f>
        <v>#N/A</v>
      </c>
      <c r="K112" s="75" t="e">
        <f t="shared" si="6"/>
        <v>#N/A</v>
      </c>
      <c r="L112" s="77">
        <v>2.4830000000000001E-2</v>
      </c>
      <c r="M112" s="75" t="e">
        <f t="shared" si="7"/>
        <v>#N/A</v>
      </c>
      <c r="N112" s="75" t="e">
        <f t="shared" si="5"/>
        <v>#N/A</v>
      </c>
      <c r="O112" s="77">
        <v>2.571E-2</v>
      </c>
    </row>
    <row r="113" spans="7:15" x14ac:dyDescent="0.35">
      <c r="G113" s="7">
        <v>92</v>
      </c>
      <c r="H113" s="75" t="e">
        <v>#N/A</v>
      </c>
      <c r="I113" s="75" t="e">
        <v>#N/A</v>
      </c>
      <c r="J113" s="75" t="e" cm="1">
        <f t="array" ref="J113">_xlfn.LET(_xlpm.m, G113,
     _xlpm.rfr, I113,
     _xlpm.sm_down, INDEX(R.IRR_SM_DOWN, _xlpm.m),
     _xlpm.bm_down, INDEX(R.IRR_BM_DOWN, _xlpm.m),
     _xlpm.rfr * (1 - _xlpm.sm_down) - _xlpm.bm_down)</f>
        <v>#N/A</v>
      </c>
      <c r="K113" s="75" t="e">
        <f t="shared" si="6"/>
        <v>#N/A</v>
      </c>
      <c r="L113" s="77">
        <v>2.4899999999999999E-2</v>
      </c>
      <c r="M113" s="75" t="e">
        <f t="shared" si="7"/>
        <v>#N/A</v>
      </c>
      <c r="N113" s="75" t="e">
        <f t="shared" si="5"/>
        <v>#N/A</v>
      </c>
      <c r="O113" s="77">
        <v>2.5770000000000001E-2</v>
      </c>
    </row>
    <row r="114" spans="7:15" x14ac:dyDescent="0.35">
      <c r="G114" s="7">
        <v>93</v>
      </c>
      <c r="H114" s="75" t="e">
        <v>#N/A</v>
      </c>
      <c r="I114" s="75" t="e">
        <v>#N/A</v>
      </c>
      <c r="J114" s="75" t="e" cm="1">
        <f t="array" ref="J114">_xlfn.LET(_xlpm.m, G114,
     _xlpm.rfr, I114,
     _xlpm.sm_down, INDEX(R.IRR_SM_DOWN, _xlpm.m),
     _xlpm.bm_down, INDEX(R.IRR_BM_DOWN, _xlpm.m),
     _xlpm.rfr * (1 - _xlpm.sm_down) - _xlpm.bm_down)</f>
        <v>#N/A</v>
      </c>
      <c r="K114" s="75" t="e">
        <f t="shared" si="6"/>
        <v>#N/A</v>
      </c>
      <c r="L114" s="77">
        <v>2.4969999999999999E-2</v>
      </c>
      <c r="M114" s="75" t="e">
        <f t="shared" si="7"/>
        <v>#N/A</v>
      </c>
      <c r="N114" s="75" t="e">
        <f t="shared" si="5"/>
        <v>#N/A</v>
      </c>
      <c r="O114" s="77">
        <v>2.5829999999999999E-2</v>
      </c>
    </row>
    <row r="115" spans="7:15" x14ac:dyDescent="0.35">
      <c r="G115" s="2">
        <v>94</v>
      </c>
      <c r="H115" s="75" t="e">
        <v>#N/A</v>
      </c>
      <c r="I115" s="75" t="e">
        <v>#N/A</v>
      </c>
      <c r="J115" s="75" t="e" cm="1">
        <f t="array" ref="J115">_xlfn.LET(_xlpm.m, G115,
     _xlpm.rfr, I115,
     _xlpm.sm_down, INDEX(R.IRR_SM_DOWN, _xlpm.m),
     _xlpm.bm_down, INDEX(R.IRR_BM_DOWN, _xlpm.m),
     _xlpm.rfr * (1 - _xlpm.sm_down) - _xlpm.bm_down)</f>
        <v>#N/A</v>
      </c>
      <c r="K115" s="75" t="e">
        <f t="shared" si="6"/>
        <v>#N/A</v>
      </c>
      <c r="L115" s="77">
        <v>2.504E-2</v>
      </c>
      <c r="M115" s="75" t="e">
        <f t="shared" si="7"/>
        <v>#N/A</v>
      </c>
      <c r="N115" s="75" t="e">
        <f t="shared" si="5"/>
        <v>#N/A</v>
      </c>
      <c r="O115" s="77">
        <v>2.589E-2</v>
      </c>
    </row>
    <row r="116" spans="7:15" x14ac:dyDescent="0.35">
      <c r="G116" s="2">
        <v>95</v>
      </c>
      <c r="H116" s="75" t="e">
        <v>#N/A</v>
      </c>
      <c r="I116" s="75" t="e">
        <v>#N/A</v>
      </c>
      <c r="J116" s="75" t="e" cm="1">
        <f t="array" ref="J116">_xlfn.LET(_xlpm.m, G116,
     _xlpm.rfr, I116,
     _xlpm.sm_down, INDEX(R.IRR_SM_DOWN, _xlpm.m),
     _xlpm.bm_down, INDEX(R.IRR_BM_DOWN, _xlpm.m),
     _xlpm.rfr * (1 - _xlpm.sm_down) - _xlpm.bm_down)</f>
        <v>#N/A</v>
      </c>
      <c r="K116" s="75" t="e">
        <f t="shared" si="6"/>
        <v>#N/A</v>
      </c>
      <c r="L116" s="77">
        <v>2.511E-2</v>
      </c>
      <c r="M116" s="75" t="e">
        <f t="shared" si="7"/>
        <v>#N/A</v>
      </c>
      <c r="N116" s="75" t="e">
        <f t="shared" si="5"/>
        <v>#N/A</v>
      </c>
      <c r="O116" s="77">
        <v>2.5950000000000001E-2</v>
      </c>
    </row>
    <row r="117" spans="7:15" x14ac:dyDescent="0.35">
      <c r="G117" s="7">
        <v>96</v>
      </c>
      <c r="H117" s="75" t="e">
        <v>#N/A</v>
      </c>
      <c r="I117" s="75" t="e">
        <v>#N/A</v>
      </c>
      <c r="J117" s="75" t="e" cm="1">
        <f t="array" ref="J117">_xlfn.LET(_xlpm.m, G117,
     _xlpm.rfr, I117,
     _xlpm.sm_down, INDEX(R.IRR_SM_DOWN, _xlpm.m),
     _xlpm.bm_down, INDEX(R.IRR_BM_DOWN, _xlpm.m),
     _xlpm.rfr * (1 - _xlpm.sm_down) - _xlpm.bm_down)</f>
        <v>#N/A</v>
      </c>
      <c r="K117" s="75" t="e">
        <f t="shared" si="6"/>
        <v>#N/A</v>
      </c>
      <c r="L117" s="77">
        <v>2.5180000000000001E-2</v>
      </c>
      <c r="M117" s="75" t="e">
        <f t="shared" si="7"/>
        <v>#N/A</v>
      </c>
      <c r="N117" s="75" t="e">
        <f t="shared" si="5"/>
        <v>#N/A</v>
      </c>
      <c r="O117" s="77">
        <v>2.6009999999999998E-2</v>
      </c>
    </row>
    <row r="118" spans="7:15" x14ac:dyDescent="0.35">
      <c r="G118" s="7">
        <v>97</v>
      </c>
      <c r="H118" s="75" t="e">
        <v>#N/A</v>
      </c>
      <c r="I118" s="75" t="e">
        <v>#N/A</v>
      </c>
      <c r="J118" s="75" t="e" cm="1">
        <f t="array" ref="J118">_xlfn.LET(_xlpm.m, G118,
     _xlpm.rfr, I118,
     _xlpm.sm_down, INDEX(R.IRR_SM_DOWN, _xlpm.m),
     _xlpm.bm_down, INDEX(R.IRR_BM_DOWN, _xlpm.m),
     _xlpm.rfr * (1 - _xlpm.sm_down) - _xlpm.bm_down)</f>
        <v>#N/A</v>
      </c>
      <c r="K118" s="75" t="e">
        <f t="shared" si="6"/>
        <v>#N/A</v>
      </c>
      <c r="L118" s="77">
        <v>2.5239999999999999E-2</v>
      </c>
      <c r="M118" s="75" t="e">
        <f t="shared" si="7"/>
        <v>#N/A</v>
      </c>
      <c r="N118" s="75" t="e">
        <f t="shared" ref="N118:N149" si="8">M118+LN(1+V.TOTAL_VA)</f>
        <v>#N/A</v>
      </c>
      <c r="O118" s="77">
        <v>2.6069999999999999E-2</v>
      </c>
    </row>
    <row r="119" spans="7:15" x14ac:dyDescent="0.35">
      <c r="G119" s="7">
        <v>98</v>
      </c>
      <c r="H119" s="75" t="e">
        <v>#N/A</v>
      </c>
      <c r="I119" s="75" t="e">
        <v>#N/A</v>
      </c>
      <c r="J119" s="75" t="e" cm="1">
        <f t="array" ref="J119">_xlfn.LET(_xlpm.m, G119,
     _xlpm.rfr, I119,
     _xlpm.sm_down, INDEX(R.IRR_SM_DOWN, _xlpm.m),
     _xlpm.bm_down, INDEX(R.IRR_BM_DOWN, _xlpm.m),
     _xlpm.rfr * (1 - _xlpm.sm_down) - _xlpm.bm_down)</f>
        <v>#N/A</v>
      </c>
      <c r="K119" s="75" t="e">
        <f t="shared" si="6"/>
        <v>#N/A</v>
      </c>
      <c r="L119" s="77">
        <v>2.53E-2</v>
      </c>
      <c r="M119" s="75" t="e">
        <f t="shared" ref="M119:M150" si="9">G119*K119-G118*K118</f>
        <v>#N/A</v>
      </c>
      <c r="N119" s="75" t="e">
        <f t="shared" si="8"/>
        <v>#N/A</v>
      </c>
      <c r="O119" s="77">
        <v>2.6120000000000001E-2</v>
      </c>
    </row>
    <row r="120" spans="7:15" x14ac:dyDescent="0.35">
      <c r="G120" s="2">
        <v>99</v>
      </c>
      <c r="H120" s="75" t="e">
        <v>#N/A</v>
      </c>
      <c r="I120" s="75" t="e">
        <v>#N/A</v>
      </c>
      <c r="J120" s="75" t="e" cm="1">
        <f t="array" ref="J120">_xlfn.LET(_xlpm.m, G120,
     _xlpm.rfr, I120,
     _xlpm.sm_down, INDEX(R.IRR_SM_DOWN, _xlpm.m),
     _xlpm.bm_down, INDEX(R.IRR_BM_DOWN, _xlpm.m),
     _xlpm.rfr * (1 - _xlpm.sm_down) - _xlpm.bm_down)</f>
        <v>#N/A</v>
      </c>
      <c r="K120" s="75" t="e">
        <f t="shared" si="6"/>
        <v>#N/A</v>
      </c>
      <c r="L120" s="77">
        <v>2.537E-2</v>
      </c>
      <c r="M120" s="75" t="e">
        <f t="shared" si="9"/>
        <v>#N/A</v>
      </c>
      <c r="N120" s="75" t="e">
        <f t="shared" si="8"/>
        <v>#N/A</v>
      </c>
      <c r="O120" s="77">
        <v>2.6169999999999999E-2</v>
      </c>
    </row>
    <row r="121" spans="7:15" x14ac:dyDescent="0.35">
      <c r="G121" s="2">
        <v>100</v>
      </c>
      <c r="H121" s="75" t="e">
        <v>#N/A</v>
      </c>
      <c r="I121" s="75" t="e">
        <v>#N/A</v>
      </c>
      <c r="J121" s="75" t="e" cm="1">
        <f t="array" ref="J121">_xlfn.LET(_xlpm.m, G121,
     _xlpm.rfr, I121,
     _xlpm.sm_down, INDEX(R.IRR_SM_DOWN, _xlpm.m),
     _xlpm.bm_down, INDEX(R.IRR_BM_DOWN, _xlpm.m),
     _xlpm.rfr * (1 - _xlpm.sm_down) - _xlpm.bm_down)</f>
        <v>#N/A</v>
      </c>
      <c r="K121" s="75" t="e">
        <f t="shared" si="6"/>
        <v>#N/A</v>
      </c>
      <c r="L121" s="77">
        <v>2.5430000000000001E-2</v>
      </c>
      <c r="M121" s="75" t="e">
        <f t="shared" si="9"/>
        <v>#N/A</v>
      </c>
      <c r="N121" s="75" t="e">
        <f t="shared" si="8"/>
        <v>#N/A</v>
      </c>
      <c r="O121" s="77">
        <v>2.623E-2</v>
      </c>
    </row>
    <row r="122" spans="7:15" x14ac:dyDescent="0.35">
      <c r="G122" s="7">
        <v>101</v>
      </c>
      <c r="H122" s="75" t="e">
        <v>#N/A</v>
      </c>
      <c r="I122" s="75" t="e">
        <v>#N/A</v>
      </c>
      <c r="J122" s="75" t="e" cm="1">
        <f t="array" ref="J122">_xlfn.LET(_xlpm.m, G122,
     _xlpm.rfr, I122,
     _xlpm.sm_down, INDEX(R.IRR_SM_DOWN, _xlpm.m),
     _xlpm.bm_down, INDEX(R.IRR_BM_DOWN, _xlpm.m),
     _xlpm.rfr * (1 - _xlpm.sm_down) - _xlpm.bm_down)</f>
        <v>#N/A</v>
      </c>
      <c r="K122" s="75" t="e">
        <f t="shared" si="6"/>
        <v>#N/A</v>
      </c>
      <c r="L122" s="77">
        <v>2.5489999999999999E-2</v>
      </c>
      <c r="M122" s="75" t="e">
        <f t="shared" si="9"/>
        <v>#N/A</v>
      </c>
      <c r="N122" s="75" t="e">
        <f t="shared" si="8"/>
        <v>#N/A</v>
      </c>
      <c r="O122" s="77">
        <v>2.6280000000000001E-2</v>
      </c>
    </row>
    <row r="123" spans="7:15" x14ac:dyDescent="0.35">
      <c r="G123" s="7">
        <v>102</v>
      </c>
      <c r="H123" s="75" t="e">
        <v>#N/A</v>
      </c>
      <c r="I123" s="75" t="e">
        <v>#N/A</v>
      </c>
      <c r="J123" s="75" t="e" cm="1">
        <f t="array" ref="J123">_xlfn.LET(_xlpm.m, G123,
     _xlpm.rfr, I123,
     _xlpm.sm_down, INDEX(R.IRR_SM_DOWN, _xlpm.m),
     _xlpm.bm_down, INDEX(R.IRR_BM_DOWN, _xlpm.m),
     _xlpm.rfr * (1 - _xlpm.sm_down) - _xlpm.bm_down)</f>
        <v>#N/A</v>
      </c>
      <c r="K123" s="75" t="e">
        <f t="shared" si="6"/>
        <v>#N/A</v>
      </c>
      <c r="L123" s="77">
        <v>2.555E-2</v>
      </c>
      <c r="M123" s="75" t="e">
        <f t="shared" si="9"/>
        <v>#N/A</v>
      </c>
      <c r="N123" s="75" t="e">
        <f t="shared" si="8"/>
        <v>#N/A</v>
      </c>
      <c r="O123" s="77">
        <v>2.6329999999999999E-2</v>
      </c>
    </row>
    <row r="124" spans="7:15" x14ac:dyDescent="0.35">
      <c r="G124" s="7">
        <v>103</v>
      </c>
      <c r="H124" s="75" t="e">
        <v>#N/A</v>
      </c>
      <c r="I124" s="75" t="e">
        <v>#N/A</v>
      </c>
      <c r="J124" s="75" t="e" cm="1">
        <f t="array" ref="J124">_xlfn.LET(_xlpm.m, G124,
     _xlpm.rfr, I124,
     _xlpm.sm_down, INDEX(R.IRR_SM_DOWN, _xlpm.m),
     _xlpm.bm_down, INDEX(R.IRR_BM_DOWN, _xlpm.m),
     _xlpm.rfr * (1 - _xlpm.sm_down) - _xlpm.bm_down)</f>
        <v>#N/A</v>
      </c>
      <c r="K124" s="75" t="e">
        <f t="shared" si="6"/>
        <v>#N/A</v>
      </c>
      <c r="L124" s="77">
        <v>2.5600000000000001E-2</v>
      </c>
      <c r="M124" s="75" t="e">
        <f t="shared" si="9"/>
        <v>#N/A</v>
      </c>
      <c r="N124" s="75" t="e">
        <f t="shared" si="8"/>
        <v>#N/A</v>
      </c>
      <c r="O124" s="77">
        <v>2.6380000000000001E-2</v>
      </c>
    </row>
    <row r="125" spans="7:15" x14ac:dyDescent="0.35">
      <c r="G125" s="2">
        <v>104</v>
      </c>
      <c r="H125" s="75" t="e">
        <v>#N/A</v>
      </c>
      <c r="I125" s="75" t="e">
        <v>#N/A</v>
      </c>
      <c r="J125" s="75" t="e" cm="1">
        <f t="array" ref="J125">_xlfn.LET(_xlpm.m, G125,
     _xlpm.rfr, I125,
     _xlpm.sm_down, INDEX(R.IRR_SM_DOWN, _xlpm.m),
     _xlpm.bm_down, INDEX(R.IRR_BM_DOWN, _xlpm.m),
     _xlpm.rfr * (1 - _xlpm.sm_down) - _xlpm.bm_down)</f>
        <v>#N/A</v>
      </c>
      <c r="K125" s="75" t="e">
        <f t="shared" si="6"/>
        <v>#N/A</v>
      </c>
      <c r="L125" s="77">
        <v>2.5659999999999999E-2</v>
      </c>
      <c r="M125" s="75" t="e">
        <f t="shared" si="9"/>
        <v>#N/A</v>
      </c>
      <c r="N125" s="75" t="e">
        <f t="shared" si="8"/>
        <v>#N/A</v>
      </c>
      <c r="O125" s="77">
        <v>2.6429999999999999E-2</v>
      </c>
    </row>
    <row r="126" spans="7:15" x14ac:dyDescent="0.35">
      <c r="G126" s="2">
        <v>105</v>
      </c>
      <c r="H126" s="75" t="e">
        <v>#N/A</v>
      </c>
      <c r="I126" s="75" t="e">
        <v>#N/A</v>
      </c>
      <c r="J126" s="75" t="e" cm="1">
        <f t="array" ref="J126">_xlfn.LET(_xlpm.m, G126,
     _xlpm.rfr, I126,
     _xlpm.sm_down, INDEX(R.IRR_SM_DOWN, _xlpm.m),
     _xlpm.bm_down, INDEX(R.IRR_BM_DOWN, _xlpm.m),
     _xlpm.rfr * (1 - _xlpm.sm_down) - _xlpm.bm_down)</f>
        <v>#N/A</v>
      </c>
      <c r="K126" s="75" t="e">
        <f t="shared" si="6"/>
        <v>#N/A</v>
      </c>
      <c r="L126" s="77">
        <v>2.572E-2</v>
      </c>
      <c r="M126" s="75" t="e">
        <f t="shared" si="9"/>
        <v>#N/A</v>
      </c>
      <c r="N126" s="75" t="e">
        <f t="shared" si="8"/>
        <v>#N/A</v>
      </c>
      <c r="O126" s="77">
        <v>2.648E-2</v>
      </c>
    </row>
    <row r="127" spans="7:15" x14ac:dyDescent="0.35">
      <c r="G127" s="7">
        <v>106</v>
      </c>
      <c r="H127" s="75" t="e">
        <v>#N/A</v>
      </c>
      <c r="I127" s="75" t="e">
        <v>#N/A</v>
      </c>
      <c r="J127" s="75" t="e" cm="1">
        <f t="array" ref="J127">_xlfn.LET(_xlpm.m, G127,
     _xlpm.rfr, I127,
     _xlpm.sm_down, INDEX(R.IRR_SM_DOWN, _xlpm.m),
     _xlpm.bm_down, INDEX(R.IRR_BM_DOWN, _xlpm.m),
     _xlpm.rfr * (1 - _xlpm.sm_down) - _xlpm.bm_down)</f>
        <v>#N/A</v>
      </c>
      <c r="K127" s="75" t="e">
        <f t="shared" si="6"/>
        <v>#N/A</v>
      </c>
      <c r="L127" s="77">
        <v>2.5770000000000001E-2</v>
      </c>
      <c r="M127" s="75" t="e">
        <f t="shared" si="9"/>
        <v>#N/A</v>
      </c>
      <c r="N127" s="75" t="e">
        <f t="shared" si="8"/>
        <v>#N/A</v>
      </c>
      <c r="O127" s="77">
        <v>2.6530000000000001E-2</v>
      </c>
    </row>
    <row r="128" spans="7:15" x14ac:dyDescent="0.35">
      <c r="G128" s="7">
        <v>107</v>
      </c>
      <c r="H128" s="75" t="e">
        <v>#N/A</v>
      </c>
      <c r="I128" s="75" t="e">
        <v>#N/A</v>
      </c>
      <c r="J128" s="75" t="e" cm="1">
        <f t="array" ref="J128">_xlfn.LET(_xlpm.m, G128,
     _xlpm.rfr, I128,
     _xlpm.sm_down, INDEX(R.IRR_SM_DOWN, _xlpm.m),
     _xlpm.bm_down, INDEX(R.IRR_BM_DOWN, _xlpm.m),
     _xlpm.rfr * (1 - _xlpm.sm_down) - _xlpm.bm_down)</f>
        <v>#N/A</v>
      </c>
      <c r="K128" s="75" t="e">
        <f t="shared" si="6"/>
        <v>#N/A</v>
      </c>
      <c r="L128" s="77">
        <v>2.5819999999999999E-2</v>
      </c>
      <c r="M128" s="75" t="e">
        <f t="shared" si="9"/>
        <v>#N/A</v>
      </c>
      <c r="N128" s="75" t="e">
        <f t="shared" si="8"/>
        <v>#N/A</v>
      </c>
      <c r="O128" s="77">
        <v>2.657E-2</v>
      </c>
    </row>
    <row r="129" spans="7:15" x14ac:dyDescent="0.35">
      <c r="G129" s="7">
        <v>108</v>
      </c>
      <c r="H129" s="75" t="e">
        <v>#N/A</v>
      </c>
      <c r="I129" s="75" t="e">
        <v>#N/A</v>
      </c>
      <c r="J129" s="75" t="e" cm="1">
        <f t="array" ref="J129">_xlfn.LET(_xlpm.m, G129,
     _xlpm.rfr, I129,
     _xlpm.sm_down, INDEX(R.IRR_SM_DOWN, _xlpm.m),
     _xlpm.bm_down, INDEX(R.IRR_BM_DOWN, _xlpm.m),
     _xlpm.rfr * (1 - _xlpm.sm_down) - _xlpm.bm_down)</f>
        <v>#N/A</v>
      </c>
      <c r="K129" s="75" t="e">
        <f t="shared" si="6"/>
        <v>#N/A</v>
      </c>
      <c r="L129" s="77">
        <v>2.588E-2</v>
      </c>
      <c r="M129" s="75" t="e">
        <f t="shared" si="9"/>
        <v>#N/A</v>
      </c>
      <c r="N129" s="75" t="e">
        <f t="shared" si="8"/>
        <v>#N/A</v>
      </c>
      <c r="O129" s="77">
        <v>2.6620000000000001E-2</v>
      </c>
    </row>
    <row r="130" spans="7:15" x14ac:dyDescent="0.35">
      <c r="G130" s="2">
        <v>109</v>
      </c>
      <c r="H130" s="75" t="e">
        <v>#N/A</v>
      </c>
      <c r="I130" s="75" t="e">
        <v>#N/A</v>
      </c>
      <c r="J130" s="75" t="e" cm="1">
        <f t="array" ref="J130">_xlfn.LET(_xlpm.m, G130,
     _xlpm.rfr, I130,
     _xlpm.sm_down, INDEX(R.IRR_SM_DOWN, _xlpm.m),
     _xlpm.bm_down, INDEX(R.IRR_BM_DOWN, _xlpm.m),
     _xlpm.rfr * (1 - _xlpm.sm_down) - _xlpm.bm_down)</f>
        <v>#N/A</v>
      </c>
      <c r="K130" s="75" t="e">
        <f t="shared" si="6"/>
        <v>#N/A</v>
      </c>
      <c r="L130" s="77">
        <v>2.5930000000000002E-2</v>
      </c>
      <c r="M130" s="75" t="e">
        <f t="shared" si="9"/>
        <v>#N/A</v>
      </c>
      <c r="N130" s="75" t="e">
        <f t="shared" si="8"/>
        <v>#N/A</v>
      </c>
      <c r="O130" s="77">
        <v>2.666E-2</v>
      </c>
    </row>
    <row r="131" spans="7:15" x14ac:dyDescent="0.35">
      <c r="G131" s="2">
        <v>110</v>
      </c>
      <c r="H131" s="75" t="e">
        <v>#N/A</v>
      </c>
      <c r="I131" s="75" t="e">
        <v>#N/A</v>
      </c>
      <c r="J131" s="75" t="e" cm="1">
        <f t="array" ref="J131">_xlfn.LET(_xlpm.m, G131,
     _xlpm.rfr, I131,
     _xlpm.sm_down, INDEX(R.IRR_SM_DOWN, _xlpm.m),
     _xlpm.bm_down, INDEX(R.IRR_BM_DOWN, _xlpm.m),
     _xlpm.rfr * (1 - _xlpm.sm_down) - _xlpm.bm_down)</f>
        <v>#N/A</v>
      </c>
      <c r="K131" s="75" t="e">
        <f t="shared" si="6"/>
        <v>#N/A</v>
      </c>
      <c r="L131" s="77">
        <v>2.598E-2</v>
      </c>
      <c r="M131" s="75" t="e">
        <f t="shared" si="9"/>
        <v>#N/A</v>
      </c>
      <c r="N131" s="75" t="e">
        <f t="shared" si="8"/>
        <v>#N/A</v>
      </c>
      <c r="O131" s="77">
        <v>2.6710000000000001E-2</v>
      </c>
    </row>
    <row r="132" spans="7:15" x14ac:dyDescent="0.35">
      <c r="G132" s="7">
        <v>111</v>
      </c>
      <c r="H132" s="75" t="e">
        <v>#N/A</v>
      </c>
      <c r="I132" s="75" t="e">
        <v>#N/A</v>
      </c>
      <c r="J132" s="75" t="e" cm="1">
        <f t="array" ref="J132">_xlfn.LET(_xlpm.m, G132,
     _xlpm.rfr, I132,
     _xlpm.sm_down, INDEX(R.IRR_SM_DOWN, _xlpm.m),
     _xlpm.bm_down, INDEX(R.IRR_BM_DOWN, _xlpm.m),
     _xlpm.rfr * (1 - _xlpm.sm_down) - _xlpm.bm_down)</f>
        <v>#N/A</v>
      </c>
      <c r="K132" s="75" t="e">
        <f t="shared" si="6"/>
        <v>#N/A</v>
      </c>
      <c r="L132" s="77">
        <v>2.6030000000000001E-2</v>
      </c>
      <c r="M132" s="75" t="e">
        <f t="shared" si="9"/>
        <v>#N/A</v>
      </c>
      <c r="N132" s="75" t="e">
        <f t="shared" si="8"/>
        <v>#N/A</v>
      </c>
      <c r="O132" s="77">
        <v>2.6749999999999999E-2</v>
      </c>
    </row>
    <row r="133" spans="7:15" x14ac:dyDescent="0.35">
      <c r="G133" s="7">
        <v>112</v>
      </c>
      <c r="H133" s="75" t="e">
        <v>#N/A</v>
      </c>
      <c r="I133" s="75" t="e">
        <v>#N/A</v>
      </c>
      <c r="J133" s="75" t="e" cm="1">
        <f t="array" ref="J133">_xlfn.LET(_xlpm.m, G133,
     _xlpm.rfr, I133,
     _xlpm.sm_down, INDEX(R.IRR_SM_DOWN, _xlpm.m),
     _xlpm.bm_down, INDEX(R.IRR_BM_DOWN, _xlpm.m),
     _xlpm.rfr * (1 - _xlpm.sm_down) - _xlpm.bm_down)</f>
        <v>#N/A</v>
      </c>
      <c r="K133" s="75" t="e">
        <f t="shared" si="6"/>
        <v>#N/A</v>
      </c>
      <c r="L133" s="77">
        <v>2.6079999999999999E-2</v>
      </c>
      <c r="M133" s="75" t="e">
        <f t="shared" si="9"/>
        <v>#N/A</v>
      </c>
      <c r="N133" s="75" t="e">
        <f t="shared" si="8"/>
        <v>#N/A</v>
      </c>
      <c r="O133" s="77">
        <v>2.6790000000000001E-2</v>
      </c>
    </row>
    <row r="134" spans="7:15" x14ac:dyDescent="0.35">
      <c r="G134" s="7">
        <v>113</v>
      </c>
      <c r="H134" s="75" t="e">
        <v>#N/A</v>
      </c>
      <c r="I134" s="75" t="e">
        <v>#N/A</v>
      </c>
      <c r="J134" s="75" t="e" cm="1">
        <f t="array" ref="J134">_xlfn.LET(_xlpm.m, G134,
     _xlpm.rfr, I134,
     _xlpm.sm_down, INDEX(R.IRR_SM_DOWN, _xlpm.m),
     _xlpm.bm_down, INDEX(R.IRR_BM_DOWN, _xlpm.m),
     _xlpm.rfr * (1 - _xlpm.sm_down) - _xlpm.bm_down)</f>
        <v>#N/A</v>
      </c>
      <c r="K134" s="75" t="e">
        <f t="shared" si="6"/>
        <v>#N/A</v>
      </c>
      <c r="L134" s="77">
        <v>2.6120000000000001E-2</v>
      </c>
      <c r="M134" s="75" t="e">
        <f t="shared" si="9"/>
        <v>#N/A</v>
      </c>
      <c r="N134" s="75" t="e">
        <f t="shared" si="8"/>
        <v>#N/A</v>
      </c>
      <c r="O134" s="77">
        <v>2.683E-2</v>
      </c>
    </row>
    <row r="135" spans="7:15" x14ac:dyDescent="0.35">
      <c r="G135" s="2">
        <v>114</v>
      </c>
      <c r="H135" s="75" t="e">
        <v>#N/A</v>
      </c>
      <c r="I135" s="75" t="e">
        <v>#N/A</v>
      </c>
      <c r="J135" s="75" t="e" cm="1">
        <f t="array" ref="J135">_xlfn.LET(_xlpm.m, G135,
     _xlpm.rfr, I135,
     _xlpm.sm_down, INDEX(R.IRR_SM_DOWN, _xlpm.m),
     _xlpm.bm_down, INDEX(R.IRR_BM_DOWN, _xlpm.m),
     _xlpm.rfr * (1 - _xlpm.sm_down) - _xlpm.bm_down)</f>
        <v>#N/A</v>
      </c>
      <c r="K135" s="75" t="e">
        <f t="shared" si="6"/>
        <v>#N/A</v>
      </c>
      <c r="L135" s="77">
        <v>2.6169999999999999E-2</v>
      </c>
      <c r="M135" s="75" t="e">
        <f t="shared" si="9"/>
        <v>#N/A</v>
      </c>
      <c r="N135" s="75" t="e">
        <f t="shared" si="8"/>
        <v>#N/A</v>
      </c>
      <c r="O135" s="77">
        <v>2.6870000000000002E-2</v>
      </c>
    </row>
    <row r="136" spans="7:15" x14ac:dyDescent="0.35">
      <c r="G136" s="2">
        <v>115</v>
      </c>
      <c r="H136" s="75" t="e">
        <v>#N/A</v>
      </c>
      <c r="I136" s="75" t="e">
        <v>#N/A</v>
      </c>
      <c r="J136" s="75" t="e" cm="1">
        <f t="array" ref="J136">_xlfn.LET(_xlpm.m, G136,
     _xlpm.rfr, I136,
     _xlpm.sm_down, INDEX(R.IRR_SM_DOWN, _xlpm.m),
     _xlpm.bm_down, INDEX(R.IRR_BM_DOWN, _xlpm.m),
     _xlpm.rfr * (1 - _xlpm.sm_down) - _xlpm.bm_down)</f>
        <v>#N/A</v>
      </c>
      <c r="K136" s="75" t="e">
        <f t="shared" si="6"/>
        <v>#N/A</v>
      </c>
      <c r="L136" s="77">
        <v>2.622E-2</v>
      </c>
      <c r="M136" s="75" t="e">
        <f t="shared" si="9"/>
        <v>#N/A</v>
      </c>
      <c r="N136" s="75" t="e">
        <f t="shared" si="8"/>
        <v>#N/A</v>
      </c>
      <c r="O136" s="77">
        <v>2.691E-2</v>
      </c>
    </row>
    <row r="137" spans="7:15" x14ac:dyDescent="0.35">
      <c r="G137" s="7">
        <v>116</v>
      </c>
      <c r="H137" s="75" t="e">
        <v>#N/A</v>
      </c>
      <c r="I137" s="75" t="e">
        <v>#N/A</v>
      </c>
      <c r="J137" s="75" t="e" cm="1">
        <f t="array" ref="J137">_xlfn.LET(_xlpm.m, G137,
     _xlpm.rfr, I137,
     _xlpm.sm_down, INDEX(R.IRR_SM_DOWN, _xlpm.m),
     _xlpm.bm_down, INDEX(R.IRR_BM_DOWN, _xlpm.m),
     _xlpm.rfr * (1 - _xlpm.sm_down) - _xlpm.bm_down)</f>
        <v>#N/A</v>
      </c>
      <c r="K137" s="75" t="e">
        <f t="shared" si="6"/>
        <v>#N/A</v>
      </c>
      <c r="L137" s="77">
        <v>2.6259999999999999E-2</v>
      </c>
      <c r="M137" s="75" t="e">
        <f t="shared" si="9"/>
        <v>#N/A</v>
      </c>
      <c r="N137" s="75" t="e">
        <f t="shared" si="8"/>
        <v>#N/A</v>
      </c>
      <c r="O137" s="77">
        <v>2.6950000000000002E-2</v>
      </c>
    </row>
    <row r="138" spans="7:15" x14ac:dyDescent="0.35">
      <c r="G138" s="7">
        <v>117</v>
      </c>
      <c r="H138" s="75" t="e">
        <v>#N/A</v>
      </c>
      <c r="I138" s="75" t="e">
        <v>#N/A</v>
      </c>
      <c r="J138" s="75" t="e" cm="1">
        <f t="array" ref="J138">_xlfn.LET(_xlpm.m, G138,
     _xlpm.rfr, I138,
     _xlpm.sm_down, INDEX(R.IRR_SM_DOWN, _xlpm.m),
     _xlpm.bm_down, INDEX(R.IRR_BM_DOWN, _xlpm.m),
     _xlpm.rfr * (1 - _xlpm.sm_down) - _xlpm.bm_down)</f>
        <v>#N/A</v>
      </c>
      <c r="K138" s="75" t="e">
        <f t="shared" si="6"/>
        <v>#N/A</v>
      </c>
      <c r="L138" s="77">
        <v>2.631E-2</v>
      </c>
      <c r="M138" s="75" t="e">
        <f t="shared" si="9"/>
        <v>#N/A</v>
      </c>
      <c r="N138" s="75" t="e">
        <f t="shared" si="8"/>
        <v>#N/A</v>
      </c>
      <c r="O138" s="77">
        <v>2.699E-2</v>
      </c>
    </row>
    <row r="139" spans="7:15" x14ac:dyDescent="0.35">
      <c r="G139" s="7">
        <v>118</v>
      </c>
      <c r="H139" s="75" t="e">
        <v>#N/A</v>
      </c>
      <c r="I139" s="75" t="e">
        <v>#N/A</v>
      </c>
      <c r="J139" s="75" t="e" cm="1">
        <f t="array" ref="J139">_xlfn.LET(_xlpm.m, G139,
     _xlpm.rfr, I139,
     _xlpm.sm_down, INDEX(R.IRR_SM_DOWN, _xlpm.m),
     _xlpm.bm_down, INDEX(R.IRR_BM_DOWN, _xlpm.m),
     _xlpm.rfr * (1 - _xlpm.sm_down) - _xlpm.bm_down)</f>
        <v>#N/A</v>
      </c>
      <c r="K139" s="75" t="e">
        <f t="shared" si="6"/>
        <v>#N/A</v>
      </c>
      <c r="L139" s="77">
        <v>2.6349999999999998E-2</v>
      </c>
      <c r="M139" s="75" t="e">
        <f t="shared" si="9"/>
        <v>#N/A</v>
      </c>
      <c r="N139" s="75" t="e">
        <f t="shared" si="8"/>
        <v>#N/A</v>
      </c>
      <c r="O139" s="77">
        <v>2.7029999999999998E-2</v>
      </c>
    </row>
    <row r="140" spans="7:15" x14ac:dyDescent="0.35">
      <c r="G140" s="2">
        <v>119</v>
      </c>
      <c r="H140" s="75" t="e">
        <v>#N/A</v>
      </c>
      <c r="I140" s="75" t="e">
        <v>#N/A</v>
      </c>
      <c r="J140" s="75" t="e" cm="1">
        <f t="array" ref="J140">_xlfn.LET(_xlpm.m, G140,
     _xlpm.rfr, I140,
     _xlpm.sm_down, INDEX(R.IRR_SM_DOWN, _xlpm.m),
     _xlpm.bm_down, INDEX(R.IRR_BM_DOWN, _xlpm.m),
     _xlpm.rfr * (1 - _xlpm.sm_down) - _xlpm.bm_down)</f>
        <v>#N/A</v>
      </c>
      <c r="K140" s="75" t="e">
        <f t="shared" si="6"/>
        <v>#N/A</v>
      </c>
      <c r="L140" s="77">
        <v>2.639E-2</v>
      </c>
      <c r="M140" s="75" t="e">
        <f t="shared" si="9"/>
        <v>#N/A</v>
      </c>
      <c r="N140" s="75" t="e">
        <f t="shared" si="8"/>
        <v>#N/A</v>
      </c>
      <c r="O140" s="77">
        <v>2.707E-2</v>
      </c>
    </row>
    <row r="141" spans="7:15" x14ac:dyDescent="0.35">
      <c r="G141" s="2">
        <v>120</v>
      </c>
      <c r="H141" s="75" t="e">
        <v>#N/A</v>
      </c>
      <c r="I141" s="75" t="e">
        <v>#N/A</v>
      </c>
      <c r="J141" s="75" t="e" cm="1">
        <f t="array" ref="J141">_xlfn.LET(_xlpm.m, G141,
     _xlpm.rfr, I141,
     _xlpm.sm_down, INDEX(R.IRR_SM_DOWN, _xlpm.m),
     _xlpm.bm_down, INDEX(R.IRR_BM_DOWN, _xlpm.m),
     _xlpm.rfr * (1 - _xlpm.sm_down) - _xlpm.bm_down)</f>
        <v>#N/A</v>
      </c>
      <c r="K141" s="75" t="e">
        <f t="shared" si="6"/>
        <v>#N/A</v>
      </c>
      <c r="L141" s="77">
        <v>2.6440000000000002E-2</v>
      </c>
      <c r="M141" s="75" t="e">
        <f t="shared" si="9"/>
        <v>#N/A</v>
      </c>
      <c r="N141" s="75" t="e">
        <f t="shared" si="8"/>
        <v>#N/A</v>
      </c>
      <c r="O141" s="77">
        <v>2.7099999999999999E-2</v>
      </c>
    </row>
    <row r="142" spans="7:15" x14ac:dyDescent="0.35">
      <c r="G142" s="7">
        <v>121</v>
      </c>
      <c r="H142" s="75" t="e">
        <v>#N/A</v>
      </c>
      <c r="I142" s="75" t="e">
        <v>#N/A</v>
      </c>
      <c r="J142" s="75" t="e" cm="1">
        <f t="array" ref="J142">_xlfn.LET(_xlpm.m, G142,
     _xlpm.rfr, I142,
     _xlpm.sm_down, INDEX(R.IRR_SM_DOWN, _xlpm.m),
     _xlpm.bm_down, INDEX(R.IRR_BM_DOWN, _xlpm.m),
     _xlpm.rfr * (1 - _xlpm.sm_down) - _xlpm.bm_down)</f>
        <v>#N/A</v>
      </c>
      <c r="K142" s="75" t="e">
        <f t="shared" si="6"/>
        <v>#N/A</v>
      </c>
      <c r="L142" s="77">
        <v>2.648E-2</v>
      </c>
      <c r="M142" s="75" t="e">
        <f t="shared" si="9"/>
        <v>#N/A</v>
      </c>
      <c r="N142" s="75" t="e">
        <f t="shared" si="8"/>
        <v>#N/A</v>
      </c>
      <c r="O142" s="77">
        <v>2.7140000000000001E-2</v>
      </c>
    </row>
    <row r="143" spans="7:15" x14ac:dyDescent="0.35">
      <c r="G143" s="7">
        <v>122</v>
      </c>
      <c r="H143" s="75" t="e">
        <v>#N/A</v>
      </c>
      <c r="I143" s="75" t="e">
        <v>#N/A</v>
      </c>
      <c r="J143" s="75" t="e" cm="1">
        <f t="array" ref="J143">_xlfn.LET(_xlpm.m, G143,
     _xlpm.rfr, I143,
     _xlpm.sm_down, INDEX(R.IRR_SM_DOWN, _xlpm.m),
     _xlpm.bm_down, INDEX(R.IRR_BM_DOWN, _xlpm.m),
     _xlpm.rfr * (1 - _xlpm.sm_down) - _xlpm.bm_down)</f>
        <v>#N/A</v>
      </c>
      <c r="K143" s="75" t="e">
        <f t="shared" si="6"/>
        <v>#N/A</v>
      </c>
      <c r="L143" s="77">
        <v>2.6519999999999998E-2</v>
      </c>
      <c r="M143" s="75" t="e">
        <f t="shared" si="9"/>
        <v>#N/A</v>
      </c>
      <c r="N143" s="75" t="e">
        <f t="shared" si="8"/>
        <v>#N/A</v>
      </c>
      <c r="O143" s="77">
        <v>2.7179999999999999E-2</v>
      </c>
    </row>
    <row r="144" spans="7:15" x14ac:dyDescent="0.35">
      <c r="G144" s="7">
        <v>123</v>
      </c>
      <c r="H144" s="75" t="e">
        <v>#N/A</v>
      </c>
      <c r="I144" s="75" t="e">
        <v>#N/A</v>
      </c>
      <c r="J144" s="75" t="e" cm="1">
        <f t="array" ref="J144">_xlfn.LET(_xlpm.m, G144,
     _xlpm.rfr, I144,
     _xlpm.sm_down, INDEX(R.IRR_SM_DOWN, _xlpm.m),
     _xlpm.bm_down, INDEX(R.IRR_BM_DOWN, _xlpm.m),
     _xlpm.rfr * (1 - _xlpm.sm_down) - _xlpm.bm_down)</f>
        <v>#N/A</v>
      </c>
      <c r="K144" s="75" t="e">
        <f t="shared" si="6"/>
        <v>#N/A</v>
      </c>
      <c r="L144" s="77">
        <v>2.656E-2</v>
      </c>
      <c r="M144" s="75" t="e">
        <f t="shared" si="9"/>
        <v>#N/A</v>
      </c>
      <c r="N144" s="75" t="e">
        <f t="shared" si="8"/>
        <v>#N/A</v>
      </c>
      <c r="O144" s="77">
        <v>2.7210000000000002E-2</v>
      </c>
    </row>
    <row r="145" spans="7:15" x14ac:dyDescent="0.35">
      <c r="G145" s="2">
        <v>124</v>
      </c>
      <c r="H145" s="75" t="e">
        <v>#N/A</v>
      </c>
      <c r="I145" s="75" t="e">
        <v>#N/A</v>
      </c>
      <c r="J145" s="75" t="e" cm="1">
        <f t="array" ref="J145">_xlfn.LET(_xlpm.m, G145,
     _xlpm.rfr, I145,
     _xlpm.sm_down, INDEX(R.IRR_SM_DOWN, _xlpm.m),
     _xlpm.bm_down, INDEX(R.IRR_BM_DOWN, _xlpm.m),
     _xlpm.rfr * (1 - _xlpm.sm_down) - _xlpm.bm_down)</f>
        <v>#N/A</v>
      </c>
      <c r="K145" s="75" t="e">
        <f t="shared" si="6"/>
        <v>#N/A</v>
      </c>
      <c r="L145" s="77">
        <v>2.6599999999999999E-2</v>
      </c>
      <c r="M145" s="75" t="e">
        <f t="shared" si="9"/>
        <v>#N/A</v>
      </c>
      <c r="N145" s="75" t="e">
        <f t="shared" si="8"/>
        <v>#N/A</v>
      </c>
      <c r="O145" s="77">
        <v>2.725E-2</v>
      </c>
    </row>
    <row r="146" spans="7:15" x14ac:dyDescent="0.35">
      <c r="G146" s="2">
        <v>125</v>
      </c>
      <c r="H146" s="75" t="e">
        <v>#N/A</v>
      </c>
      <c r="I146" s="75" t="e">
        <v>#N/A</v>
      </c>
      <c r="J146" s="75" t="e" cm="1">
        <f t="array" ref="J146">_xlfn.LET(_xlpm.m, G146,
     _xlpm.rfr, I146,
     _xlpm.sm_down, INDEX(R.IRR_SM_DOWN, _xlpm.m),
     _xlpm.bm_down, INDEX(R.IRR_BM_DOWN, _xlpm.m),
     _xlpm.rfr * (1 - _xlpm.sm_down) - _xlpm.bm_down)</f>
        <v>#N/A</v>
      </c>
      <c r="K146" s="75" t="e">
        <f t="shared" si="6"/>
        <v>#N/A</v>
      </c>
      <c r="L146" s="77">
        <v>2.664E-2</v>
      </c>
      <c r="M146" s="75" t="e">
        <f t="shared" si="9"/>
        <v>#N/A</v>
      </c>
      <c r="N146" s="75" t="e">
        <f t="shared" si="8"/>
        <v>#N/A</v>
      </c>
      <c r="O146" s="77">
        <v>2.7279999999999999E-2</v>
      </c>
    </row>
    <row r="147" spans="7:15" x14ac:dyDescent="0.35">
      <c r="G147" s="7">
        <v>126</v>
      </c>
      <c r="H147" s="75" t="e">
        <v>#N/A</v>
      </c>
      <c r="I147" s="75" t="e">
        <v>#N/A</v>
      </c>
      <c r="J147" s="75" t="e" cm="1">
        <f t="array" ref="J147">_xlfn.LET(_xlpm.m, G147,
     _xlpm.rfr, I147,
     _xlpm.sm_down, INDEX(R.IRR_SM_DOWN, _xlpm.m),
     _xlpm.bm_down, INDEX(R.IRR_BM_DOWN, _xlpm.m),
     _xlpm.rfr * (1 - _xlpm.sm_down) - _xlpm.bm_down)</f>
        <v>#N/A</v>
      </c>
      <c r="K147" s="75" t="e">
        <f t="shared" si="6"/>
        <v>#N/A</v>
      </c>
      <c r="L147" s="77">
        <v>2.6679999999999999E-2</v>
      </c>
      <c r="M147" s="75" t="e">
        <f t="shared" si="9"/>
        <v>#N/A</v>
      </c>
      <c r="N147" s="75" t="e">
        <f t="shared" si="8"/>
        <v>#N/A</v>
      </c>
      <c r="O147" s="77">
        <v>2.7310000000000001E-2</v>
      </c>
    </row>
    <row r="148" spans="7:15" x14ac:dyDescent="0.35">
      <c r="G148" s="7">
        <v>127</v>
      </c>
      <c r="H148" s="75" t="e">
        <v>#N/A</v>
      </c>
      <c r="I148" s="75" t="e">
        <v>#N/A</v>
      </c>
      <c r="J148" s="75" t="e" cm="1">
        <f t="array" ref="J148">_xlfn.LET(_xlpm.m, G148,
     _xlpm.rfr, I148,
     _xlpm.sm_down, INDEX(R.IRR_SM_DOWN, _xlpm.m),
     _xlpm.bm_down, INDEX(R.IRR_BM_DOWN, _xlpm.m),
     _xlpm.rfr * (1 - _xlpm.sm_down) - _xlpm.bm_down)</f>
        <v>#N/A</v>
      </c>
      <c r="K148" s="75" t="e">
        <f t="shared" si="6"/>
        <v>#N/A</v>
      </c>
      <c r="L148" s="77">
        <v>2.6710000000000001E-2</v>
      </c>
      <c r="M148" s="75" t="e">
        <f t="shared" si="9"/>
        <v>#N/A</v>
      </c>
      <c r="N148" s="75" t="e">
        <f t="shared" si="8"/>
        <v>#N/A</v>
      </c>
      <c r="O148" s="77">
        <v>2.7349999999999999E-2</v>
      </c>
    </row>
    <row r="149" spans="7:15" x14ac:dyDescent="0.35">
      <c r="G149" s="7">
        <v>128</v>
      </c>
      <c r="H149" s="75" t="e">
        <v>#N/A</v>
      </c>
      <c r="I149" s="75" t="e">
        <v>#N/A</v>
      </c>
      <c r="J149" s="75" t="e" cm="1">
        <f t="array" ref="J149">_xlfn.LET(_xlpm.m, G149,
     _xlpm.rfr, I149,
     _xlpm.sm_down, INDEX(R.IRR_SM_DOWN, _xlpm.m),
     _xlpm.bm_down, INDEX(R.IRR_BM_DOWN, _xlpm.m),
     _xlpm.rfr * (1 - _xlpm.sm_down) - _xlpm.bm_down)</f>
        <v>#N/A</v>
      </c>
      <c r="K149" s="75" t="e">
        <f t="shared" si="6"/>
        <v>#N/A</v>
      </c>
      <c r="L149" s="77">
        <v>2.6749999999999999E-2</v>
      </c>
      <c r="M149" s="75" t="e">
        <f t="shared" si="9"/>
        <v>#N/A</v>
      </c>
      <c r="N149" s="75" t="e">
        <f t="shared" si="8"/>
        <v>#N/A</v>
      </c>
      <c r="O149" s="77">
        <v>2.7380000000000002E-2</v>
      </c>
    </row>
    <row r="150" spans="7:15" x14ac:dyDescent="0.35">
      <c r="G150" s="2">
        <v>129</v>
      </c>
      <c r="H150" s="75" t="e">
        <v>#N/A</v>
      </c>
      <c r="I150" s="75" t="e">
        <v>#N/A</v>
      </c>
      <c r="J150" s="75" t="e" cm="1">
        <f t="array" ref="J150">_xlfn.LET(_xlpm.m, G150,
     _xlpm.rfr, I150,
     _xlpm.sm_down, INDEX(R.IRR_SM_DOWN, _xlpm.m),
     _xlpm.bm_down, INDEX(R.IRR_BM_DOWN, _xlpm.m),
     _xlpm.rfr * (1 - _xlpm.sm_down) - _xlpm.bm_down)</f>
        <v>#N/A</v>
      </c>
      <c r="K150" s="75" t="e">
        <f t="shared" si="6"/>
        <v>#N/A</v>
      </c>
      <c r="L150" s="77">
        <v>2.6790000000000001E-2</v>
      </c>
      <c r="M150" s="75" t="e">
        <f t="shared" si="9"/>
        <v>#N/A</v>
      </c>
      <c r="N150" s="75" t="e">
        <f t="shared" ref="N150:N171" si="10">M150+LN(1+V.TOTAL_VA)</f>
        <v>#N/A</v>
      </c>
      <c r="O150" s="77">
        <v>2.741E-2</v>
      </c>
    </row>
    <row r="151" spans="7:15" x14ac:dyDescent="0.35">
      <c r="G151" s="2">
        <v>130</v>
      </c>
      <c r="H151" s="75" t="e">
        <v>#N/A</v>
      </c>
      <c r="I151" s="75" t="e">
        <v>#N/A</v>
      </c>
      <c r="J151" s="75" t="e" cm="1">
        <f t="array" ref="J151">_xlfn.LET(_xlpm.m, G151,
     _xlpm.rfr, I151,
     _xlpm.sm_down, INDEX(R.IRR_SM_DOWN, _xlpm.m),
     _xlpm.bm_down, INDEX(R.IRR_BM_DOWN, _xlpm.m),
     _xlpm.rfr * (1 - _xlpm.sm_down) - _xlpm.bm_down)</f>
        <v>#N/A</v>
      </c>
      <c r="K151" s="75" t="e">
        <f t="shared" ref="K151:K171" si="11">LN(1+J151)</f>
        <v>#N/A</v>
      </c>
      <c r="L151" s="77">
        <v>2.683E-2</v>
      </c>
      <c r="M151" s="75" t="e">
        <f t="shared" ref="M151:M171" si="12">G151*K151-G150*K150</f>
        <v>#N/A</v>
      </c>
      <c r="N151" s="75" t="e">
        <f t="shared" si="10"/>
        <v>#N/A</v>
      </c>
      <c r="O151" s="77">
        <v>2.7439999999999999E-2</v>
      </c>
    </row>
    <row r="152" spans="7:15" x14ac:dyDescent="0.35">
      <c r="G152" s="7">
        <v>131</v>
      </c>
      <c r="H152" s="75" t="e">
        <v>#N/A</v>
      </c>
      <c r="I152" s="75" t="e">
        <v>#N/A</v>
      </c>
      <c r="J152" s="75" t="e" cm="1">
        <f t="array" ref="J152">_xlfn.LET(_xlpm.m, G152,
     _xlpm.rfr, I152,
     _xlpm.sm_down, INDEX(R.IRR_SM_DOWN, _xlpm.m),
     _xlpm.bm_down, INDEX(R.IRR_BM_DOWN, _xlpm.m),
     _xlpm.rfr * (1 - _xlpm.sm_down) - _xlpm.bm_down)</f>
        <v>#N/A</v>
      </c>
      <c r="K152" s="75" t="e">
        <f t="shared" si="11"/>
        <v>#N/A</v>
      </c>
      <c r="L152" s="77">
        <v>2.6859999999999998E-2</v>
      </c>
      <c r="M152" s="75" t="e">
        <f t="shared" si="12"/>
        <v>#N/A</v>
      </c>
      <c r="N152" s="75" t="e">
        <f t="shared" si="10"/>
        <v>#N/A</v>
      </c>
      <c r="O152" s="77">
        <v>2.7470000000000001E-2</v>
      </c>
    </row>
    <row r="153" spans="7:15" x14ac:dyDescent="0.35">
      <c r="G153" s="7">
        <v>132</v>
      </c>
      <c r="H153" s="75" t="e">
        <v>#N/A</v>
      </c>
      <c r="I153" s="75" t="e">
        <v>#N/A</v>
      </c>
      <c r="J153" s="75" t="e" cm="1">
        <f t="array" ref="J153">_xlfn.LET(_xlpm.m, G153,
     _xlpm.rfr, I153,
     _xlpm.sm_down, INDEX(R.IRR_SM_DOWN, _xlpm.m),
     _xlpm.bm_down, INDEX(R.IRR_BM_DOWN, _xlpm.m),
     _xlpm.rfr * (1 - _xlpm.sm_down) - _xlpm.bm_down)</f>
        <v>#N/A</v>
      </c>
      <c r="K153" s="75" t="e">
        <f t="shared" si="11"/>
        <v>#N/A</v>
      </c>
      <c r="L153" s="77">
        <v>2.69E-2</v>
      </c>
      <c r="M153" s="75" t="e">
        <f t="shared" si="12"/>
        <v>#N/A</v>
      </c>
      <c r="N153" s="75" t="e">
        <f t="shared" si="10"/>
        <v>#N/A</v>
      </c>
      <c r="O153" s="77">
        <v>2.75E-2</v>
      </c>
    </row>
    <row r="154" spans="7:15" x14ac:dyDescent="0.35">
      <c r="G154" s="7">
        <v>133</v>
      </c>
      <c r="H154" s="75" t="e">
        <v>#N/A</v>
      </c>
      <c r="I154" s="75" t="e">
        <v>#N/A</v>
      </c>
      <c r="J154" s="75" t="e" cm="1">
        <f t="array" ref="J154">_xlfn.LET(_xlpm.m, G154,
     _xlpm.rfr, I154,
     _xlpm.sm_down, INDEX(R.IRR_SM_DOWN, _xlpm.m),
     _xlpm.bm_down, INDEX(R.IRR_BM_DOWN, _xlpm.m),
     _xlpm.rfr * (1 - _xlpm.sm_down) - _xlpm.bm_down)</f>
        <v>#N/A</v>
      </c>
      <c r="K154" s="75" t="e">
        <f t="shared" si="11"/>
        <v>#N/A</v>
      </c>
      <c r="L154" s="77">
        <v>2.6929999999999999E-2</v>
      </c>
      <c r="M154" s="75" t="e">
        <f t="shared" si="12"/>
        <v>#N/A</v>
      </c>
      <c r="N154" s="75" t="e">
        <f t="shared" si="10"/>
        <v>#N/A</v>
      </c>
      <c r="O154" s="77">
        <v>2.7529999999999999E-2</v>
      </c>
    </row>
    <row r="155" spans="7:15" x14ac:dyDescent="0.35">
      <c r="G155" s="2">
        <v>134</v>
      </c>
      <c r="H155" s="75" t="e">
        <v>#N/A</v>
      </c>
      <c r="I155" s="75" t="e">
        <v>#N/A</v>
      </c>
      <c r="J155" s="75" t="e" cm="1">
        <f t="array" ref="J155">_xlfn.LET(_xlpm.m, G155,
     _xlpm.rfr, I155,
     _xlpm.sm_down, INDEX(R.IRR_SM_DOWN, _xlpm.m),
     _xlpm.bm_down, INDEX(R.IRR_BM_DOWN, _xlpm.m),
     _xlpm.rfr * (1 - _xlpm.sm_down) - _xlpm.bm_down)</f>
        <v>#N/A</v>
      </c>
      <c r="K155" s="75" t="e">
        <f t="shared" si="11"/>
        <v>#N/A</v>
      </c>
      <c r="L155" s="77">
        <v>2.6960000000000001E-2</v>
      </c>
      <c r="M155" s="75" t="e">
        <f t="shared" si="12"/>
        <v>#N/A</v>
      </c>
      <c r="N155" s="75" t="e">
        <f t="shared" si="10"/>
        <v>#N/A</v>
      </c>
      <c r="O155" s="77">
        <v>2.7560000000000001E-2</v>
      </c>
    </row>
    <row r="156" spans="7:15" x14ac:dyDescent="0.35">
      <c r="G156" s="2">
        <v>135</v>
      </c>
      <c r="H156" s="75" t="e">
        <v>#N/A</v>
      </c>
      <c r="I156" s="75" t="e">
        <v>#N/A</v>
      </c>
      <c r="J156" s="75" t="e" cm="1">
        <f t="array" ref="J156">_xlfn.LET(_xlpm.m, G156,
     _xlpm.rfr, I156,
     _xlpm.sm_down, INDEX(R.IRR_SM_DOWN, _xlpm.m),
     _xlpm.bm_down, INDEX(R.IRR_BM_DOWN, _xlpm.m),
     _xlpm.rfr * (1 - _xlpm.sm_down) - _xlpm.bm_down)</f>
        <v>#N/A</v>
      </c>
      <c r="K156" s="75" t="e">
        <f t="shared" si="11"/>
        <v>#N/A</v>
      </c>
      <c r="L156" s="77">
        <v>2.7E-2</v>
      </c>
      <c r="M156" s="75" t="e">
        <f t="shared" si="12"/>
        <v>#N/A</v>
      </c>
      <c r="N156" s="75" t="e">
        <f t="shared" si="10"/>
        <v>#N/A</v>
      </c>
      <c r="O156" s="77">
        <v>2.759E-2</v>
      </c>
    </row>
    <row r="157" spans="7:15" x14ac:dyDescent="0.35">
      <c r="G157" s="7">
        <v>136</v>
      </c>
      <c r="H157" s="75" t="e">
        <v>#N/A</v>
      </c>
      <c r="I157" s="75" t="e">
        <v>#N/A</v>
      </c>
      <c r="J157" s="75" t="e" cm="1">
        <f t="array" ref="J157">_xlfn.LET(_xlpm.m, G157,
     _xlpm.rfr, I157,
     _xlpm.sm_down, INDEX(R.IRR_SM_DOWN, _xlpm.m),
     _xlpm.bm_down, INDEX(R.IRR_BM_DOWN, _xlpm.m),
     _xlpm.rfr * (1 - _xlpm.sm_down) - _xlpm.bm_down)</f>
        <v>#N/A</v>
      </c>
      <c r="K157" s="75" t="e">
        <f t="shared" si="11"/>
        <v>#N/A</v>
      </c>
      <c r="L157" s="77">
        <v>2.7029999999999998E-2</v>
      </c>
      <c r="M157" s="75" t="e">
        <f t="shared" si="12"/>
        <v>#N/A</v>
      </c>
      <c r="N157" s="75" t="e">
        <f t="shared" si="10"/>
        <v>#N/A</v>
      </c>
      <c r="O157" s="77">
        <v>2.7619999999999999E-2</v>
      </c>
    </row>
    <row r="158" spans="7:15" x14ac:dyDescent="0.35">
      <c r="G158" s="7">
        <v>137</v>
      </c>
      <c r="H158" s="75" t="e">
        <v>#N/A</v>
      </c>
      <c r="I158" s="75" t="e">
        <v>#N/A</v>
      </c>
      <c r="J158" s="75" t="e" cm="1">
        <f t="array" ref="J158">_xlfn.LET(_xlpm.m, G158,
     _xlpm.rfr, I158,
     _xlpm.sm_down, INDEX(R.IRR_SM_DOWN, _xlpm.m),
     _xlpm.bm_down, INDEX(R.IRR_BM_DOWN, _xlpm.m),
     _xlpm.rfr * (1 - _xlpm.sm_down) - _xlpm.bm_down)</f>
        <v>#N/A</v>
      </c>
      <c r="K158" s="75" t="e">
        <f t="shared" si="11"/>
        <v>#N/A</v>
      </c>
      <c r="L158" s="77">
        <v>2.7060000000000001E-2</v>
      </c>
      <c r="M158" s="75" t="e">
        <f t="shared" si="12"/>
        <v>#N/A</v>
      </c>
      <c r="N158" s="75" t="e">
        <f t="shared" si="10"/>
        <v>#N/A</v>
      </c>
      <c r="O158" s="77">
        <v>2.7650000000000001E-2</v>
      </c>
    </row>
    <row r="159" spans="7:15" x14ac:dyDescent="0.35">
      <c r="G159" s="7">
        <v>138</v>
      </c>
      <c r="H159" s="75" t="e">
        <v>#N/A</v>
      </c>
      <c r="I159" s="75" t="e">
        <v>#N/A</v>
      </c>
      <c r="J159" s="75" t="e" cm="1">
        <f t="array" ref="J159">_xlfn.LET(_xlpm.m, G159,
     _xlpm.rfr, I159,
     _xlpm.sm_down, INDEX(R.IRR_SM_DOWN, _xlpm.m),
     _xlpm.bm_down, INDEX(R.IRR_BM_DOWN, _xlpm.m),
     _xlpm.rfr * (1 - _xlpm.sm_down) - _xlpm.bm_down)</f>
        <v>#N/A</v>
      </c>
      <c r="K159" s="75" t="e">
        <f t="shared" si="11"/>
        <v>#N/A</v>
      </c>
      <c r="L159" s="77">
        <v>2.7099999999999999E-2</v>
      </c>
      <c r="M159" s="75" t="e">
        <f t="shared" si="12"/>
        <v>#N/A</v>
      </c>
      <c r="N159" s="75" t="e">
        <f t="shared" si="10"/>
        <v>#N/A</v>
      </c>
      <c r="O159" s="77">
        <v>2.768E-2</v>
      </c>
    </row>
    <row r="160" spans="7:15" x14ac:dyDescent="0.35">
      <c r="G160" s="2">
        <v>139</v>
      </c>
      <c r="H160" s="75" t="e">
        <v>#N/A</v>
      </c>
      <c r="I160" s="75" t="e">
        <v>#N/A</v>
      </c>
      <c r="J160" s="75" t="e" cm="1">
        <f t="array" ref="J160">_xlfn.LET(_xlpm.m, G160,
     _xlpm.rfr, I160,
     _xlpm.sm_down, INDEX(R.IRR_SM_DOWN, _xlpm.m),
     _xlpm.bm_down, INDEX(R.IRR_BM_DOWN, _xlpm.m),
     _xlpm.rfr * (1 - _xlpm.sm_down) - _xlpm.bm_down)</f>
        <v>#N/A</v>
      </c>
      <c r="K160" s="75" t="e">
        <f t="shared" si="11"/>
        <v>#N/A</v>
      </c>
      <c r="L160" s="77">
        <v>2.7130000000000001E-2</v>
      </c>
      <c r="M160" s="75" t="e">
        <f t="shared" si="12"/>
        <v>#N/A</v>
      </c>
      <c r="N160" s="75" t="e">
        <f t="shared" si="10"/>
        <v>#N/A</v>
      </c>
      <c r="O160" s="77">
        <v>2.7699999999999999E-2</v>
      </c>
    </row>
    <row r="161" spans="7:15" x14ac:dyDescent="0.35">
      <c r="G161" s="2">
        <v>140</v>
      </c>
      <c r="H161" s="75" t="e">
        <v>#N/A</v>
      </c>
      <c r="I161" s="75" t="e">
        <v>#N/A</v>
      </c>
      <c r="J161" s="75" t="e" cm="1">
        <f t="array" ref="J161">_xlfn.LET(_xlpm.m, G161,
     _xlpm.rfr, I161,
     _xlpm.sm_down, INDEX(R.IRR_SM_DOWN, _xlpm.m),
     _xlpm.bm_down, INDEX(R.IRR_BM_DOWN, _xlpm.m),
     _xlpm.rfr * (1 - _xlpm.sm_down) - _xlpm.bm_down)</f>
        <v>#N/A</v>
      </c>
      <c r="K161" s="75" t="e">
        <f t="shared" si="11"/>
        <v>#N/A</v>
      </c>
      <c r="L161" s="77">
        <v>2.716E-2</v>
      </c>
      <c r="M161" s="75" t="e">
        <f t="shared" si="12"/>
        <v>#N/A</v>
      </c>
      <c r="N161" s="75" t="e">
        <f t="shared" si="10"/>
        <v>#N/A</v>
      </c>
      <c r="O161" s="77">
        <v>2.7730000000000001E-2</v>
      </c>
    </row>
    <row r="162" spans="7:15" x14ac:dyDescent="0.35">
      <c r="G162" s="7">
        <v>141</v>
      </c>
      <c r="H162" s="75" t="e">
        <v>#N/A</v>
      </c>
      <c r="I162" s="75" t="e">
        <v>#N/A</v>
      </c>
      <c r="J162" s="75" t="e" cm="1">
        <f t="array" ref="J162">_xlfn.LET(_xlpm.m, G162,
     _xlpm.rfr, I162,
     _xlpm.sm_down, INDEX(R.IRR_SM_DOWN, _xlpm.m),
     _xlpm.bm_down, INDEX(R.IRR_BM_DOWN, _xlpm.m),
     _xlpm.rfr * (1 - _xlpm.sm_down) - _xlpm.bm_down)</f>
        <v>#N/A</v>
      </c>
      <c r="K162" s="75" t="e">
        <f t="shared" si="11"/>
        <v>#N/A</v>
      </c>
      <c r="L162" s="77">
        <v>2.7189999999999999E-2</v>
      </c>
      <c r="M162" s="75" t="e">
        <f t="shared" si="12"/>
        <v>#N/A</v>
      </c>
      <c r="N162" s="75" t="e">
        <f t="shared" si="10"/>
        <v>#N/A</v>
      </c>
      <c r="O162" s="77">
        <v>2.776E-2</v>
      </c>
    </row>
    <row r="163" spans="7:15" x14ac:dyDescent="0.35">
      <c r="G163" s="7">
        <v>142</v>
      </c>
      <c r="H163" s="75" t="e">
        <v>#N/A</v>
      </c>
      <c r="I163" s="75" t="e">
        <v>#N/A</v>
      </c>
      <c r="J163" s="75" t="e" cm="1">
        <f t="array" ref="J163">_xlfn.LET(_xlpm.m, G163,
     _xlpm.rfr, I163,
     _xlpm.sm_down, INDEX(R.IRR_SM_DOWN, _xlpm.m),
     _xlpm.bm_down, INDEX(R.IRR_BM_DOWN, _xlpm.m),
     _xlpm.rfr * (1 - _xlpm.sm_down) - _xlpm.bm_down)</f>
        <v>#N/A</v>
      </c>
      <c r="K163" s="75" t="e">
        <f t="shared" si="11"/>
        <v>#N/A</v>
      </c>
      <c r="L163" s="77">
        <v>2.7220000000000001E-2</v>
      </c>
      <c r="M163" s="75" t="e">
        <f t="shared" si="12"/>
        <v>#N/A</v>
      </c>
      <c r="N163" s="75" t="e">
        <f t="shared" si="10"/>
        <v>#N/A</v>
      </c>
      <c r="O163" s="77">
        <v>2.7779999999999999E-2</v>
      </c>
    </row>
    <row r="164" spans="7:15" x14ac:dyDescent="0.35">
      <c r="G164" s="7">
        <v>143</v>
      </c>
      <c r="H164" s="75" t="e">
        <v>#N/A</v>
      </c>
      <c r="I164" s="75" t="e">
        <v>#N/A</v>
      </c>
      <c r="J164" s="75" t="e" cm="1">
        <f t="array" ref="J164">_xlfn.LET(_xlpm.m, G164,
     _xlpm.rfr, I164,
     _xlpm.sm_down, INDEX(R.IRR_SM_DOWN, _xlpm.m),
     _xlpm.bm_down, INDEX(R.IRR_BM_DOWN, _xlpm.m),
     _xlpm.rfr * (1 - _xlpm.sm_down) - _xlpm.bm_down)</f>
        <v>#N/A</v>
      </c>
      <c r="K164" s="75" t="e">
        <f t="shared" si="11"/>
        <v>#N/A</v>
      </c>
      <c r="L164" s="77">
        <v>2.725E-2</v>
      </c>
      <c r="M164" s="75" t="e">
        <f t="shared" si="12"/>
        <v>#N/A</v>
      </c>
      <c r="N164" s="75" t="e">
        <f t="shared" si="10"/>
        <v>#N/A</v>
      </c>
      <c r="O164" s="77">
        <v>2.7810000000000001E-2</v>
      </c>
    </row>
    <row r="165" spans="7:15" x14ac:dyDescent="0.35">
      <c r="G165" s="2">
        <v>144</v>
      </c>
      <c r="H165" s="75" t="e">
        <v>#N/A</v>
      </c>
      <c r="I165" s="75" t="e">
        <v>#N/A</v>
      </c>
      <c r="J165" s="75" t="e" cm="1">
        <f t="array" ref="J165">_xlfn.LET(_xlpm.m, G165,
     _xlpm.rfr, I165,
     _xlpm.sm_down, INDEX(R.IRR_SM_DOWN, _xlpm.m),
     _xlpm.bm_down, INDEX(R.IRR_BM_DOWN, _xlpm.m),
     _xlpm.rfr * (1 - _xlpm.sm_down) - _xlpm.bm_down)</f>
        <v>#N/A</v>
      </c>
      <c r="K165" s="75" t="e">
        <f t="shared" si="11"/>
        <v>#N/A</v>
      </c>
      <c r="L165" s="77">
        <v>2.7279999999999999E-2</v>
      </c>
      <c r="M165" s="75" t="e">
        <f t="shared" si="12"/>
        <v>#N/A</v>
      </c>
      <c r="N165" s="75" t="e">
        <f t="shared" si="10"/>
        <v>#N/A</v>
      </c>
      <c r="O165" s="77">
        <v>2.784E-2</v>
      </c>
    </row>
    <row r="166" spans="7:15" x14ac:dyDescent="0.35">
      <c r="G166" s="2">
        <v>145</v>
      </c>
      <c r="H166" s="75" t="e">
        <v>#N/A</v>
      </c>
      <c r="I166" s="75" t="e">
        <v>#N/A</v>
      </c>
      <c r="J166" s="75" t="e" cm="1">
        <f t="array" ref="J166">_xlfn.LET(_xlpm.m, G166,
     _xlpm.rfr, I166,
     _xlpm.sm_down, INDEX(R.IRR_SM_DOWN, _xlpm.m),
     _xlpm.bm_down, INDEX(R.IRR_BM_DOWN, _xlpm.m),
     _xlpm.rfr * (1 - _xlpm.sm_down) - _xlpm.bm_down)</f>
        <v>#N/A</v>
      </c>
      <c r="K166" s="75" t="e">
        <f t="shared" si="11"/>
        <v>#N/A</v>
      </c>
      <c r="L166" s="77">
        <v>2.7310000000000001E-2</v>
      </c>
      <c r="M166" s="75" t="e">
        <f t="shared" si="12"/>
        <v>#N/A</v>
      </c>
      <c r="N166" s="75" t="e">
        <f t="shared" si="10"/>
        <v>#N/A</v>
      </c>
      <c r="O166" s="77">
        <v>2.7859999999999999E-2</v>
      </c>
    </row>
    <row r="167" spans="7:15" x14ac:dyDescent="0.35">
      <c r="G167" s="7">
        <v>146</v>
      </c>
      <c r="H167" s="75" t="e">
        <v>#N/A</v>
      </c>
      <c r="I167" s="75" t="e">
        <v>#N/A</v>
      </c>
      <c r="J167" s="75" t="e" cm="1">
        <f t="array" ref="J167">_xlfn.LET(_xlpm.m, G167,
     _xlpm.rfr, I167,
     _xlpm.sm_down, INDEX(R.IRR_SM_DOWN, _xlpm.m),
     _xlpm.bm_down, INDEX(R.IRR_BM_DOWN, _xlpm.m),
     _xlpm.rfr * (1 - _xlpm.sm_down) - _xlpm.bm_down)</f>
        <v>#N/A</v>
      </c>
      <c r="K167" s="75" t="e">
        <f t="shared" si="11"/>
        <v>#N/A</v>
      </c>
      <c r="L167" s="77">
        <v>2.734E-2</v>
      </c>
      <c r="M167" s="75" t="e">
        <f t="shared" si="12"/>
        <v>#N/A</v>
      </c>
      <c r="N167" s="75" t="e">
        <f t="shared" si="10"/>
        <v>#N/A</v>
      </c>
      <c r="O167" s="77">
        <v>2.7890000000000002E-2</v>
      </c>
    </row>
    <row r="168" spans="7:15" x14ac:dyDescent="0.35">
      <c r="G168" s="7">
        <v>147</v>
      </c>
      <c r="H168" s="75" t="e">
        <v>#N/A</v>
      </c>
      <c r="I168" s="75" t="e">
        <v>#N/A</v>
      </c>
      <c r="J168" s="75" t="e" cm="1">
        <f t="array" ref="J168">_xlfn.LET(_xlpm.m, G168,
     _xlpm.rfr, I168,
     _xlpm.sm_down, INDEX(R.IRR_SM_DOWN, _xlpm.m),
     _xlpm.bm_down, INDEX(R.IRR_BM_DOWN, _xlpm.m),
     _xlpm.rfr * (1 - _xlpm.sm_down) - _xlpm.bm_down)</f>
        <v>#N/A</v>
      </c>
      <c r="K168" s="75" t="e">
        <f t="shared" si="11"/>
        <v>#N/A</v>
      </c>
      <c r="L168" s="77">
        <v>2.7359999999999999E-2</v>
      </c>
      <c r="M168" s="75" t="e">
        <f t="shared" si="12"/>
        <v>#N/A</v>
      </c>
      <c r="N168" s="75" t="e">
        <f t="shared" si="10"/>
        <v>#N/A</v>
      </c>
      <c r="O168" s="77">
        <v>2.7910000000000001E-2</v>
      </c>
    </row>
    <row r="169" spans="7:15" x14ac:dyDescent="0.35">
      <c r="G169" s="7">
        <v>148</v>
      </c>
      <c r="H169" s="75" t="e">
        <v>#N/A</v>
      </c>
      <c r="I169" s="75" t="e">
        <v>#N/A</v>
      </c>
      <c r="J169" s="75" t="e" cm="1">
        <f t="array" ref="J169">_xlfn.LET(_xlpm.m, G169,
     _xlpm.rfr, I169,
     _xlpm.sm_down, INDEX(R.IRR_SM_DOWN, _xlpm.m),
     _xlpm.bm_down, INDEX(R.IRR_BM_DOWN, _xlpm.m),
     _xlpm.rfr * (1 - _xlpm.sm_down) - _xlpm.bm_down)</f>
        <v>#N/A</v>
      </c>
      <c r="K169" s="75" t="e">
        <f t="shared" si="11"/>
        <v>#N/A</v>
      </c>
      <c r="L169" s="77">
        <v>2.7390000000000001E-2</v>
      </c>
      <c r="M169" s="75" t="e">
        <f t="shared" si="12"/>
        <v>#N/A</v>
      </c>
      <c r="N169" s="75" t="e">
        <f t="shared" si="10"/>
        <v>#N/A</v>
      </c>
      <c r="O169" s="77">
        <v>2.793E-2</v>
      </c>
    </row>
    <row r="170" spans="7:15" x14ac:dyDescent="0.35">
      <c r="G170" s="2">
        <v>149</v>
      </c>
      <c r="H170" s="75" t="e">
        <v>#N/A</v>
      </c>
      <c r="I170" s="75" t="e">
        <v>#N/A</v>
      </c>
      <c r="J170" s="75" t="e" cm="1">
        <f t="array" ref="J170">_xlfn.LET(_xlpm.m, G170,
     _xlpm.rfr, I170,
     _xlpm.sm_down, INDEX(R.IRR_SM_DOWN, _xlpm.m),
     _xlpm.bm_down, INDEX(R.IRR_BM_DOWN, _xlpm.m),
     _xlpm.rfr * (1 - _xlpm.sm_down) - _xlpm.bm_down)</f>
        <v>#N/A</v>
      </c>
      <c r="K170" s="75" t="e">
        <f t="shared" si="11"/>
        <v>#N/A</v>
      </c>
      <c r="L170" s="77">
        <v>2.742E-2</v>
      </c>
      <c r="M170" s="75" t="e">
        <f t="shared" si="12"/>
        <v>#N/A</v>
      </c>
      <c r="N170" s="75" t="e">
        <f t="shared" si="10"/>
        <v>#N/A</v>
      </c>
      <c r="O170" s="77">
        <v>2.7959999999999999E-2</v>
      </c>
    </row>
    <row r="171" spans="7:15" x14ac:dyDescent="0.35">
      <c r="G171" s="2">
        <v>150</v>
      </c>
      <c r="H171" s="75" t="e">
        <v>#N/A</v>
      </c>
      <c r="I171" s="75" t="e">
        <v>#N/A</v>
      </c>
      <c r="J171" s="75" t="e" cm="1">
        <f t="array" ref="J171">_xlfn.LET(_xlpm.m, G171,
     _xlpm.rfr, I171,
     _xlpm.sm_down, INDEX(R.IRR_SM_DOWN, _xlpm.m),
     _xlpm.bm_down, INDEX(R.IRR_BM_DOWN, _xlpm.m),
     _xlpm.rfr * (1 - _xlpm.sm_down) - _xlpm.bm_down)</f>
        <v>#N/A</v>
      </c>
      <c r="K171" s="75" t="e">
        <f t="shared" si="11"/>
        <v>#N/A</v>
      </c>
      <c r="L171" s="78">
        <v>2.7449999999999999E-2</v>
      </c>
      <c r="M171" s="75" t="e">
        <f t="shared" si="12"/>
        <v>#N/A</v>
      </c>
      <c r="N171" s="75" t="e">
        <f t="shared" si="10"/>
        <v>#N/A</v>
      </c>
      <c r="O171" s="77">
        <v>2.7980000000000001E-2</v>
      </c>
    </row>
    <row r="172" spans="7:15" x14ac:dyDescent="0.35">
      <c r="K172" s="7"/>
      <c r="L172" s="7"/>
    </row>
  </sheetData>
  <pageMargins left="0.7" right="0.7" top="0.75" bottom="0.75" header="0.3" footer="0.3"/>
  <headerFooter>
    <oddHeader>&amp;R&amp;"Aptos"&amp;10&amp;K000000 PUBLIC&amp;1#_x000D_</oddHead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AC936-A48D-4F12-899A-EE19A9FF2C79}">
  <sheetPr codeName="shDisclaimer">
    <tabColor theme="3" tint="0.749992370372631"/>
  </sheetPr>
  <dimension ref="A1:N16"/>
  <sheetViews>
    <sheetView workbookViewId="0"/>
  </sheetViews>
  <sheetFormatPr defaultColWidth="0" defaultRowHeight="14.5" x14ac:dyDescent="0.35"/>
  <cols>
    <col min="1" max="7" width="9.1796875" style="2" customWidth="1"/>
    <col min="8" max="8" width="12.54296875" style="2" customWidth="1"/>
    <col min="9" max="12" width="9.1796875" style="2" customWidth="1"/>
    <col min="13" max="13" width="15.81640625" style="2" customWidth="1"/>
    <col min="14" max="14" width="2.542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5"/>
    </row>
    <row r="4" spans="1:14" x14ac:dyDescent="0.35">
      <c r="A4" s="1"/>
    </row>
    <row r="6" spans="1:14" ht="20" thickBot="1" x14ac:dyDescent="0.5">
      <c r="F6" s="6" t="s">
        <v>2</v>
      </c>
      <c r="G6" s="6"/>
      <c r="H6" s="6"/>
      <c r="I6" s="6"/>
      <c r="J6" s="6"/>
      <c r="K6" s="6"/>
      <c r="L6" s="6"/>
      <c r="M6" s="6"/>
    </row>
    <row r="7" spans="1:14" ht="15" thickTop="1" x14ac:dyDescent="0.35"/>
    <row r="8" spans="1:14" x14ac:dyDescent="0.35">
      <c r="F8" s="89" t="s">
        <v>99</v>
      </c>
      <c r="G8" s="89"/>
      <c r="H8" s="89"/>
      <c r="I8" s="89"/>
      <c r="J8" s="89"/>
      <c r="K8" s="89"/>
      <c r="L8" s="89"/>
      <c r="M8" s="89"/>
    </row>
    <row r="9" spans="1:14" x14ac:dyDescent="0.35">
      <c r="F9" s="89"/>
      <c r="G9" s="89"/>
      <c r="H9" s="89"/>
      <c r="I9" s="89"/>
      <c r="J9" s="89"/>
      <c r="K9" s="89"/>
      <c r="L9" s="89"/>
      <c r="M9" s="89"/>
    </row>
    <row r="10" spans="1:14" x14ac:dyDescent="0.35">
      <c r="F10" s="89"/>
      <c r="G10" s="89"/>
      <c r="H10" s="89"/>
      <c r="I10" s="89"/>
      <c r="J10" s="89"/>
      <c r="K10" s="89"/>
      <c r="L10" s="89"/>
      <c r="M10" s="89"/>
    </row>
    <row r="11" spans="1:14" x14ac:dyDescent="0.35">
      <c r="F11" s="89"/>
      <c r="G11" s="89"/>
      <c r="H11" s="89"/>
      <c r="I11" s="89"/>
      <c r="J11" s="89"/>
      <c r="K11" s="89"/>
      <c r="L11" s="89"/>
      <c r="M11" s="89"/>
    </row>
    <row r="12" spans="1:14" x14ac:dyDescent="0.35">
      <c r="F12" s="89"/>
      <c r="G12" s="89"/>
      <c r="H12" s="89"/>
      <c r="I12" s="89"/>
      <c r="J12" s="89"/>
      <c r="K12" s="89"/>
      <c r="L12" s="89"/>
      <c r="M12" s="89"/>
    </row>
    <row r="13" spans="1:14" x14ac:dyDescent="0.35">
      <c r="F13" s="89"/>
      <c r="G13" s="89"/>
      <c r="H13" s="89"/>
      <c r="I13" s="89"/>
      <c r="J13" s="89"/>
      <c r="K13" s="89"/>
      <c r="L13" s="89"/>
      <c r="M13" s="89"/>
    </row>
    <row r="14" spans="1:14" x14ac:dyDescent="0.35">
      <c r="F14" s="89"/>
      <c r="G14" s="89"/>
      <c r="H14" s="89"/>
      <c r="I14" s="89"/>
      <c r="J14" s="89"/>
      <c r="K14" s="89"/>
      <c r="L14" s="89"/>
      <c r="M14" s="89"/>
    </row>
    <row r="15" spans="1:14" x14ac:dyDescent="0.35">
      <c r="F15" s="89"/>
      <c r="G15" s="89"/>
      <c r="H15" s="89"/>
      <c r="I15" s="89"/>
      <c r="J15" s="89"/>
      <c r="K15" s="89"/>
      <c r="L15" s="89"/>
      <c r="M15" s="89"/>
    </row>
    <row r="16" spans="1:14" x14ac:dyDescent="0.35">
      <c r="F16" s="89"/>
      <c r="G16" s="89"/>
      <c r="H16" s="89"/>
      <c r="I16" s="89"/>
      <c r="J16" s="89"/>
      <c r="K16" s="89"/>
      <c r="L16" s="89"/>
      <c r="M16" s="89"/>
    </row>
  </sheetData>
  <mergeCells count="1">
    <mergeCell ref="F8:M16"/>
  </mergeCells>
  <pageMargins left="0.7" right="0.7" top="0.75" bottom="0.75" header="0.3" footer="0.3"/>
  <headerFooter>
    <oddHeader>&amp;R&amp;"Aptos"&amp;10&amp;K000000 PUBLIC&amp;1#_x000D_</oddHead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2898C-FD9A-41A0-A529-EE5EC086660F}">
  <sheetPr codeName="shParameters">
    <tabColor rgb="FF2A4D69"/>
  </sheetPr>
  <dimension ref="A1:N166"/>
  <sheetViews>
    <sheetView workbookViewId="0">
      <selection activeCell="L166" sqref="L166"/>
    </sheetView>
  </sheetViews>
  <sheetFormatPr defaultColWidth="0" defaultRowHeight="14.5" x14ac:dyDescent="0.35"/>
  <cols>
    <col min="1" max="6" width="9.1796875" style="2" customWidth="1"/>
    <col min="7" max="7" width="17.453125" style="2" customWidth="1"/>
    <col min="8" max="8" width="12.54296875" style="2" customWidth="1"/>
    <col min="9" max="9" width="12.1796875" style="2" customWidth="1"/>
    <col min="10" max="12" width="9.1796875" style="2" customWidth="1"/>
    <col min="13" max="13" width="14" style="2" bestFit="1" customWidth="1"/>
    <col min="14" max="14" width="3.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
        <v>98</v>
      </c>
      <c r="N3" s="4"/>
    </row>
    <row r="4" spans="1:14" x14ac:dyDescent="0.35">
      <c r="A4" s="1"/>
    </row>
    <row r="6" spans="1:14" ht="20" thickBot="1" x14ac:dyDescent="0.5">
      <c r="F6" s="6" t="s">
        <v>15</v>
      </c>
      <c r="G6" s="6"/>
      <c r="H6" s="6"/>
      <c r="I6" s="6"/>
      <c r="J6" s="6"/>
      <c r="K6" s="6"/>
      <c r="L6" s="6"/>
      <c r="M6" s="6"/>
    </row>
    <row r="7" spans="1:14" ht="15" thickTop="1" x14ac:dyDescent="0.35"/>
    <row r="8" spans="1:14" x14ac:dyDescent="0.35">
      <c r="F8" s="7"/>
      <c r="G8" s="23" t="s">
        <v>33</v>
      </c>
      <c r="H8" s="23" t="s">
        <v>22</v>
      </c>
      <c r="I8" s="7"/>
      <c r="J8" s="7"/>
      <c r="K8" s="7"/>
      <c r="L8" s="7"/>
      <c r="M8" s="7"/>
    </row>
    <row r="9" spans="1:14" x14ac:dyDescent="0.35">
      <c r="F9" s="7"/>
      <c r="G9" s="12" t="s">
        <v>34</v>
      </c>
      <c r="H9" s="12" t="b">
        <v>1</v>
      </c>
      <c r="I9" s="7"/>
      <c r="J9" s="7"/>
      <c r="K9" s="7"/>
      <c r="L9" s="7"/>
      <c r="M9" s="7"/>
    </row>
    <row r="10" spans="1:14" x14ac:dyDescent="0.35">
      <c r="F10" s="7"/>
      <c r="G10" s="12" t="s">
        <v>35</v>
      </c>
      <c r="H10" s="12" t="b">
        <v>0</v>
      </c>
      <c r="I10" s="7"/>
      <c r="J10" s="7"/>
      <c r="K10" s="7"/>
      <c r="L10" s="7"/>
      <c r="M10" s="7"/>
    </row>
    <row r="11" spans="1:14" x14ac:dyDescent="0.35">
      <c r="F11" s="7"/>
      <c r="G11" s="7"/>
      <c r="H11" s="7"/>
      <c r="I11" s="7"/>
      <c r="J11" s="7"/>
      <c r="K11" s="7"/>
      <c r="L11" s="7"/>
      <c r="M11" s="7"/>
    </row>
    <row r="12" spans="1:14" x14ac:dyDescent="0.35">
      <c r="F12" s="7"/>
      <c r="G12" s="7"/>
      <c r="H12" s="7"/>
      <c r="I12" s="7"/>
      <c r="J12" s="7"/>
      <c r="K12" s="7"/>
      <c r="L12" s="7"/>
      <c r="M12" s="7"/>
    </row>
    <row r="13" spans="1:14" x14ac:dyDescent="0.35">
      <c r="F13" s="7"/>
      <c r="G13" s="7"/>
      <c r="H13" s="7"/>
      <c r="I13" s="7"/>
      <c r="J13" s="7"/>
      <c r="K13" s="7"/>
      <c r="L13" s="7"/>
      <c r="M13" s="7"/>
    </row>
    <row r="14" spans="1:14" x14ac:dyDescent="0.35">
      <c r="F14" s="7"/>
      <c r="G14" s="7"/>
      <c r="H14" s="7"/>
      <c r="I14" s="7"/>
      <c r="J14" s="7"/>
      <c r="K14" s="7"/>
      <c r="L14" s="7"/>
      <c r="M14" s="7"/>
    </row>
    <row r="15" spans="1:14" x14ac:dyDescent="0.35">
      <c r="F15" s="7"/>
      <c r="G15" s="23" t="s">
        <v>100</v>
      </c>
      <c r="H15" s="7"/>
      <c r="I15" s="7"/>
      <c r="J15" s="7"/>
      <c r="K15" s="7"/>
      <c r="L15" s="7"/>
      <c r="M15" s="7"/>
    </row>
    <row r="16" spans="1:14" ht="17.5" x14ac:dyDescent="0.45">
      <c r="F16" s="7"/>
      <c r="G16" s="70" t="s">
        <v>123</v>
      </c>
      <c r="H16" s="70" t="s">
        <v>101</v>
      </c>
      <c r="I16" s="70" t="s">
        <v>102</v>
      </c>
      <c r="J16" s="70" t="s">
        <v>103</v>
      </c>
      <c r="K16" s="70" t="s">
        <v>104</v>
      </c>
      <c r="L16" s="11" t="s">
        <v>122</v>
      </c>
      <c r="M16" s="7"/>
    </row>
    <row r="17" spans="7:12" x14ac:dyDescent="0.35">
      <c r="G17" s="7">
        <v>1</v>
      </c>
      <c r="H17" s="67">
        <v>0.61</v>
      </c>
      <c r="I17" s="71">
        <v>2.1399999999999999E-2</v>
      </c>
      <c r="J17" s="67">
        <v>0.57999999999999996</v>
      </c>
      <c r="K17" s="71">
        <v>1.1599999999999999E-2</v>
      </c>
      <c r="L17" s="79">
        <v>-1.2500000000000001E-2</v>
      </c>
    </row>
    <row r="18" spans="7:12" x14ac:dyDescent="0.35">
      <c r="G18" s="7">
        <v>2</v>
      </c>
      <c r="H18" s="72">
        <v>0.53</v>
      </c>
      <c r="I18" s="71">
        <v>1.8599999999999998E-2</v>
      </c>
      <c r="J18" s="72">
        <v>0.51</v>
      </c>
      <c r="K18" s="71">
        <v>9.9000000000000008E-3</v>
      </c>
      <c r="L18" s="79">
        <v>-1.2500000000000001E-2</v>
      </c>
    </row>
    <row r="19" spans="7:12" x14ac:dyDescent="0.35">
      <c r="G19" s="2">
        <v>3</v>
      </c>
      <c r="H19" s="72">
        <v>0.49</v>
      </c>
      <c r="I19" s="71">
        <v>1.72E-2</v>
      </c>
      <c r="J19" s="72">
        <v>0.44</v>
      </c>
      <c r="K19" s="71">
        <v>8.3000000000000001E-3</v>
      </c>
      <c r="L19" s="79">
        <v>-1.2500000000000001E-2</v>
      </c>
    </row>
    <row r="20" spans="7:12" x14ac:dyDescent="0.35">
      <c r="G20" s="7">
        <v>4</v>
      </c>
      <c r="H20" s="72">
        <v>0.46</v>
      </c>
      <c r="I20" s="71">
        <v>1.61E-2</v>
      </c>
      <c r="J20" s="72">
        <v>0.4</v>
      </c>
      <c r="K20" s="71">
        <v>7.4000000000000003E-3</v>
      </c>
      <c r="L20" s="79">
        <v>-1.2500000000000001E-2</v>
      </c>
    </row>
    <row r="21" spans="7:12" x14ac:dyDescent="0.35">
      <c r="G21" s="7">
        <v>5</v>
      </c>
      <c r="H21" s="72">
        <v>0.45</v>
      </c>
      <c r="I21" s="71">
        <v>1.5800000000000002E-2</v>
      </c>
      <c r="J21" s="72">
        <v>0.4</v>
      </c>
      <c r="K21" s="71">
        <v>7.1000000000000004E-3</v>
      </c>
      <c r="L21" s="79">
        <v>-1.2500000000000001E-2</v>
      </c>
    </row>
    <row r="22" spans="7:12" x14ac:dyDescent="0.35">
      <c r="G22" s="2">
        <v>6</v>
      </c>
      <c r="H22" s="72">
        <v>0.41</v>
      </c>
      <c r="I22" s="71">
        <v>1.44E-2</v>
      </c>
      <c r="J22" s="72">
        <v>0.38</v>
      </c>
      <c r="K22" s="71">
        <v>6.7000000000000002E-3</v>
      </c>
      <c r="L22" s="79">
        <v>-1.2500000000000001E-2</v>
      </c>
    </row>
    <row r="23" spans="7:12" x14ac:dyDescent="0.35">
      <c r="G23" s="7">
        <v>7</v>
      </c>
      <c r="H23" s="72">
        <v>0.37</v>
      </c>
      <c r="I23" s="71">
        <v>1.2999999999999999E-2</v>
      </c>
      <c r="J23" s="72">
        <v>0.37</v>
      </c>
      <c r="K23" s="71">
        <v>6.3E-3</v>
      </c>
      <c r="L23" s="79">
        <v>-1.2500000000000001E-2</v>
      </c>
    </row>
    <row r="24" spans="7:12" x14ac:dyDescent="0.35">
      <c r="G24" s="7">
        <v>8</v>
      </c>
      <c r="H24" s="72">
        <v>0.34</v>
      </c>
      <c r="I24" s="71">
        <v>1.1900000000000001E-2</v>
      </c>
      <c r="J24" s="72">
        <v>0.38</v>
      </c>
      <c r="K24" s="71">
        <v>6.1999999999999998E-3</v>
      </c>
      <c r="L24" s="79">
        <f>$L$23+($L$36-$L$23)/($G$36-$G$23)*($G24-$G$23)</f>
        <v>-1.2225384615384615E-2</v>
      </c>
    </row>
    <row r="25" spans="7:12" x14ac:dyDescent="0.35">
      <c r="G25" s="2">
        <v>9</v>
      </c>
      <c r="H25" s="72">
        <v>0.32</v>
      </c>
      <c r="I25" s="71">
        <v>1.12E-2</v>
      </c>
      <c r="J25" s="72">
        <v>0.39</v>
      </c>
      <c r="K25" s="71">
        <v>6.1000000000000004E-3</v>
      </c>
      <c r="L25" s="79">
        <f t="shared" ref="L25:L35" si="0">$L$23+($L$36-$L$23)/($G$36-$G$23)*($G25-$G$23)</f>
        <v>-1.1950769230769232E-2</v>
      </c>
    </row>
    <row r="26" spans="7:12" x14ac:dyDescent="0.35">
      <c r="G26" s="7">
        <v>10</v>
      </c>
      <c r="H26" s="72">
        <v>0.3</v>
      </c>
      <c r="I26" s="71">
        <v>1.0500000000000001E-2</v>
      </c>
      <c r="J26" s="72">
        <v>0.4</v>
      </c>
      <c r="K26" s="71">
        <v>6.1000000000000004E-3</v>
      </c>
      <c r="L26" s="79">
        <f t="shared" si="0"/>
        <v>-1.1676153846153847E-2</v>
      </c>
    </row>
    <row r="27" spans="7:12" x14ac:dyDescent="0.35">
      <c r="G27" s="7">
        <v>11</v>
      </c>
      <c r="H27" s="72">
        <v>0.3</v>
      </c>
      <c r="I27" s="71">
        <v>1.0500000000000001E-2</v>
      </c>
      <c r="J27" s="72">
        <v>0.41</v>
      </c>
      <c r="K27" s="71">
        <v>6.0000000000000001E-3</v>
      </c>
      <c r="L27" s="79">
        <f t="shared" si="0"/>
        <v>-1.1401538461538463E-2</v>
      </c>
    </row>
    <row r="28" spans="7:12" x14ac:dyDescent="0.35">
      <c r="G28" s="2">
        <v>12</v>
      </c>
      <c r="H28" s="72">
        <v>0.3</v>
      </c>
      <c r="I28" s="71">
        <v>1.0500000000000001E-2</v>
      </c>
      <c r="J28" s="72">
        <v>0.42</v>
      </c>
      <c r="K28" s="71">
        <v>6.0000000000000001E-3</v>
      </c>
      <c r="L28" s="79">
        <f t="shared" si="0"/>
        <v>-1.1126923076923078E-2</v>
      </c>
    </row>
    <row r="29" spans="7:12" x14ac:dyDescent="0.35">
      <c r="G29" s="7">
        <v>13</v>
      </c>
      <c r="H29" s="72">
        <v>0.3</v>
      </c>
      <c r="I29" s="71">
        <v>1.0500000000000001E-2</v>
      </c>
      <c r="J29" s="72">
        <v>0.43</v>
      </c>
      <c r="K29" s="71">
        <v>5.8999999999999999E-3</v>
      </c>
      <c r="L29" s="79">
        <f t="shared" si="0"/>
        <v>-1.0852307692307692E-2</v>
      </c>
    </row>
    <row r="30" spans="7:12" x14ac:dyDescent="0.35">
      <c r="G30" s="7">
        <v>14</v>
      </c>
      <c r="H30" s="72">
        <v>0.28999999999999998</v>
      </c>
      <c r="I30" s="71">
        <v>1.0200000000000001E-2</v>
      </c>
      <c r="J30" s="72">
        <v>0.44</v>
      </c>
      <c r="K30" s="71">
        <v>5.7999999999999996E-3</v>
      </c>
      <c r="L30" s="79">
        <f t="shared" si="0"/>
        <v>-1.0577692307692309E-2</v>
      </c>
    </row>
    <row r="31" spans="7:12" x14ac:dyDescent="0.35">
      <c r="G31" s="2">
        <v>15</v>
      </c>
      <c r="H31" s="72">
        <v>0.28000000000000003</v>
      </c>
      <c r="I31" s="71">
        <v>9.7999999999999997E-3</v>
      </c>
      <c r="J31" s="72">
        <v>0.45</v>
      </c>
      <c r="K31" s="71">
        <v>5.7000000000000002E-3</v>
      </c>
      <c r="L31" s="79">
        <f t="shared" si="0"/>
        <v>-1.0303076923076923E-2</v>
      </c>
    </row>
    <row r="32" spans="7:12" x14ac:dyDescent="0.35">
      <c r="G32" s="7">
        <v>16</v>
      </c>
      <c r="H32" s="72">
        <v>0.28000000000000003</v>
      </c>
      <c r="I32" s="71">
        <v>9.7999999999999997E-3</v>
      </c>
      <c r="J32" s="72">
        <v>0.47</v>
      </c>
      <c r="K32" s="71">
        <v>5.5999999999999999E-3</v>
      </c>
      <c r="L32" s="79">
        <f t="shared" si="0"/>
        <v>-1.0028461538461538E-2</v>
      </c>
    </row>
    <row r="33" spans="7:12" x14ac:dyDescent="0.35">
      <c r="G33" s="7">
        <v>17</v>
      </c>
      <c r="H33" s="72">
        <v>0.27</v>
      </c>
      <c r="I33" s="71">
        <v>9.4999999999999998E-3</v>
      </c>
      <c r="J33" s="72">
        <v>0.48</v>
      </c>
      <c r="K33" s="71">
        <v>5.4999999999999997E-3</v>
      </c>
      <c r="L33" s="79">
        <f t="shared" si="0"/>
        <v>-9.7538461538461546E-3</v>
      </c>
    </row>
    <row r="34" spans="7:12" x14ac:dyDescent="0.35">
      <c r="G34" s="2">
        <v>18</v>
      </c>
      <c r="H34" s="72">
        <v>0.26</v>
      </c>
      <c r="I34" s="71">
        <v>9.1000000000000004E-3</v>
      </c>
      <c r="J34" s="72">
        <v>0.49</v>
      </c>
      <c r="K34" s="71">
        <v>5.4000000000000003E-3</v>
      </c>
      <c r="L34" s="79">
        <f t="shared" si="0"/>
        <v>-9.4792307692307693E-3</v>
      </c>
    </row>
    <row r="35" spans="7:12" x14ac:dyDescent="0.35">
      <c r="G35" s="7">
        <v>19</v>
      </c>
      <c r="H35" s="72">
        <v>0.26</v>
      </c>
      <c r="I35" s="71">
        <v>9.1000000000000004E-3</v>
      </c>
      <c r="J35" s="72">
        <v>0.49</v>
      </c>
      <c r="K35" s="71">
        <v>5.1999999999999998E-3</v>
      </c>
      <c r="L35" s="79">
        <f t="shared" si="0"/>
        <v>-9.204615384615384E-3</v>
      </c>
    </row>
    <row r="36" spans="7:12" x14ac:dyDescent="0.35">
      <c r="G36" s="7">
        <v>20</v>
      </c>
      <c r="H36" s="72">
        <v>0.25</v>
      </c>
      <c r="I36" s="71">
        <v>8.8000000000000005E-3</v>
      </c>
      <c r="J36" s="72">
        <v>0.5</v>
      </c>
      <c r="K36" s="71">
        <v>5.0000000000000001E-3</v>
      </c>
      <c r="L36" s="79">
        <v>-8.9300000000000004E-3</v>
      </c>
    </row>
    <row r="37" spans="7:12" x14ac:dyDescent="0.35">
      <c r="G37" s="2">
        <v>21</v>
      </c>
      <c r="H37" s="72">
        <v>0.25</v>
      </c>
      <c r="I37" s="71">
        <v>8.6999999999999994E-3</v>
      </c>
      <c r="J37" s="72">
        <v>0.49</v>
      </c>
      <c r="K37" s="71">
        <v>4.8999999999999998E-3</v>
      </c>
      <c r="L37" s="79">
        <v>-8.9300000000000004E-3</v>
      </c>
    </row>
    <row r="38" spans="7:12" x14ac:dyDescent="0.35">
      <c r="G38" s="7">
        <v>22</v>
      </c>
      <c r="H38" s="72">
        <v>0.24</v>
      </c>
      <c r="I38" s="71">
        <v>8.5000000000000006E-3</v>
      </c>
      <c r="J38" s="72">
        <v>0.5</v>
      </c>
      <c r="K38" s="71">
        <v>4.8999999999999998E-3</v>
      </c>
      <c r="L38" s="79">
        <v>-8.9300000000000004E-3</v>
      </c>
    </row>
    <row r="39" spans="7:12" x14ac:dyDescent="0.35">
      <c r="G39" s="7">
        <v>23</v>
      </c>
      <c r="H39" s="72">
        <v>0.24</v>
      </c>
      <c r="I39" s="71">
        <v>8.2000000000000007E-3</v>
      </c>
      <c r="J39" s="72">
        <v>0.51</v>
      </c>
      <c r="K39" s="71">
        <v>4.7999999999999996E-3</v>
      </c>
      <c r="L39" s="79">
        <v>-8.9300000000000004E-3</v>
      </c>
    </row>
    <row r="40" spans="7:12" x14ac:dyDescent="0.35">
      <c r="G40" s="2">
        <v>24</v>
      </c>
      <c r="H40" s="72">
        <v>0.23</v>
      </c>
      <c r="I40" s="71">
        <v>8.0000000000000002E-3</v>
      </c>
      <c r="J40" s="72">
        <v>0.51</v>
      </c>
      <c r="K40" s="71">
        <v>4.7999999999999996E-3</v>
      </c>
      <c r="L40" s="79">
        <v>-8.9300000000000004E-3</v>
      </c>
    </row>
    <row r="41" spans="7:12" x14ac:dyDescent="0.35">
      <c r="G41" s="7">
        <v>25</v>
      </c>
      <c r="H41" s="72">
        <v>0.22</v>
      </c>
      <c r="I41" s="71">
        <v>7.7999999999999996E-3</v>
      </c>
      <c r="J41" s="72">
        <v>0.52</v>
      </c>
      <c r="K41" s="71">
        <v>4.7000000000000002E-3</v>
      </c>
      <c r="L41" s="79">
        <v>-8.9300000000000004E-3</v>
      </c>
    </row>
    <row r="42" spans="7:12" x14ac:dyDescent="0.35">
      <c r="G42" s="7">
        <v>26</v>
      </c>
      <c r="H42" s="72">
        <v>0.22</v>
      </c>
      <c r="I42" s="71">
        <v>7.6E-3</v>
      </c>
      <c r="J42" s="72">
        <v>0.52</v>
      </c>
      <c r="K42" s="71">
        <v>4.5999999999999999E-3</v>
      </c>
      <c r="L42" s="79">
        <v>-8.9300000000000004E-3</v>
      </c>
    </row>
    <row r="43" spans="7:12" x14ac:dyDescent="0.35">
      <c r="G43" s="2">
        <v>27</v>
      </c>
      <c r="H43" s="72">
        <v>0.21</v>
      </c>
      <c r="I43" s="71">
        <v>7.4000000000000003E-3</v>
      </c>
      <c r="J43" s="72">
        <v>0.53</v>
      </c>
      <c r="K43" s="71">
        <v>4.4999999999999997E-3</v>
      </c>
      <c r="L43" s="79">
        <v>-8.9300000000000004E-3</v>
      </c>
    </row>
    <row r="44" spans="7:12" x14ac:dyDescent="0.35">
      <c r="G44" s="7">
        <v>28</v>
      </c>
      <c r="H44" s="72">
        <v>0.21</v>
      </c>
      <c r="I44" s="71">
        <v>7.1999999999999998E-3</v>
      </c>
      <c r="J44" s="72">
        <v>0.53</v>
      </c>
      <c r="K44" s="71">
        <v>4.4000000000000003E-3</v>
      </c>
      <c r="L44" s="79">
        <v>-8.9300000000000004E-3</v>
      </c>
    </row>
    <row r="45" spans="7:12" x14ac:dyDescent="0.35">
      <c r="G45" s="7">
        <v>29</v>
      </c>
      <c r="H45" s="72">
        <v>0.2</v>
      </c>
      <c r="I45" s="71">
        <v>7.0000000000000001E-3</v>
      </c>
      <c r="J45" s="72">
        <v>0.53</v>
      </c>
      <c r="K45" s="71">
        <v>4.1999999999999997E-3</v>
      </c>
      <c r="L45" s="79">
        <v>-8.9300000000000004E-3</v>
      </c>
    </row>
    <row r="46" spans="7:12" x14ac:dyDescent="0.35">
      <c r="G46" s="2">
        <v>30</v>
      </c>
      <c r="H46" s="72">
        <v>0.2</v>
      </c>
      <c r="I46" s="71">
        <v>6.8999999999999999E-3</v>
      </c>
      <c r="J46" s="72">
        <v>0.53</v>
      </c>
      <c r="K46" s="71">
        <v>4.1000000000000003E-3</v>
      </c>
      <c r="L46" s="79">
        <v>-8.9300000000000004E-3</v>
      </c>
    </row>
    <row r="47" spans="7:12" x14ac:dyDescent="0.35">
      <c r="G47" s="7">
        <v>31</v>
      </c>
      <c r="H47" s="72">
        <v>0.2</v>
      </c>
      <c r="I47" s="71">
        <v>7.0000000000000001E-3</v>
      </c>
      <c r="J47" s="72">
        <v>0.53</v>
      </c>
      <c r="K47" s="71">
        <v>4.0000000000000001E-3</v>
      </c>
      <c r="L47" s="79">
        <v>-8.9300000000000004E-3</v>
      </c>
    </row>
    <row r="48" spans="7:12" x14ac:dyDescent="0.35">
      <c r="G48" s="7">
        <v>32</v>
      </c>
      <c r="H48" s="72">
        <v>0.2</v>
      </c>
      <c r="I48" s="71">
        <v>7.1000000000000004E-3</v>
      </c>
      <c r="J48" s="72">
        <v>0.53</v>
      </c>
      <c r="K48" s="71">
        <v>3.8999999999999998E-3</v>
      </c>
      <c r="L48" s="79">
        <v>-8.9300000000000004E-3</v>
      </c>
    </row>
    <row r="49" spans="7:12" x14ac:dyDescent="0.35">
      <c r="G49" s="2">
        <v>33</v>
      </c>
      <c r="H49" s="72">
        <v>0.2</v>
      </c>
      <c r="I49" s="71">
        <v>7.1000000000000004E-3</v>
      </c>
      <c r="J49" s="72">
        <v>0.54</v>
      </c>
      <c r="K49" s="71">
        <v>3.7000000000000002E-3</v>
      </c>
      <c r="L49" s="79">
        <v>-8.9300000000000004E-3</v>
      </c>
    </row>
    <row r="50" spans="7:12" x14ac:dyDescent="0.35">
      <c r="G50" s="7">
        <v>34</v>
      </c>
      <c r="H50" s="72">
        <v>0.2</v>
      </c>
      <c r="I50" s="71">
        <v>7.1000000000000004E-3</v>
      </c>
      <c r="J50" s="72">
        <v>0.54</v>
      </c>
      <c r="K50" s="71">
        <v>3.5999999999999999E-3</v>
      </c>
      <c r="L50" s="79">
        <v>-8.9300000000000004E-3</v>
      </c>
    </row>
    <row r="51" spans="7:12" x14ac:dyDescent="0.35">
      <c r="G51" s="7">
        <v>35</v>
      </c>
      <c r="H51" s="72">
        <v>0.2</v>
      </c>
      <c r="I51" s="71">
        <v>7.1000000000000004E-3</v>
      </c>
      <c r="J51" s="72">
        <v>0.54</v>
      </c>
      <c r="K51" s="71">
        <v>3.5000000000000001E-3</v>
      </c>
      <c r="L51" s="79">
        <v>-8.9300000000000004E-3</v>
      </c>
    </row>
    <row r="52" spans="7:12" x14ac:dyDescent="0.35">
      <c r="G52" s="2">
        <v>36</v>
      </c>
      <c r="H52" s="72">
        <v>0.2</v>
      </c>
      <c r="I52" s="71">
        <v>7.1999999999999998E-3</v>
      </c>
      <c r="J52" s="72">
        <v>0.54</v>
      </c>
      <c r="K52" s="71">
        <v>3.3999999999999998E-3</v>
      </c>
      <c r="L52" s="79">
        <v>-8.9300000000000004E-3</v>
      </c>
    </row>
    <row r="53" spans="7:12" x14ac:dyDescent="0.35">
      <c r="G53" s="7">
        <v>37</v>
      </c>
      <c r="H53" s="72">
        <v>0.21</v>
      </c>
      <c r="I53" s="71">
        <v>7.1999999999999998E-3</v>
      </c>
      <c r="J53" s="72">
        <v>0.55000000000000004</v>
      </c>
      <c r="K53" s="71">
        <v>3.3E-3</v>
      </c>
      <c r="L53" s="79">
        <v>-8.9300000000000004E-3</v>
      </c>
    </row>
    <row r="54" spans="7:12" x14ac:dyDescent="0.35">
      <c r="G54" s="7">
        <v>38</v>
      </c>
      <c r="H54" s="72">
        <v>0.21</v>
      </c>
      <c r="I54" s="71">
        <v>7.1999999999999998E-3</v>
      </c>
      <c r="J54" s="72">
        <v>0.55000000000000004</v>
      </c>
      <c r="K54" s="71">
        <v>3.2000000000000002E-3</v>
      </c>
      <c r="L54" s="79">
        <v>-8.9300000000000004E-3</v>
      </c>
    </row>
    <row r="55" spans="7:12" x14ac:dyDescent="0.35">
      <c r="G55" s="2">
        <v>39</v>
      </c>
      <c r="H55" s="72">
        <v>0.21</v>
      </c>
      <c r="I55" s="71">
        <v>7.3000000000000001E-3</v>
      </c>
      <c r="J55" s="72">
        <v>0.56000000000000005</v>
      </c>
      <c r="K55" s="71">
        <v>3.0999999999999999E-3</v>
      </c>
      <c r="L55" s="79">
        <v>-8.9300000000000004E-3</v>
      </c>
    </row>
    <row r="56" spans="7:12" x14ac:dyDescent="0.35">
      <c r="G56" s="7">
        <v>40</v>
      </c>
      <c r="H56" s="72">
        <v>0.21</v>
      </c>
      <c r="I56" s="71">
        <v>7.3000000000000001E-3</v>
      </c>
      <c r="J56" s="72">
        <v>0.56999999999999995</v>
      </c>
      <c r="K56" s="71">
        <v>3.0000000000000001E-3</v>
      </c>
      <c r="L56" s="79">
        <v>-8.9300000000000004E-3</v>
      </c>
    </row>
    <row r="57" spans="7:12" x14ac:dyDescent="0.35">
      <c r="G57" s="7">
        <v>41</v>
      </c>
      <c r="H57" s="72">
        <v>0.21</v>
      </c>
      <c r="I57" s="71">
        <v>7.4000000000000003E-3</v>
      </c>
      <c r="J57" s="72">
        <v>0.56999999999999995</v>
      </c>
      <c r="K57" s="71">
        <v>2.8999999999999998E-3</v>
      </c>
      <c r="L57" s="79">
        <v>-8.9300000000000004E-3</v>
      </c>
    </row>
    <row r="58" spans="7:12" x14ac:dyDescent="0.35">
      <c r="G58" s="2">
        <v>42</v>
      </c>
      <c r="H58" s="72">
        <v>0.21</v>
      </c>
      <c r="I58" s="71">
        <v>7.4000000000000003E-3</v>
      </c>
      <c r="J58" s="72">
        <v>0.57999999999999996</v>
      </c>
      <c r="K58" s="71">
        <v>2.8E-3</v>
      </c>
      <c r="L58" s="79">
        <v>-8.9300000000000004E-3</v>
      </c>
    </row>
    <row r="59" spans="7:12" x14ac:dyDescent="0.35">
      <c r="G59" s="7">
        <v>43</v>
      </c>
      <c r="H59" s="72">
        <v>0.21</v>
      </c>
      <c r="I59" s="71">
        <v>7.4999999999999997E-3</v>
      </c>
      <c r="J59" s="72">
        <v>0.59</v>
      </c>
      <c r="K59" s="71">
        <v>2.7000000000000001E-3</v>
      </c>
      <c r="L59" s="79">
        <v>-8.9300000000000004E-3</v>
      </c>
    </row>
    <row r="60" spans="7:12" x14ac:dyDescent="0.35">
      <c r="G60" s="7">
        <v>44</v>
      </c>
      <c r="H60" s="72">
        <v>0.21</v>
      </c>
      <c r="I60" s="71">
        <v>7.4999999999999997E-3</v>
      </c>
      <c r="J60" s="72">
        <v>0.61</v>
      </c>
      <c r="K60" s="71">
        <v>2.5999999999999999E-3</v>
      </c>
      <c r="L60" s="79">
        <v>-8.9300000000000004E-3</v>
      </c>
    </row>
    <row r="61" spans="7:12" x14ac:dyDescent="0.35">
      <c r="G61" s="2">
        <v>45</v>
      </c>
      <c r="H61" s="72">
        <v>0.21</v>
      </c>
      <c r="I61" s="71">
        <v>7.4999999999999997E-3</v>
      </c>
      <c r="J61" s="72">
        <v>0.62</v>
      </c>
      <c r="K61" s="71">
        <v>2.5000000000000001E-3</v>
      </c>
      <c r="L61" s="79">
        <v>-8.9300000000000004E-3</v>
      </c>
    </row>
    <row r="62" spans="7:12" x14ac:dyDescent="0.35">
      <c r="G62" s="7">
        <v>46</v>
      </c>
      <c r="H62" s="72">
        <v>0.21</v>
      </c>
      <c r="I62" s="71">
        <v>7.4999999999999997E-3</v>
      </c>
      <c r="J62" s="72">
        <v>0.62</v>
      </c>
      <c r="K62" s="71">
        <v>2.3E-3</v>
      </c>
      <c r="L62" s="79">
        <v>-8.9300000000000004E-3</v>
      </c>
    </row>
    <row r="63" spans="7:12" x14ac:dyDescent="0.35">
      <c r="G63" s="7">
        <v>47</v>
      </c>
      <c r="H63" s="72">
        <v>0.21</v>
      </c>
      <c r="I63" s="71">
        <v>7.4999999999999997E-3</v>
      </c>
      <c r="J63" s="72">
        <v>0.63</v>
      </c>
      <c r="K63" s="71">
        <v>2.2000000000000001E-3</v>
      </c>
      <c r="L63" s="79">
        <v>-8.9300000000000004E-3</v>
      </c>
    </row>
    <row r="64" spans="7:12" x14ac:dyDescent="0.35">
      <c r="G64" s="2">
        <v>48</v>
      </c>
      <c r="H64" s="72">
        <v>0.21</v>
      </c>
      <c r="I64" s="71">
        <v>7.4000000000000003E-3</v>
      </c>
      <c r="J64" s="72">
        <v>0.64</v>
      </c>
      <c r="K64" s="71">
        <v>2.0999999999999999E-3</v>
      </c>
      <c r="L64" s="79">
        <v>-8.9300000000000004E-3</v>
      </c>
    </row>
    <row r="65" spans="7:12" x14ac:dyDescent="0.35">
      <c r="G65" s="7">
        <v>49</v>
      </c>
      <c r="H65" s="72">
        <v>0.21</v>
      </c>
      <c r="I65" s="71">
        <v>7.4000000000000003E-3</v>
      </c>
      <c r="J65" s="72">
        <v>0.64</v>
      </c>
      <c r="K65" s="71">
        <v>1.9E-3</v>
      </c>
      <c r="L65" s="79">
        <v>-8.9300000000000004E-3</v>
      </c>
    </row>
    <row r="66" spans="7:12" x14ac:dyDescent="0.35">
      <c r="G66" s="7">
        <v>50</v>
      </c>
      <c r="H66" s="72">
        <v>0.21</v>
      </c>
      <c r="I66" s="71">
        <v>7.3000000000000001E-3</v>
      </c>
      <c r="J66" s="72">
        <v>0.65</v>
      </c>
      <c r="K66" s="71">
        <v>1.8E-3</v>
      </c>
      <c r="L66" s="79">
        <v>-8.9300000000000004E-3</v>
      </c>
    </row>
    <row r="67" spans="7:12" x14ac:dyDescent="0.35">
      <c r="G67" s="2">
        <v>51</v>
      </c>
      <c r="H67" s="72">
        <f>H$66+(H$106-H$66)/($G$106-$G$66) * ($G67-$G$66)</f>
        <v>0.20974999999999999</v>
      </c>
      <c r="I67" s="71">
        <f>I$66+(I$76-I$66)/($G$76-$G$66) * ($G67-$G$66)</f>
        <v>6.5700000000000003E-3</v>
      </c>
      <c r="J67" s="72">
        <f>J$66+(J$106-J$66)/($G$106-$G$66) * ($G67-$G$66)</f>
        <v>0.63875000000000004</v>
      </c>
      <c r="K67" s="71">
        <f>K$66+(K$76-K$66)/($G$76-$G$66) * ($G67-$G$66)</f>
        <v>1.6199999999999999E-3</v>
      </c>
      <c r="L67" s="79">
        <v>-8.9300000000000004E-3</v>
      </c>
    </row>
    <row r="68" spans="7:12" x14ac:dyDescent="0.35">
      <c r="G68" s="2">
        <v>52</v>
      </c>
      <c r="H68" s="72">
        <f t="shared" ref="H68:H105" si="1">H$66+(H$106-H$66)/($G$106-$G$66) * ($G68-$G$66)</f>
        <v>0.20949999999999999</v>
      </c>
      <c r="I68" s="71">
        <f t="shared" ref="I68:I75" si="2">I$66+(I$76-I$66)/($G$76-$G$66) * ($G68-$G$66)</f>
        <v>5.8399999999999997E-3</v>
      </c>
      <c r="J68" s="72">
        <f t="shared" ref="J68:J105" si="3">J$66+(J$106-J$66)/($G$106-$G$66) * ($G68-$G$66)</f>
        <v>0.62750000000000006</v>
      </c>
      <c r="K68" s="71">
        <f t="shared" ref="K68:K75" si="4">K$66+(K$76-K$66)/($G$76-$G$66) * ($G68-$G$66)</f>
        <v>1.4399999999999999E-3</v>
      </c>
      <c r="L68" s="79">
        <v>-8.9300000000000004E-3</v>
      </c>
    </row>
    <row r="69" spans="7:12" x14ac:dyDescent="0.35">
      <c r="G69" s="2">
        <v>53</v>
      </c>
      <c r="H69" s="72">
        <f t="shared" si="1"/>
        <v>0.20924999999999999</v>
      </c>
      <c r="I69" s="71">
        <f t="shared" si="2"/>
        <v>5.11E-3</v>
      </c>
      <c r="J69" s="72">
        <f t="shared" si="3"/>
        <v>0.61624999999999996</v>
      </c>
      <c r="K69" s="71">
        <f t="shared" si="4"/>
        <v>1.2600000000000001E-3</v>
      </c>
      <c r="L69" s="79">
        <v>-8.9300000000000004E-3</v>
      </c>
    </row>
    <row r="70" spans="7:12" x14ac:dyDescent="0.35">
      <c r="G70" s="2">
        <v>54</v>
      </c>
      <c r="H70" s="72">
        <f t="shared" si="1"/>
        <v>0.20899999999999999</v>
      </c>
      <c r="I70" s="71">
        <f t="shared" si="2"/>
        <v>4.3800000000000002E-3</v>
      </c>
      <c r="J70" s="72">
        <f t="shared" si="3"/>
        <v>0.60499999999999998</v>
      </c>
      <c r="K70" s="71">
        <f t="shared" si="4"/>
        <v>1.08E-3</v>
      </c>
      <c r="L70" s="79">
        <v>-8.9300000000000004E-3</v>
      </c>
    </row>
    <row r="71" spans="7:12" x14ac:dyDescent="0.35">
      <c r="G71" s="2">
        <v>55</v>
      </c>
      <c r="H71" s="72">
        <f t="shared" si="1"/>
        <v>0.20874999999999999</v>
      </c>
      <c r="I71" s="71">
        <f t="shared" si="2"/>
        <v>3.6500000000000005E-3</v>
      </c>
      <c r="J71" s="72">
        <f t="shared" si="3"/>
        <v>0.59375</v>
      </c>
      <c r="K71" s="71">
        <f t="shared" si="4"/>
        <v>8.9999999999999998E-4</v>
      </c>
      <c r="L71" s="79">
        <v>-8.9300000000000004E-3</v>
      </c>
    </row>
    <row r="72" spans="7:12" x14ac:dyDescent="0.35">
      <c r="G72" s="2">
        <v>56</v>
      </c>
      <c r="H72" s="72">
        <f t="shared" si="1"/>
        <v>0.20849999999999999</v>
      </c>
      <c r="I72" s="71">
        <f t="shared" si="2"/>
        <v>2.9199999999999999E-3</v>
      </c>
      <c r="J72" s="72">
        <f t="shared" si="3"/>
        <v>0.58250000000000002</v>
      </c>
      <c r="K72" s="71">
        <f t="shared" si="4"/>
        <v>7.2000000000000015E-4</v>
      </c>
      <c r="L72" s="79">
        <v>-8.9300000000000004E-3</v>
      </c>
    </row>
    <row r="73" spans="7:12" x14ac:dyDescent="0.35">
      <c r="G73" s="2">
        <v>57</v>
      </c>
      <c r="H73" s="72">
        <f t="shared" si="1"/>
        <v>0.20824999999999999</v>
      </c>
      <c r="I73" s="71">
        <f t="shared" si="2"/>
        <v>2.1900000000000001E-3</v>
      </c>
      <c r="J73" s="72">
        <f t="shared" si="3"/>
        <v>0.57125000000000004</v>
      </c>
      <c r="K73" s="71">
        <f t="shared" si="4"/>
        <v>5.4000000000000012E-4</v>
      </c>
      <c r="L73" s="79">
        <v>-8.9300000000000004E-3</v>
      </c>
    </row>
    <row r="74" spans="7:12" x14ac:dyDescent="0.35">
      <c r="G74" s="2">
        <v>58</v>
      </c>
      <c r="H74" s="72">
        <f t="shared" si="1"/>
        <v>0.20799999999999999</v>
      </c>
      <c r="I74" s="71">
        <f t="shared" si="2"/>
        <v>1.4600000000000004E-3</v>
      </c>
      <c r="J74" s="72">
        <f t="shared" si="3"/>
        <v>0.56000000000000005</v>
      </c>
      <c r="K74" s="71">
        <f t="shared" si="4"/>
        <v>3.6000000000000008E-4</v>
      </c>
      <c r="L74" s="79">
        <v>-8.9300000000000004E-3</v>
      </c>
    </row>
    <row r="75" spans="7:12" x14ac:dyDescent="0.35">
      <c r="G75" s="2">
        <v>59</v>
      </c>
      <c r="H75" s="72">
        <f t="shared" si="1"/>
        <v>0.20774999999999999</v>
      </c>
      <c r="I75" s="71">
        <f t="shared" si="2"/>
        <v>7.3000000000000061E-4</v>
      </c>
      <c r="J75" s="72">
        <f t="shared" si="3"/>
        <v>0.54875000000000007</v>
      </c>
      <c r="K75" s="71">
        <f t="shared" si="4"/>
        <v>1.8000000000000004E-4</v>
      </c>
      <c r="L75" s="79">
        <v>-8.9300000000000004E-3</v>
      </c>
    </row>
    <row r="76" spans="7:12" x14ac:dyDescent="0.35">
      <c r="G76" s="2">
        <v>60</v>
      </c>
      <c r="H76" s="72">
        <f t="shared" si="1"/>
        <v>0.20749999999999999</v>
      </c>
      <c r="I76" s="71">
        <v>0</v>
      </c>
      <c r="J76" s="72">
        <f t="shared" si="3"/>
        <v>0.53750000000000009</v>
      </c>
      <c r="K76" s="71">
        <v>0</v>
      </c>
      <c r="L76" s="79">
        <v>-8.9300000000000004E-3</v>
      </c>
    </row>
    <row r="77" spans="7:12" x14ac:dyDescent="0.35">
      <c r="G77" s="2">
        <v>61</v>
      </c>
      <c r="H77" s="72">
        <f t="shared" si="1"/>
        <v>0.20724999999999999</v>
      </c>
      <c r="I77" s="71">
        <v>0</v>
      </c>
      <c r="J77" s="72">
        <f t="shared" si="3"/>
        <v>0.52625</v>
      </c>
      <c r="K77" s="71">
        <v>0</v>
      </c>
      <c r="L77" s="79">
        <v>-8.9300000000000004E-3</v>
      </c>
    </row>
    <row r="78" spans="7:12" x14ac:dyDescent="0.35">
      <c r="G78" s="2">
        <v>62</v>
      </c>
      <c r="H78" s="72">
        <f t="shared" si="1"/>
        <v>0.20699999999999999</v>
      </c>
      <c r="I78" s="71">
        <v>0</v>
      </c>
      <c r="J78" s="72">
        <f t="shared" si="3"/>
        <v>0.51500000000000001</v>
      </c>
      <c r="K78" s="71">
        <v>0</v>
      </c>
      <c r="L78" s="79">
        <v>-8.9300000000000004E-3</v>
      </c>
    </row>
    <row r="79" spans="7:12" x14ac:dyDescent="0.35">
      <c r="G79" s="2">
        <v>63</v>
      </c>
      <c r="H79" s="72">
        <f t="shared" si="1"/>
        <v>0.20674999999999999</v>
      </c>
      <c r="I79" s="71">
        <v>0</v>
      </c>
      <c r="J79" s="72">
        <f t="shared" si="3"/>
        <v>0.50375000000000003</v>
      </c>
      <c r="K79" s="71">
        <v>0</v>
      </c>
      <c r="L79" s="79">
        <v>-8.9300000000000004E-3</v>
      </c>
    </row>
    <row r="80" spans="7:12" x14ac:dyDescent="0.35">
      <c r="G80" s="2">
        <v>64</v>
      </c>
      <c r="H80" s="72">
        <f t="shared" si="1"/>
        <v>0.20649999999999999</v>
      </c>
      <c r="I80" s="71">
        <v>0</v>
      </c>
      <c r="J80" s="72">
        <f t="shared" si="3"/>
        <v>0.49250000000000005</v>
      </c>
      <c r="K80" s="71">
        <v>0</v>
      </c>
      <c r="L80" s="79">
        <v>-8.9300000000000004E-3</v>
      </c>
    </row>
    <row r="81" spans="7:12" x14ac:dyDescent="0.35">
      <c r="G81" s="2">
        <v>65</v>
      </c>
      <c r="H81" s="72">
        <f t="shared" si="1"/>
        <v>0.20624999999999999</v>
      </c>
      <c r="I81" s="71">
        <v>0</v>
      </c>
      <c r="J81" s="72">
        <f t="shared" si="3"/>
        <v>0.48125000000000007</v>
      </c>
      <c r="K81" s="71">
        <v>0</v>
      </c>
      <c r="L81" s="79">
        <v>-8.9300000000000004E-3</v>
      </c>
    </row>
    <row r="82" spans="7:12" x14ac:dyDescent="0.35">
      <c r="G82" s="2">
        <v>66</v>
      </c>
      <c r="H82" s="72">
        <f t="shared" si="1"/>
        <v>0.20599999999999999</v>
      </c>
      <c r="I82" s="71">
        <v>0</v>
      </c>
      <c r="J82" s="72">
        <f t="shared" si="3"/>
        <v>0.47000000000000003</v>
      </c>
      <c r="K82" s="71">
        <v>0</v>
      </c>
      <c r="L82" s="79">
        <v>-8.9300000000000004E-3</v>
      </c>
    </row>
    <row r="83" spans="7:12" x14ac:dyDescent="0.35">
      <c r="G83" s="2">
        <v>67</v>
      </c>
      <c r="H83" s="72">
        <f t="shared" si="1"/>
        <v>0.20574999999999999</v>
      </c>
      <c r="I83" s="71">
        <v>0</v>
      </c>
      <c r="J83" s="72">
        <f t="shared" si="3"/>
        <v>0.45874999999999999</v>
      </c>
      <c r="K83" s="71">
        <v>0</v>
      </c>
      <c r="L83" s="79">
        <v>-8.9300000000000004E-3</v>
      </c>
    </row>
    <row r="84" spans="7:12" x14ac:dyDescent="0.35">
      <c r="G84" s="2">
        <v>68</v>
      </c>
      <c r="H84" s="72">
        <f t="shared" si="1"/>
        <v>0.20549999999999999</v>
      </c>
      <c r="I84" s="71">
        <v>0</v>
      </c>
      <c r="J84" s="72">
        <f t="shared" si="3"/>
        <v>0.44750000000000001</v>
      </c>
      <c r="K84" s="71">
        <v>0</v>
      </c>
      <c r="L84" s="79">
        <v>-8.9300000000000004E-3</v>
      </c>
    </row>
    <row r="85" spans="7:12" x14ac:dyDescent="0.35">
      <c r="G85" s="2">
        <v>69</v>
      </c>
      <c r="H85" s="72">
        <f t="shared" si="1"/>
        <v>0.20524999999999999</v>
      </c>
      <c r="I85" s="71">
        <v>0</v>
      </c>
      <c r="J85" s="72">
        <f t="shared" si="3"/>
        <v>0.43625000000000003</v>
      </c>
      <c r="K85" s="71">
        <v>0</v>
      </c>
      <c r="L85" s="79">
        <v>-8.9300000000000004E-3</v>
      </c>
    </row>
    <row r="86" spans="7:12" x14ac:dyDescent="0.35">
      <c r="G86" s="2">
        <v>70</v>
      </c>
      <c r="H86" s="72">
        <f t="shared" si="1"/>
        <v>0.20500000000000002</v>
      </c>
      <c r="I86" s="71">
        <v>0</v>
      </c>
      <c r="J86" s="72">
        <f t="shared" si="3"/>
        <v>0.42500000000000004</v>
      </c>
      <c r="K86" s="71">
        <v>0</v>
      </c>
      <c r="L86" s="79">
        <v>-8.9300000000000004E-3</v>
      </c>
    </row>
    <row r="87" spans="7:12" x14ac:dyDescent="0.35">
      <c r="G87" s="2">
        <v>71</v>
      </c>
      <c r="H87" s="72">
        <f t="shared" si="1"/>
        <v>0.20475000000000002</v>
      </c>
      <c r="I87" s="71">
        <v>0</v>
      </c>
      <c r="J87" s="72">
        <f t="shared" si="3"/>
        <v>0.41375000000000006</v>
      </c>
      <c r="K87" s="71">
        <v>0</v>
      </c>
      <c r="L87" s="79">
        <v>-8.9300000000000004E-3</v>
      </c>
    </row>
    <row r="88" spans="7:12" x14ac:dyDescent="0.35">
      <c r="G88" s="2">
        <v>72</v>
      </c>
      <c r="H88" s="72">
        <f t="shared" si="1"/>
        <v>0.20450000000000002</v>
      </c>
      <c r="I88" s="71">
        <v>0</v>
      </c>
      <c r="J88" s="72">
        <f t="shared" si="3"/>
        <v>0.40250000000000002</v>
      </c>
      <c r="K88" s="71">
        <v>0</v>
      </c>
      <c r="L88" s="79">
        <v>-8.9300000000000004E-3</v>
      </c>
    </row>
    <row r="89" spans="7:12" x14ac:dyDescent="0.35">
      <c r="G89" s="2">
        <v>73</v>
      </c>
      <c r="H89" s="72">
        <f t="shared" si="1"/>
        <v>0.20425000000000001</v>
      </c>
      <c r="I89" s="71">
        <v>0</v>
      </c>
      <c r="J89" s="72">
        <f t="shared" si="3"/>
        <v>0.39125000000000004</v>
      </c>
      <c r="K89" s="71">
        <v>0</v>
      </c>
      <c r="L89" s="79">
        <v>-8.9300000000000004E-3</v>
      </c>
    </row>
    <row r="90" spans="7:12" x14ac:dyDescent="0.35">
      <c r="G90" s="2">
        <v>74</v>
      </c>
      <c r="H90" s="72">
        <f t="shared" si="1"/>
        <v>0.20400000000000001</v>
      </c>
      <c r="I90" s="71">
        <v>0</v>
      </c>
      <c r="J90" s="72">
        <f t="shared" si="3"/>
        <v>0.38</v>
      </c>
      <c r="K90" s="71">
        <v>0</v>
      </c>
      <c r="L90" s="79">
        <v>-8.9300000000000004E-3</v>
      </c>
    </row>
    <row r="91" spans="7:12" x14ac:dyDescent="0.35">
      <c r="G91" s="2">
        <v>75</v>
      </c>
      <c r="H91" s="72">
        <f t="shared" si="1"/>
        <v>0.20375000000000001</v>
      </c>
      <c r="I91" s="71">
        <v>0</v>
      </c>
      <c r="J91" s="72">
        <f t="shared" si="3"/>
        <v>0.36875000000000002</v>
      </c>
      <c r="K91" s="71">
        <v>0</v>
      </c>
      <c r="L91" s="79">
        <v>-8.9300000000000004E-3</v>
      </c>
    </row>
    <row r="92" spans="7:12" x14ac:dyDescent="0.35">
      <c r="G92" s="2">
        <v>76</v>
      </c>
      <c r="H92" s="72">
        <f t="shared" si="1"/>
        <v>0.20350000000000001</v>
      </c>
      <c r="I92" s="71">
        <v>0</v>
      </c>
      <c r="J92" s="72">
        <f t="shared" si="3"/>
        <v>0.35750000000000004</v>
      </c>
      <c r="K92" s="71">
        <v>0</v>
      </c>
      <c r="L92" s="79">
        <v>-8.9300000000000004E-3</v>
      </c>
    </row>
    <row r="93" spans="7:12" x14ac:dyDescent="0.35">
      <c r="G93" s="2">
        <v>77</v>
      </c>
      <c r="H93" s="72">
        <f t="shared" si="1"/>
        <v>0.20325000000000001</v>
      </c>
      <c r="I93" s="71">
        <v>0</v>
      </c>
      <c r="J93" s="72">
        <f t="shared" si="3"/>
        <v>0.34625000000000006</v>
      </c>
      <c r="K93" s="71">
        <v>0</v>
      </c>
      <c r="L93" s="79">
        <v>-8.9300000000000004E-3</v>
      </c>
    </row>
    <row r="94" spans="7:12" x14ac:dyDescent="0.35">
      <c r="G94" s="2">
        <v>78</v>
      </c>
      <c r="H94" s="72">
        <f t="shared" si="1"/>
        <v>0.20300000000000001</v>
      </c>
      <c r="I94" s="71">
        <v>0</v>
      </c>
      <c r="J94" s="72">
        <f t="shared" si="3"/>
        <v>0.33500000000000002</v>
      </c>
      <c r="K94" s="71">
        <v>0</v>
      </c>
      <c r="L94" s="79">
        <v>-8.9300000000000004E-3</v>
      </c>
    </row>
    <row r="95" spans="7:12" x14ac:dyDescent="0.35">
      <c r="G95" s="2">
        <v>79</v>
      </c>
      <c r="H95" s="72">
        <f t="shared" si="1"/>
        <v>0.20275000000000001</v>
      </c>
      <c r="I95" s="71">
        <v>0</v>
      </c>
      <c r="J95" s="72">
        <f t="shared" si="3"/>
        <v>0.32375000000000004</v>
      </c>
      <c r="K95" s="71">
        <v>0</v>
      </c>
      <c r="L95" s="79">
        <v>-8.9300000000000004E-3</v>
      </c>
    </row>
    <row r="96" spans="7:12" x14ac:dyDescent="0.35">
      <c r="G96" s="2">
        <v>80</v>
      </c>
      <c r="H96" s="72">
        <f t="shared" si="1"/>
        <v>0.20250000000000001</v>
      </c>
      <c r="I96" s="71">
        <v>0</v>
      </c>
      <c r="J96" s="72">
        <f t="shared" si="3"/>
        <v>0.31250000000000006</v>
      </c>
      <c r="K96" s="71">
        <v>0</v>
      </c>
      <c r="L96" s="79">
        <v>-8.9300000000000004E-3</v>
      </c>
    </row>
    <row r="97" spans="7:12" x14ac:dyDescent="0.35">
      <c r="G97" s="2">
        <v>81</v>
      </c>
      <c r="H97" s="72">
        <f t="shared" si="1"/>
        <v>0.20225000000000001</v>
      </c>
      <c r="I97" s="71">
        <v>0</v>
      </c>
      <c r="J97" s="72">
        <f t="shared" si="3"/>
        <v>0.30125000000000002</v>
      </c>
      <c r="K97" s="71">
        <v>0</v>
      </c>
      <c r="L97" s="79">
        <v>-8.9300000000000004E-3</v>
      </c>
    </row>
    <row r="98" spans="7:12" x14ac:dyDescent="0.35">
      <c r="G98" s="2">
        <v>82</v>
      </c>
      <c r="H98" s="72">
        <f t="shared" si="1"/>
        <v>0.20200000000000001</v>
      </c>
      <c r="I98" s="71">
        <v>0</v>
      </c>
      <c r="J98" s="72">
        <f t="shared" si="3"/>
        <v>0.29000000000000004</v>
      </c>
      <c r="K98" s="71">
        <v>0</v>
      </c>
      <c r="L98" s="79">
        <v>-8.9300000000000004E-3</v>
      </c>
    </row>
    <row r="99" spans="7:12" x14ac:dyDescent="0.35">
      <c r="G99" s="2">
        <v>83</v>
      </c>
      <c r="H99" s="72">
        <f t="shared" si="1"/>
        <v>0.20175000000000001</v>
      </c>
      <c r="I99" s="71">
        <v>0</v>
      </c>
      <c r="J99" s="72">
        <f t="shared" si="3"/>
        <v>0.27875000000000005</v>
      </c>
      <c r="K99" s="71">
        <v>0</v>
      </c>
      <c r="L99" s="79">
        <v>-8.9300000000000004E-3</v>
      </c>
    </row>
    <row r="100" spans="7:12" x14ac:dyDescent="0.35">
      <c r="G100" s="2">
        <v>84</v>
      </c>
      <c r="H100" s="72">
        <f t="shared" si="1"/>
        <v>0.20150000000000001</v>
      </c>
      <c r="I100" s="71">
        <v>0</v>
      </c>
      <c r="J100" s="72">
        <f t="shared" si="3"/>
        <v>0.26750000000000002</v>
      </c>
      <c r="K100" s="71">
        <v>0</v>
      </c>
      <c r="L100" s="79">
        <v>-8.9300000000000004E-3</v>
      </c>
    </row>
    <row r="101" spans="7:12" x14ac:dyDescent="0.35">
      <c r="G101" s="2">
        <v>85</v>
      </c>
      <c r="H101" s="72">
        <f t="shared" si="1"/>
        <v>0.20125000000000001</v>
      </c>
      <c r="I101" s="71">
        <v>0</v>
      </c>
      <c r="J101" s="72">
        <f t="shared" si="3"/>
        <v>0.25625000000000003</v>
      </c>
      <c r="K101" s="71">
        <v>0</v>
      </c>
      <c r="L101" s="79">
        <v>-8.9300000000000004E-3</v>
      </c>
    </row>
    <row r="102" spans="7:12" x14ac:dyDescent="0.35">
      <c r="G102" s="2">
        <v>86</v>
      </c>
      <c r="H102" s="72">
        <f t="shared" si="1"/>
        <v>0.20100000000000001</v>
      </c>
      <c r="I102" s="71">
        <v>0</v>
      </c>
      <c r="J102" s="72">
        <f t="shared" si="3"/>
        <v>0.24500000000000005</v>
      </c>
      <c r="K102" s="71">
        <v>0</v>
      </c>
      <c r="L102" s="79">
        <v>-8.9300000000000004E-3</v>
      </c>
    </row>
    <row r="103" spans="7:12" x14ac:dyDescent="0.35">
      <c r="G103" s="2">
        <v>87</v>
      </c>
      <c r="H103" s="72">
        <f t="shared" si="1"/>
        <v>0.20075000000000001</v>
      </c>
      <c r="I103" s="71">
        <v>0</v>
      </c>
      <c r="J103" s="72">
        <f t="shared" si="3"/>
        <v>0.23375000000000001</v>
      </c>
      <c r="K103" s="71">
        <v>0</v>
      </c>
      <c r="L103" s="79">
        <v>-8.9300000000000004E-3</v>
      </c>
    </row>
    <row r="104" spans="7:12" x14ac:dyDescent="0.35">
      <c r="G104" s="2">
        <v>88</v>
      </c>
      <c r="H104" s="72">
        <f t="shared" si="1"/>
        <v>0.20050000000000001</v>
      </c>
      <c r="I104" s="71">
        <v>0</v>
      </c>
      <c r="J104" s="72">
        <f t="shared" si="3"/>
        <v>0.22250000000000003</v>
      </c>
      <c r="K104" s="71">
        <v>0</v>
      </c>
      <c r="L104" s="79">
        <v>-8.9300000000000004E-3</v>
      </c>
    </row>
    <row r="105" spans="7:12" x14ac:dyDescent="0.35">
      <c r="G105" s="2">
        <v>89</v>
      </c>
      <c r="H105" s="72">
        <f t="shared" si="1"/>
        <v>0.20025000000000001</v>
      </c>
      <c r="I105" s="71">
        <v>0</v>
      </c>
      <c r="J105" s="72">
        <f t="shared" si="3"/>
        <v>0.21125000000000005</v>
      </c>
      <c r="K105" s="71">
        <v>0</v>
      </c>
      <c r="L105" s="79">
        <v>-8.9300000000000004E-3</v>
      </c>
    </row>
    <row r="106" spans="7:12" x14ac:dyDescent="0.35">
      <c r="G106" s="2">
        <v>90</v>
      </c>
      <c r="H106" s="72">
        <v>0.2</v>
      </c>
      <c r="I106" s="71">
        <v>0</v>
      </c>
      <c r="J106" s="72">
        <v>0.2</v>
      </c>
      <c r="K106" s="71">
        <v>0</v>
      </c>
      <c r="L106" s="79">
        <v>-8.9300000000000004E-3</v>
      </c>
    </row>
    <row r="107" spans="7:12" x14ac:dyDescent="0.35">
      <c r="G107" s="2">
        <v>91</v>
      </c>
      <c r="H107" s="72">
        <v>0.2</v>
      </c>
      <c r="I107" s="71">
        <v>0</v>
      </c>
      <c r="J107" s="72">
        <v>0.2</v>
      </c>
      <c r="K107" s="71">
        <v>0</v>
      </c>
      <c r="L107" s="79">
        <v>-8.9300000000000004E-3</v>
      </c>
    </row>
    <row r="108" spans="7:12" x14ac:dyDescent="0.35">
      <c r="G108" s="2">
        <v>92</v>
      </c>
      <c r="H108" s="72">
        <v>0.2</v>
      </c>
      <c r="I108" s="71">
        <v>0</v>
      </c>
      <c r="J108" s="72">
        <v>0.2</v>
      </c>
      <c r="K108" s="71">
        <v>0</v>
      </c>
      <c r="L108" s="79">
        <v>-8.9300000000000004E-3</v>
      </c>
    </row>
    <row r="109" spans="7:12" x14ac:dyDescent="0.35">
      <c r="G109" s="2">
        <v>93</v>
      </c>
      <c r="H109" s="72">
        <v>0.2</v>
      </c>
      <c r="I109" s="71">
        <v>0</v>
      </c>
      <c r="J109" s="72">
        <v>0.2</v>
      </c>
      <c r="K109" s="71">
        <v>0</v>
      </c>
      <c r="L109" s="79">
        <v>-8.9300000000000004E-3</v>
      </c>
    </row>
    <row r="110" spans="7:12" x14ac:dyDescent="0.35">
      <c r="G110" s="2">
        <v>94</v>
      </c>
      <c r="H110" s="72">
        <v>0.2</v>
      </c>
      <c r="I110" s="71">
        <v>0</v>
      </c>
      <c r="J110" s="72">
        <v>0.2</v>
      </c>
      <c r="K110" s="71">
        <v>0</v>
      </c>
      <c r="L110" s="79">
        <v>-8.9300000000000004E-3</v>
      </c>
    </row>
    <row r="111" spans="7:12" x14ac:dyDescent="0.35">
      <c r="G111" s="2">
        <v>95</v>
      </c>
      <c r="H111" s="72">
        <v>0.2</v>
      </c>
      <c r="I111" s="71">
        <v>0</v>
      </c>
      <c r="J111" s="72">
        <v>0.2</v>
      </c>
      <c r="K111" s="71">
        <v>0</v>
      </c>
      <c r="L111" s="79">
        <v>-8.9300000000000004E-3</v>
      </c>
    </row>
    <row r="112" spans="7:12" x14ac:dyDescent="0.35">
      <c r="G112" s="2">
        <v>96</v>
      </c>
      <c r="H112" s="72">
        <v>0.2</v>
      </c>
      <c r="I112" s="71">
        <v>0</v>
      </c>
      <c r="J112" s="72">
        <v>0.2</v>
      </c>
      <c r="K112" s="71">
        <v>0</v>
      </c>
      <c r="L112" s="79">
        <v>-8.9300000000000004E-3</v>
      </c>
    </row>
    <row r="113" spans="7:12" x14ac:dyDescent="0.35">
      <c r="G113" s="2">
        <v>97</v>
      </c>
      <c r="H113" s="72">
        <v>0.2</v>
      </c>
      <c r="I113" s="71">
        <v>0</v>
      </c>
      <c r="J113" s="72">
        <v>0.2</v>
      </c>
      <c r="K113" s="71">
        <v>0</v>
      </c>
      <c r="L113" s="79">
        <v>-8.9300000000000004E-3</v>
      </c>
    </row>
    <row r="114" spans="7:12" x14ac:dyDescent="0.35">
      <c r="G114" s="2">
        <v>98</v>
      </c>
      <c r="H114" s="72">
        <v>0.2</v>
      </c>
      <c r="I114" s="71">
        <v>0</v>
      </c>
      <c r="J114" s="72">
        <v>0.2</v>
      </c>
      <c r="K114" s="71">
        <v>0</v>
      </c>
      <c r="L114" s="79">
        <v>-8.9300000000000004E-3</v>
      </c>
    </row>
    <row r="115" spans="7:12" x14ac:dyDescent="0.35">
      <c r="G115" s="2">
        <v>99</v>
      </c>
      <c r="H115" s="72">
        <v>0.2</v>
      </c>
      <c r="I115" s="71">
        <v>0</v>
      </c>
      <c r="J115" s="72">
        <v>0.2</v>
      </c>
      <c r="K115" s="71">
        <v>0</v>
      </c>
      <c r="L115" s="79">
        <v>-8.9300000000000004E-3</v>
      </c>
    </row>
    <row r="116" spans="7:12" x14ac:dyDescent="0.35">
      <c r="G116" s="2">
        <v>100</v>
      </c>
      <c r="H116" s="72">
        <v>0.2</v>
      </c>
      <c r="I116" s="71">
        <v>0</v>
      </c>
      <c r="J116" s="72">
        <v>0.2</v>
      </c>
      <c r="K116" s="71">
        <v>0</v>
      </c>
      <c r="L116" s="79">
        <v>-8.9300000000000004E-3</v>
      </c>
    </row>
    <row r="117" spans="7:12" x14ac:dyDescent="0.35">
      <c r="G117" s="2">
        <v>101</v>
      </c>
      <c r="H117" s="72">
        <v>0.2</v>
      </c>
      <c r="I117" s="71">
        <v>0</v>
      </c>
      <c r="J117" s="72">
        <v>0.2</v>
      </c>
      <c r="K117" s="71">
        <v>0</v>
      </c>
      <c r="L117" s="79">
        <v>-8.9300000000000004E-3</v>
      </c>
    </row>
    <row r="118" spans="7:12" x14ac:dyDescent="0.35">
      <c r="G118" s="2">
        <v>102</v>
      </c>
      <c r="H118" s="72">
        <v>0.2</v>
      </c>
      <c r="I118" s="71">
        <v>0</v>
      </c>
      <c r="J118" s="72">
        <v>0.2</v>
      </c>
      <c r="K118" s="71">
        <v>0</v>
      </c>
      <c r="L118" s="79">
        <v>-8.9300000000000004E-3</v>
      </c>
    </row>
    <row r="119" spans="7:12" x14ac:dyDescent="0.35">
      <c r="G119" s="2">
        <v>103</v>
      </c>
      <c r="H119" s="72">
        <v>0.2</v>
      </c>
      <c r="I119" s="71">
        <v>0</v>
      </c>
      <c r="J119" s="72">
        <v>0.2</v>
      </c>
      <c r="K119" s="71">
        <v>0</v>
      </c>
      <c r="L119" s="79">
        <v>-8.9300000000000004E-3</v>
      </c>
    </row>
    <row r="120" spans="7:12" x14ac:dyDescent="0.35">
      <c r="G120" s="2">
        <v>104</v>
      </c>
      <c r="H120" s="72">
        <v>0.2</v>
      </c>
      <c r="I120" s="71">
        <v>0</v>
      </c>
      <c r="J120" s="72">
        <v>0.2</v>
      </c>
      <c r="K120" s="71">
        <v>0</v>
      </c>
      <c r="L120" s="79">
        <v>-8.9300000000000004E-3</v>
      </c>
    </row>
    <row r="121" spans="7:12" x14ac:dyDescent="0.35">
      <c r="G121" s="2">
        <v>105</v>
      </c>
      <c r="H121" s="72">
        <v>0.2</v>
      </c>
      <c r="I121" s="71">
        <v>0</v>
      </c>
      <c r="J121" s="72">
        <v>0.2</v>
      </c>
      <c r="K121" s="71">
        <v>0</v>
      </c>
      <c r="L121" s="79">
        <v>-8.9300000000000004E-3</v>
      </c>
    </row>
    <row r="122" spans="7:12" x14ac:dyDescent="0.35">
      <c r="G122" s="2">
        <v>106</v>
      </c>
      <c r="H122" s="72">
        <v>0.2</v>
      </c>
      <c r="I122" s="71">
        <v>0</v>
      </c>
      <c r="J122" s="72">
        <v>0.2</v>
      </c>
      <c r="K122" s="71">
        <v>0</v>
      </c>
      <c r="L122" s="79">
        <v>-8.9300000000000004E-3</v>
      </c>
    </row>
    <row r="123" spans="7:12" x14ac:dyDescent="0.35">
      <c r="G123" s="2">
        <v>107</v>
      </c>
      <c r="H123" s="72">
        <v>0.2</v>
      </c>
      <c r="I123" s="71">
        <v>0</v>
      </c>
      <c r="J123" s="72">
        <v>0.2</v>
      </c>
      <c r="K123" s="71">
        <v>0</v>
      </c>
      <c r="L123" s="79">
        <v>-8.9300000000000004E-3</v>
      </c>
    </row>
    <row r="124" spans="7:12" x14ac:dyDescent="0.35">
      <c r="G124" s="2">
        <v>108</v>
      </c>
      <c r="H124" s="72">
        <v>0.2</v>
      </c>
      <c r="I124" s="71">
        <v>0</v>
      </c>
      <c r="J124" s="72">
        <v>0.2</v>
      </c>
      <c r="K124" s="71">
        <v>0</v>
      </c>
      <c r="L124" s="79">
        <v>-8.9300000000000004E-3</v>
      </c>
    </row>
    <row r="125" spans="7:12" x14ac:dyDescent="0.35">
      <c r="G125" s="2">
        <v>109</v>
      </c>
      <c r="H125" s="72">
        <v>0.2</v>
      </c>
      <c r="I125" s="71">
        <v>0</v>
      </c>
      <c r="J125" s="72">
        <v>0.2</v>
      </c>
      <c r="K125" s="71">
        <v>0</v>
      </c>
      <c r="L125" s="79">
        <v>-8.9300000000000004E-3</v>
      </c>
    </row>
    <row r="126" spans="7:12" x14ac:dyDescent="0.35">
      <c r="G126" s="2">
        <v>110</v>
      </c>
      <c r="H126" s="72">
        <v>0.2</v>
      </c>
      <c r="I126" s="71">
        <v>0</v>
      </c>
      <c r="J126" s="72">
        <v>0.2</v>
      </c>
      <c r="K126" s="71">
        <v>0</v>
      </c>
      <c r="L126" s="79">
        <v>-8.9300000000000004E-3</v>
      </c>
    </row>
    <row r="127" spans="7:12" x14ac:dyDescent="0.35">
      <c r="G127" s="2">
        <v>111</v>
      </c>
      <c r="H127" s="72">
        <v>0.2</v>
      </c>
      <c r="I127" s="71">
        <v>0</v>
      </c>
      <c r="J127" s="72">
        <v>0.2</v>
      </c>
      <c r="K127" s="71">
        <v>0</v>
      </c>
      <c r="L127" s="79">
        <v>-8.9300000000000004E-3</v>
      </c>
    </row>
    <row r="128" spans="7:12" x14ac:dyDescent="0.35">
      <c r="G128" s="2">
        <v>112</v>
      </c>
      <c r="H128" s="72">
        <v>0.2</v>
      </c>
      <c r="I128" s="71">
        <v>0</v>
      </c>
      <c r="J128" s="72">
        <v>0.2</v>
      </c>
      <c r="K128" s="71">
        <v>0</v>
      </c>
      <c r="L128" s="79">
        <v>-8.9300000000000004E-3</v>
      </c>
    </row>
    <row r="129" spans="7:12" x14ac:dyDescent="0.35">
      <c r="G129" s="2">
        <v>113</v>
      </c>
      <c r="H129" s="72">
        <v>0.2</v>
      </c>
      <c r="I129" s="71">
        <v>0</v>
      </c>
      <c r="J129" s="72">
        <v>0.2</v>
      </c>
      <c r="K129" s="71">
        <v>0</v>
      </c>
      <c r="L129" s="79">
        <v>-8.9300000000000004E-3</v>
      </c>
    </row>
    <row r="130" spans="7:12" x14ac:dyDescent="0.35">
      <c r="G130" s="2">
        <v>114</v>
      </c>
      <c r="H130" s="72">
        <v>0.2</v>
      </c>
      <c r="I130" s="71">
        <v>0</v>
      </c>
      <c r="J130" s="72">
        <v>0.2</v>
      </c>
      <c r="K130" s="71">
        <v>0</v>
      </c>
      <c r="L130" s="79">
        <v>-8.9300000000000004E-3</v>
      </c>
    </row>
    <row r="131" spans="7:12" x14ac:dyDescent="0.35">
      <c r="G131" s="2">
        <v>115</v>
      </c>
      <c r="H131" s="72">
        <v>0.2</v>
      </c>
      <c r="I131" s="71">
        <v>0</v>
      </c>
      <c r="J131" s="72">
        <v>0.2</v>
      </c>
      <c r="K131" s="71">
        <v>0</v>
      </c>
      <c r="L131" s="79">
        <v>-8.9300000000000004E-3</v>
      </c>
    </row>
    <row r="132" spans="7:12" x14ac:dyDescent="0.35">
      <c r="G132" s="2">
        <v>116</v>
      </c>
      <c r="H132" s="72">
        <v>0.2</v>
      </c>
      <c r="I132" s="71">
        <v>0</v>
      </c>
      <c r="J132" s="72">
        <v>0.2</v>
      </c>
      <c r="K132" s="71">
        <v>0</v>
      </c>
      <c r="L132" s="79">
        <v>-8.9300000000000004E-3</v>
      </c>
    </row>
    <row r="133" spans="7:12" x14ac:dyDescent="0.35">
      <c r="G133" s="2">
        <v>117</v>
      </c>
      <c r="H133" s="72">
        <v>0.2</v>
      </c>
      <c r="I133" s="71">
        <v>0</v>
      </c>
      <c r="J133" s="72">
        <v>0.2</v>
      </c>
      <c r="K133" s="71">
        <v>0</v>
      </c>
      <c r="L133" s="79">
        <v>-8.9300000000000004E-3</v>
      </c>
    </row>
    <row r="134" spans="7:12" x14ac:dyDescent="0.35">
      <c r="G134" s="2">
        <v>118</v>
      </c>
      <c r="H134" s="72">
        <v>0.2</v>
      </c>
      <c r="I134" s="71">
        <v>0</v>
      </c>
      <c r="J134" s="72">
        <v>0.2</v>
      </c>
      <c r="K134" s="71">
        <v>0</v>
      </c>
      <c r="L134" s="79">
        <v>-8.9300000000000004E-3</v>
      </c>
    </row>
    <row r="135" spans="7:12" x14ac:dyDescent="0.35">
      <c r="G135" s="2">
        <v>119</v>
      </c>
      <c r="H135" s="72">
        <v>0.2</v>
      </c>
      <c r="I135" s="71">
        <v>0</v>
      </c>
      <c r="J135" s="72">
        <v>0.2</v>
      </c>
      <c r="K135" s="71">
        <v>0</v>
      </c>
      <c r="L135" s="79">
        <v>-8.9300000000000004E-3</v>
      </c>
    </row>
    <row r="136" spans="7:12" x14ac:dyDescent="0.35">
      <c r="G136" s="2">
        <v>120</v>
      </c>
      <c r="H136" s="72">
        <v>0.2</v>
      </c>
      <c r="I136" s="71">
        <v>0</v>
      </c>
      <c r="J136" s="72">
        <v>0.2</v>
      </c>
      <c r="K136" s="71">
        <v>0</v>
      </c>
      <c r="L136" s="79">
        <v>-8.9300000000000004E-3</v>
      </c>
    </row>
    <row r="137" spans="7:12" x14ac:dyDescent="0.35">
      <c r="G137" s="2">
        <v>121</v>
      </c>
      <c r="H137" s="72">
        <v>0.2</v>
      </c>
      <c r="I137" s="71">
        <v>0</v>
      </c>
      <c r="J137" s="72">
        <v>0.2</v>
      </c>
      <c r="K137" s="71">
        <v>0</v>
      </c>
      <c r="L137" s="79">
        <v>-8.9300000000000004E-3</v>
      </c>
    </row>
    <row r="138" spans="7:12" x14ac:dyDescent="0.35">
      <c r="G138" s="2">
        <v>122</v>
      </c>
      <c r="H138" s="72">
        <v>0.2</v>
      </c>
      <c r="I138" s="71">
        <v>0</v>
      </c>
      <c r="J138" s="72">
        <v>0.2</v>
      </c>
      <c r="K138" s="71">
        <v>0</v>
      </c>
      <c r="L138" s="79">
        <v>-8.9300000000000004E-3</v>
      </c>
    </row>
    <row r="139" spans="7:12" x14ac:dyDescent="0.35">
      <c r="G139" s="2">
        <v>123</v>
      </c>
      <c r="H139" s="72">
        <v>0.2</v>
      </c>
      <c r="I139" s="71">
        <v>0</v>
      </c>
      <c r="J139" s="72">
        <v>0.2</v>
      </c>
      <c r="K139" s="71">
        <v>0</v>
      </c>
      <c r="L139" s="79">
        <v>-8.9300000000000004E-3</v>
      </c>
    </row>
    <row r="140" spans="7:12" x14ac:dyDescent="0.35">
      <c r="G140" s="2">
        <v>124</v>
      </c>
      <c r="H140" s="72">
        <v>0.2</v>
      </c>
      <c r="I140" s="71">
        <v>0</v>
      </c>
      <c r="J140" s="72">
        <v>0.2</v>
      </c>
      <c r="K140" s="71">
        <v>0</v>
      </c>
      <c r="L140" s="79">
        <v>-8.9300000000000004E-3</v>
      </c>
    </row>
    <row r="141" spans="7:12" x14ac:dyDescent="0.35">
      <c r="G141" s="2">
        <v>125</v>
      </c>
      <c r="H141" s="72">
        <v>0.2</v>
      </c>
      <c r="I141" s="71">
        <v>0</v>
      </c>
      <c r="J141" s="72">
        <v>0.2</v>
      </c>
      <c r="K141" s="71">
        <v>0</v>
      </c>
      <c r="L141" s="79">
        <v>-8.9300000000000004E-3</v>
      </c>
    </row>
    <row r="142" spans="7:12" x14ac:dyDescent="0.35">
      <c r="G142" s="2">
        <v>126</v>
      </c>
      <c r="H142" s="72">
        <v>0.2</v>
      </c>
      <c r="I142" s="71">
        <v>0</v>
      </c>
      <c r="J142" s="72">
        <v>0.2</v>
      </c>
      <c r="K142" s="71">
        <v>0</v>
      </c>
      <c r="L142" s="79">
        <v>-8.9300000000000004E-3</v>
      </c>
    </row>
    <row r="143" spans="7:12" x14ac:dyDescent="0.35">
      <c r="G143" s="2">
        <v>127</v>
      </c>
      <c r="H143" s="72">
        <v>0.2</v>
      </c>
      <c r="I143" s="71">
        <v>0</v>
      </c>
      <c r="J143" s="72">
        <v>0.2</v>
      </c>
      <c r="K143" s="71">
        <v>0</v>
      </c>
      <c r="L143" s="79">
        <v>-8.9300000000000004E-3</v>
      </c>
    </row>
    <row r="144" spans="7:12" x14ac:dyDescent="0.35">
      <c r="G144" s="2">
        <v>128</v>
      </c>
      <c r="H144" s="72">
        <v>0.2</v>
      </c>
      <c r="I144" s="71">
        <v>0</v>
      </c>
      <c r="J144" s="72">
        <v>0.2</v>
      </c>
      <c r="K144" s="71">
        <v>0</v>
      </c>
      <c r="L144" s="79">
        <v>-8.9300000000000004E-3</v>
      </c>
    </row>
    <row r="145" spans="7:12" x14ac:dyDescent="0.35">
      <c r="G145" s="2">
        <v>129</v>
      </c>
      <c r="H145" s="72">
        <v>0.2</v>
      </c>
      <c r="I145" s="71">
        <v>0</v>
      </c>
      <c r="J145" s="72">
        <v>0.2</v>
      </c>
      <c r="K145" s="71">
        <v>0</v>
      </c>
      <c r="L145" s="79">
        <v>-8.9300000000000004E-3</v>
      </c>
    </row>
    <row r="146" spans="7:12" x14ac:dyDescent="0.35">
      <c r="G146" s="2">
        <v>130</v>
      </c>
      <c r="H146" s="72">
        <v>0.2</v>
      </c>
      <c r="I146" s="71">
        <v>0</v>
      </c>
      <c r="J146" s="72">
        <v>0.2</v>
      </c>
      <c r="K146" s="71">
        <v>0</v>
      </c>
      <c r="L146" s="79">
        <v>-8.9300000000000004E-3</v>
      </c>
    </row>
    <row r="147" spans="7:12" x14ac:dyDescent="0.35">
      <c r="G147" s="2">
        <v>131</v>
      </c>
      <c r="H147" s="72">
        <v>0.2</v>
      </c>
      <c r="I147" s="71">
        <v>0</v>
      </c>
      <c r="J147" s="72">
        <v>0.2</v>
      </c>
      <c r="K147" s="71">
        <v>0</v>
      </c>
      <c r="L147" s="79">
        <v>-8.9300000000000004E-3</v>
      </c>
    </row>
    <row r="148" spans="7:12" x14ac:dyDescent="0.35">
      <c r="G148" s="2">
        <v>132</v>
      </c>
      <c r="H148" s="72">
        <v>0.2</v>
      </c>
      <c r="I148" s="71">
        <v>0</v>
      </c>
      <c r="J148" s="72">
        <v>0.2</v>
      </c>
      <c r="K148" s="71">
        <v>0</v>
      </c>
      <c r="L148" s="79">
        <v>-8.9300000000000004E-3</v>
      </c>
    </row>
    <row r="149" spans="7:12" x14ac:dyDescent="0.35">
      <c r="G149" s="2">
        <v>133</v>
      </c>
      <c r="H149" s="72">
        <v>0.2</v>
      </c>
      <c r="I149" s="71">
        <v>0</v>
      </c>
      <c r="J149" s="72">
        <v>0.2</v>
      </c>
      <c r="K149" s="71">
        <v>0</v>
      </c>
      <c r="L149" s="79">
        <v>-8.9300000000000004E-3</v>
      </c>
    </row>
    <row r="150" spans="7:12" x14ac:dyDescent="0.35">
      <c r="G150" s="2">
        <v>134</v>
      </c>
      <c r="H150" s="72">
        <v>0.2</v>
      </c>
      <c r="I150" s="71">
        <v>0</v>
      </c>
      <c r="J150" s="72">
        <v>0.2</v>
      </c>
      <c r="K150" s="71">
        <v>0</v>
      </c>
      <c r="L150" s="79">
        <v>-8.9300000000000004E-3</v>
      </c>
    </row>
    <row r="151" spans="7:12" x14ac:dyDescent="0.35">
      <c r="G151" s="2">
        <v>135</v>
      </c>
      <c r="H151" s="72">
        <v>0.2</v>
      </c>
      <c r="I151" s="71">
        <v>0</v>
      </c>
      <c r="J151" s="72">
        <v>0.2</v>
      </c>
      <c r="K151" s="71">
        <v>0</v>
      </c>
      <c r="L151" s="79">
        <v>-8.9300000000000004E-3</v>
      </c>
    </row>
    <row r="152" spans="7:12" x14ac:dyDescent="0.35">
      <c r="G152" s="2">
        <v>136</v>
      </c>
      <c r="H152" s="72">
        <v>0.2</v>
      </c>
      <c r="I152" s="71">
        <v>0</v>
      </c>
      <c r="J152" s="72">
        <v>0.2</v>
      </c>
      <c r="K152" s="71">
        <v>0</v>
      </c>
      <c r="L152" s="79">
        <v>-8.9300000000000004E-3</v>
      </c>
    </row>
    <row r="153" spans="7:12" x14ac:dyDescent="0.35">
      <c r="G153" s="2">
        <v>137</v>
      </c>
      <c r="H153" s="72">
        <v>0.2</v>
      </c>
      <c r="I153" s="71">
        <v>0</v>
      </c>
      <c r="J153" s="72">
        <v>0.2</v>
      </c>
      <c r="K153" s="71">
        <v>0</v>
      </c>
      <c r="L153" s="79">
        <v>-8.9300000000000004E-3</v>
      </c>
    </row>
    <row r="154" spans="7:12" x14ac:dyDescent="0.35">
      <c r="G154" s="2">
        <v>138</v>
      </c>
      <c r="H154" s="72">
        <v>0.2</v>
      </c>
      <c r="I154" s="71">
        <v>0</v>
      </c>
      <c r="J154" s="72">
        <v>0.2</v>
      </c>
      <c r="K154" s="71">
        <v>0</v>
      </c>
      <c r="L154" s="79">
        <v>-8.9300000000000004E-3</v>
      </c>
    </row>
    <row r="155" spans="7:12" x14ac:dyDescent="0.35">
      <c r="G155" s="2">
        <v>139</v>
      </c>
      <c r="H155" s="72">
        <v>0.2</v>
      </c>
      <c r="I155" s="71">
        <v>0</v>
      </c>
      <c r="J155" s="72">
        <v>0.2</v>
      </c>
      <c r="K155" s="71">
        <v>0</v>
      </c>
      <c r="L155" s="79">
        <v>-8.9300000000000004E-3</v>
      </c>
    </row>
    <row r="156" spans="7:12" x14ac:dyDescent="0.35">
      <c r="G156" s="2">
        <v>140</v>
      </c>
      <c r="H156" s="72">
        <v>0.2</v>
      </c>
      <c r="I156" s="71">
        <v>0</v>
      </c>
      <c r="J156" s="72">
        <v>0.2</v>
      </c>
      <c r="K156" s="71">
        <v>0</v>
      </c>
      <c r="L156" s="79">
        <v>-8.9300000000000004E-3</v>
      </c>
    </row>
    <row r="157" spans="7:12" x14ac:dyDescent="0.35">
      <c r="G157" s="2">
        <v>141</v>
      </c>
      <c r="H157" s="72">
        <v>0.2</v>
      </c>
      <c r="I157" s="71">
        <v>0</v>
      </c>
      <c r="J157" s="72">
        <v>0.2</v>
      </c>
      <c r="K157" s="71">
        <v>0</v>
      </c>
      <c r="L157" s="79">
        <v>-8.9300000000000004E-3</v>
      </c>
    </row>
    <row r="158" spans="7:12" x14ac:dyDescent="0.35">
      <c r="G158" s="2">
        <v>142</v>
      </c>
      <c r="H158" s="72">
        <v>0.2</v>
      </c>
      <c r="I158" s="71">
        <v>0</v>
      </c>
      <c r="J158" s="72">
        <v>0.2</v>
      </c>
      <c r="K158" s="71">
        <v>0</v>
      </c>
      <c r="L158" s="79">
        <v>-8.9300000000000004E-3</v>
      </c>
    </row>
    <row r="159" spans="7:12" x14ac:dyDescent="0.35">
      <c r="G159" s="2">
        <v>143</v>
      </c>
      <c r="H159" s="72">
        <v>0.2</v>
      </c>
      <c r="I159" s="71">
        <v>0</v>
      </c>
      <c r="J159" s="72">
        <v>0.2</v>
      </c>
      <c r="K159" s="71">
        <v>0</v>
      </c>
      <c r="L159" s="79">
        <v>-8.9300000000000004E-3</v>
      </c>
    </row>
    <row r="160" spans="7:12" x14ac:dyDescent="0.35">
      <c r="G160" s="2">
        <v>144</v>
      </c>
      <c r="H160" s="72">
        <v>0.2</v>
      </c>
      <c r="I160" s="71">
        <v>0</v>
      </c>
      <c r="J160" s="72">
        <v>0.2</v>
      </c>
      <c r="K160" s="71">
        <v>0</v>
      </c>
      <c r="L160" s="79">
        <v>-8.9300000000000004E-3</v>
      </c>
    </row>
    <row r="161" spans="7:12" x14ac:dyDescent="0.35">
      <c r="G161" s="2">
        <v>145</v>
      </c>
      <c r="H161" s="72">
        <v>0.2</v>
      </c>
      <c r="I161" s="71">
        <v>0</v>
      </c>
      <c r="J161" s="72">
        <v>0.2</v>
      </c>
      <c r="K161" s="71">
        <v>0</v>
      </c>
      <c r="L161" s="79">
        <v>-8.9300000000000004E-3</v>
      </c>
    </row>
    <row r="162" spans="7:12" x14ac:dyDescent="0.35">
      <c r="G162" s="2">
        <v>146</v>
      </c>
      <c r="H162" s="72">
        <v>0.2</v>
      </c>
      <c r="I162" s="71">
        <v>0</v>
      </c>
      <c r="J162" s="72">
        <v>0.2</v>
      </c>
      <c r="K162" s="71">
        <v>0</v>
      </c>
      <c r="L162" s="79">
        <v>-8.9300000000000004E-3</v>
      </c>
    </row>
    <row r="163" spans="7:12" x14ac:dyDescent="0.35">
      <c r="G163" s="2">
        <v>147</v>
      </c>
      <c r="H163" s="72">
        <v>0.2</v>
      </c>
      <c r="I163" s="71">
        <v>0</v>
      </c>
      <c r="J163" s="72">
        <v>0.2</v>
      </c>
      <c r="K163" s="71">
        <v>0</v>
      </c>
      <c r="L163" s="79">
        <v>-8.9300000000000004E-3</v>
      </c>
    </row>
    <row r="164" spans="7:12" x14ac:dyDescent="0.35">
      <c r="G164" s="2">
        <v>148</v>
      </c>
      <c r="H164" s="72">
        <v>0.2</v>
      </c>
      <c r="I164" s="71">
        <v>0</v>
      </c>
      <c r="J164" s="72">
        <v>0.2</v>
      </c>
      <c r="K164" s="71">
        <v>0</v>
      </c>
      <c r="L164" s="79">
        <v>-8.9300000000000004E-3</v>
      </c>
    </row>
    <row r="165" spans="7:12" x14ac:dyDescent="0.35">
      <c r="G165" s="2">
        <v>149</v>
      </c>
      <c r="H165" s="72">
        <v>0.2</v>
      </c>
      <c r="I165" s="71">
        <v>0</v>
      </c>
      <c r="J165" s="72">
        <v>0.2</v>
      </c>
      <c r="K165" s="71">
        <v>0</v>
      </c>
      <c r="L165" s="79">
        <v>-8.9300000000000004E-3</v>
      </c>
    </row>
    <row r="166" spans="7:12" x14ac:dyDescent="0.35">
      <c r="G166" s="2">
        <v>150</v>
      </c>
      <c r="H166" s="72">
        <v>0.2</v>
      </c>
      <c r="I166" s="71">
        <v>0</v>
      </c>
      <c r="J166" s="72">
        <v>0.2</v>
      </c>
      <c r="K166" s="71">
        <v>0</v>
      </c>
      <c r="L166" s="79">
        <v>-8.9300000000000004E-3</v>
      </c>
    </row>
  </sheetData>
  <pageMargins left="0.7" right="0.7" top="0.75" bottom="0.75" header="0.3" footer="0.3"/>
  <headerFooter>
    <oddHeader>&amp;R&amp;"Aptos"&amp;10&amp;K000000 PUBLIC&amp;1#_x000D_</oddHead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08acf695-f66a-4768-b3cf-48c5dc920dbe">
      <Value>14</Value>
      <Value>30</Value>
      <Value>9</Value>
      <Value>4</Value>
      <Value>3</Value>
      <Value>1</Value>
    </TaxCatchAll>
    <FilenameMeetingType xmlns="08acf695-f66a-4768-b3cf-48c5dc920dbe" xsi:nil="true"/>
    <oc1166516e544752abf9d2d1855ee661 xmlns="08acf695-f66a-4768-b3cf-48c5dc920dbe">
      <Terms xmlns="http://schemas.microsoft.com/office/infopath/2007/PartnerControls">
        <TermInfo xmlns="http://schemas.microsoft.com/office/infopath/2007/PartnerControls">
          <TermName xmlns="http://schemas.microsoft.com/office/infopath/2007/PartnerControls">Supervisory Processes Department</TermName>
          <TermId xmlns="http://schemas.microsoft.com/office/infopath/2007/PartnerControls">3a9db3ad-f1a2-49c0-8c29-af39c608fb30</TermId>
        </TermInfo>
      </Terms>
    </oc1166516e544752abf9d2d1855ee661>
    <SourceDocumentInfo xmlns="08acf695-f66a-4768-b3cf-48c5dc920dbe" xsi:nil="true"/>
    <ERIS_Relation xmlns="08acf695-f66a-4768-b3cf-48c5dc920dbe">, </ERIS_Relation>
    <ERIS_AssignedTo xmlns="08acf695-f66a-4768-b3cf-48c5dc920dbe">
      <UserInfo>
        <DisplayName/>
        <AccountId xsi:nil="true"/>
        <AccountType/>
      </UserInfo>
    </ERIS_AssignedTo>
    <ib9b5da6129a4764bff7589b09465f44 xmlns="08acf695-f66a-4768-b3cf-48c5dc920dbe">
      <Terms xmlns="http://schemas.microsoft.com/office/infopath/2007/PartnerControls">
        <TermInfo xmlns="http://schemas.microsoft.com/office/infopath/2007/PartnerControls">
          <TermName xmlns="http://schemas.microsoft.com/office/infopath/2007/PartnerControls">Policy Department</TermName>
          <TermId xmlns="http://schemas.microsoft.com/office/infopath/2007/PartnerControls">b4dfa58b-e139-4fed-98cd-912416c70ce5</TermId>
        </TermInfo>
      </Terms>
    </ib9b5da6129a4764bff7589b09465f44>
    <b951eb87927b40548bb1fcfe6ad9c4d4 xmlns="08acf695-f66a-4768-b3cf-48c5dc920dbe">
      <Terms xmlns="http://schemas.microsoft.com/office/infopath/2007/PartnerControls">
        <TermInfo xmlns="http://schemas.microsoft.com/office/infopath/2007/PartnerControls">
          <TermName xmlns="http://schemas.microsoft.com/office/infopath/2007/PartnerControls">English</TermName>
          <TermId xmlns="http://schemas.microsoft.com/office/infopath/2007/PartnerControls">2741a941-2920-4ba4-aa70-d8ed6ac1785d</TermId>
        </TermInfo>
      </Terms>
    </b951eb87927b40548bb1fcfe6ad9c4d4>
    <NextMeetingSubfolder xmlns="08acf695-f66a-4768-b3cf-48c5dc920dbe" xsi:nil="true"/>
    <bd0590dde75a4281b274cfe17b88f084 xmlns="08acf695-f66a-4768-b3cf-48c5dc920dbe">
      <Terms xmlns="http://schemas.microsoft.com/office/infopath/2007/PartnerControls">
        <TermInfo xmlns="http://schemas.microsoft.com/office/infopath/2007/PartnerControls">
          <TermName xmlns="http://schemas.microsoft.com/office/infopath/2007/PartnerControls">Prudential Policy</TermName>
          <TermId xmlns="http://schemas.microsoft.com/office/infopath/2007/PartnerControls">43245a93-b13b-4262-9edd-8f7887118150</TermId>
        </TermInfo>
        <TermInfo xmlns="http://schemas.microsoft.com/office/infopath/2007/PartnerControls">
          <TermName xmlns="http://schemas.microsoft.com/office/infopath/2007/PartnerControls">Insurance</TermName>
          <TermId xmlns="http://schemas.microsoft.com/office/infopath/2007/PartnerControls">7d742bda-a71f-46ed-a0a2-2b27d7f827fc</TermId>
        </TermInfo>
      </Terms>
    </bd0590dde75a4281b274cfe17b88f084>
    <IconOverlay xmlns="http://schemas.microsoft.com/sharepoint/v4" xsi:nil="true"/>
    <ERIS_SupersededObsolete xmlns="08acf695-f66a-4768-b3cf-48c5dc920dbe">false</ERIS_SupersededObsolete>
    <ERIS_RecordNumber xmlns="08acf695-f66a-4768-b3cf-48c5dc920dbe">EIOPA(2026)0196524</ERIS_RecordNumber>
    <NextMeeting xmlns="08acf695-f66a-4768-b3cf-48c5dc920dbe" xsi:nil="true"/>
    <SubmittingDepartment xmlns="08acf695-f66a-4768-b3cf-48c5dc920dbe" xsi:nil="true"/>
    <ERIS_AdditionalMarkings xmlns="08acf695-f66a-4768-b3cf-48c5dc920dbe" xsi:nil="true"/>
    <ERIS_ProjectEndDate xmlns="08acf695-f66a-4768-b3cf-48c5dc920dbe" xsi:nil="true"/>
    <ERIS_ProjectID xmlns="08acf695-f66a-4768-b3cf-48c5dc920dbe" xsi:nil="true"/>
    <ERIS_ConfidentialityLevel xmlns="08acf695-f66a-4768-b3cf-48c5dc920dbe">PUBLIC</ERIS_ConfidentialityLevel>
    <FormData xmlns="http://schemas.microsoft.com/sharepoint/v3">&lt;?xml version="1.0" encoding="utf-8"?&gt;&lt;FormVariables&gt;&lt;Version /&gt;&lt;Advanced type="System.Boolean"&gt;False&lt;/Advanced&gt;&lt;/FormVariables&gt;</FormData>
    <ERIS_BusinessArea xmlns="08acf695-f66a-4768-b3cf-48c5dc920dbe" xsi:nil="true"/>
    <ERIS_ApprovalStatus xmlns="08acf695-f66a-4768-b3cf-48c5dc920dbe">DRAFT</ERIS_ApprovalStatus>
    <NextMeetingType xmlns="08acf695-f66a-4768-b3cf-48c5dc920dbe" xsi:nil="true"/>
    <ERIS_OtherReference xmlns="08acf695-f66a-4768-b3cf-48c5dc920dbe" xsi:nil="true"/>
    <MeetingApprovalPath xmlns="08acf695-f66a-4768-b3cf-48c5dc920dbe" xsi:nil="true"/>
    <ERIS_ProjectManager xmlns="08acf695-f66a-4768-b3cf-48c5dc920dbe">
      <UserInfo>
        <DisplayName/>
        <AccountId>84</AccountId>
        <AccountType/>
      </UserInfo>
    </ERIS_ProjectManager>
    <o5b23233268c446795eaad3746ea89f6 xmlns="08acf695-f66a-4768-b3cf-48c5dc920dbe">
      <Terms xmlns="http://schemas.microsoft.com/office/infopath/2007/PartnerControls">
        <TermInfo xmlns="http://schemas.microsoft.com/office/infopath/2007/PartnerControls">
          <TermName xmlns="http://schemas.microsoft.com/office/infopath/2007/PartnerControls">Technical Document</TermName>
          <TermId xmlns="http://schemas.microsoft.com/office/infopath/2007/PartnerControls">1a5bea9a-9455-4b42-9695-f3d22fbcc445</TermId>
        </TermInfo>
      </Terms>
    </o5b23233268c446795eaad3746ea89f6>
    <FilenameMeetingAgendaNo xmlns="08acf695-f66a-4768-b3cf-48c5dc920dbe" xsi:nil="true"/>
    <FilenameMeetingNo xmlns="08acf695-f66a-4768-b3cf-48c5dc920dbe" xsi:nil="true"/>
    <SharedWithUsers xmlns="14552ce3-aede-469a-b216-8dc8ba25f2ec">
      <UserInfo>
        <DisplayName>Lars Dieckhoff</DisplayName>
        <AccountId>90</AccountId>
        <AccountType/>
      </UserInfo>
      <UserInfo>
        <DisplayName>Raluca Corona Cosa</DisplayName>
        <AccountId>315</AccountId>
        <AccountType/>
      </UserInfo>
      <UserInfo>
        <DisplayName>Frederik Vandenweghe</DisplayName>
        <AccountId>148</AccountId>
        <AccountType/>
      </UserInfo>
      <UserInfo>
        <DisplayName>Aitor Azcoaga</DisplayName>
        <AccountId>135</AccountId>
        <AccountType/>
      </UserInfo>
      <UserInfo>
        <DisplayName>Alexandra Tsiotras</DisplayName>
        <AccountId>457</AccountId>
        <AccountType/>
      </UserInfo>
      <UserInfo>
        <DisplayName>Sebastiano Russo</DisplayName>
        <AccountId>293</AccountId>
        <AccountType/>
      </UserInfo>
      <UserInfo>
        <DisplayName>Ekaterina Voronina</DisplayName>
        <AccountId>296</AccountId>
        <AccountType/>
      </UserInfo>
      <UserInfo>
        <DisplayName>Casper Christophersen</DisplayName>
        <AccountId>139</AccountId>
        <AccountType/>
      </UserInfo>
      <UserInfo>
        <DisplayName>Alin Draghiciu</DisplayName>
        <AccountId>320</AccountId>
        <AccountType/>
      </UserInfo>
      <UserInfo>
        <DisplayName>Jan Rauland</DisplayName>
        <AccountId>149</AccountId>
        <AccountType/>
      </UserInfo>
      <UserInfo>
        <DisplayName>Katalin Sztatisz</DisplayName>
        <AccountId>246</AccountId>
        <AccountType/>
      </UserInfo>
      <UserInfo>
        <DisplayName>Mattia Duma</DisplayName>
        <AccountId>365</AccountId>
        <AccountType/>
      </UserInfo>
      <UserInfo>
        <DisplayName>Stephane Dang-Nguyen</DisplayName>
        <AccountId>348</AccountId>
        <AccountType/>
      </UserInfo>
      <UserInfo>
        <DisplayName>Ivana Dukoska</DisplayName>
        <AccountId>599</AccountId>
        <AccountType/>
      </UserInfo>
      <UserInfo>
        <DisplayName>Zakaria Raiti</DisplayName>
        <AccountId>386</AccountId>
        <AccountType/>
      </UserInfo>
    </SharedWithUsers>
  </documentManagement>
</p:properties>
</file>

<file path=customXml/item2.xml><?xml version="1.0" encoding="utf-8"?>
<?mso-contentType ?>
<FormTemplates>
  <Display>DocumentLibraryForm</Display>
  <Edit>DocumentLibraryForm</Edit>
  <New>DocumentLibraryForm</New>
  <MobileDisplayFormUrl/>
  <MobileEditFormUrl/>
  <MobileNewFormUrl/>
</FormTemplates>
</file>

<file path=customXml/item3.xml><?xml version="1.0" encoding="utf-8"?>
<?mso-contentType ?>
<FormTemplates xmlns="http://schemas.microsoft.com/sharepoint/v3/contenttype/forms">
  <Display>NFListDisplayForm</Display>
  <Edit>NFListEditForm</Edit>
  <New>NFListEditForm</New>
</FormTemplates>
</file>

<file path=customXml/item4.xml><?xml version="1.0" encoding="utf-8"?>
<?mso-contentType ?>
<FormUrls xmlns="http://schemas.microsoft.com/sharepoint/v3/contenttype/forms/url">
  <MobileDisplay>_layouts/15/NintexForms/Mobile/DispForm.aspx</MobileDisplay>
  <MobileEdit>_layouts/15/NintexForms/Mobile/EditForm.aspx</MobileEdit>
  <MobileNew>_layouts/15/NintexForms/Mobile/NewForm.aspx</MobileNew>
</FormUrls>
</file>

<file path=customXml/item5.xml><?xml version="1.0" encoding="utf-8"?>
<ct:contentTypeSchema xmlns:ct="http://schemas.microsoft.com/office/2006/metadata/contentType" xmlns:ma="http://schemas.microsoft.com/office/2006/metadata/properties/metaAttributes" ct:_="" ma:_="" ma:contentTypeName="ERIS Document" ma:contentTypeID="0x010100BD4417634701014DA0CDE7BA7EA0A0370002DF3DDF7691E4409AE7A817C9B92618" ma:contentTypeVersion="58" ma:contentTypeDescription="" ma:contentTypeScope="" ma:versionID="883aa36cf946230a6c09f75e1e0d5f70">
  <xsd:schema xmlns:xsd="http://www.w3.org/2001/XMLSchema" xmlns:xs="http://www.w3.org/2001/XMLSchema" xmlns:p="http://schemas.microsoft.com/office/2006/metadata/properties" xmlns:ns1="http://schemas.microsoft.com/sharepoint/v3" xmlns:ns2="08acf695-f66a-4768-b3cf-48c5dc920dbe" xmlns:ns3="http://schemas.microsoft.com/sharepoint/v4" xmlns:ns4="14552ce3-aede-469a-b216-8dc8ba25f2ec" targetNamespace="http://schemas.microsoft.com/office/2006/metadata/properties" ma:root="true" ma:fieldsID="a25a28b2d1429c77038109ef0af8031c" ns1:_="" ns2:_="" ns3:_="" ns4:_="">
    <xsd:import namespace="http://schemas.microsoft.com/sharepoint/v3"/>
    <xsd:import namespace="08acf695-f66a-4768-b3cf-48c5dc920dbe"/>
    <xsd:import namespace="http://schemas.microsoft.com/sharepoint/v4"/>
    <xsd:import namespace="14552ce3-aede-469a-b216-8dc8ba25f2ec"/>
    <xsd:element name="properties">
      <xsd:complexType>
        <xsd:sequence>
          <xsd:element name="documentManagement">
            <xsd:complexType>
              <xsd:all>
                <xsd:element ref="ns2:o5b23233268c446795eaad3746ea89f6" minOccurs="0"/>
                <xsd:element ref="ns2:bd0590dde75a4281b274cfe17b88f084" minOccurs="0"/>
                <xsd:element ref="ns2:ERIS_ConfidentialityLevel"/>
                <xsd:element ref="ns2:ERIS_AdditionalMarkings" minOccurs="0"/>
                <xsd:element ref="ns2:ERIS_ApprovalStatus" minOccurs="0"/>
                <xsd:element ref="ns2:ib9b5da6129a4764bff7589b09465f44" minOccurs="0"/>
                <xsd:element ref="ns2:b951eb87927b40548bb1fcfe6ad9c4d4" minOccurs="0"/>
                <xsd:element ref="ns2:ERIS_OtherReference" minOccurs="0"/>
                <xsd:element ref="ns2:ERIS_Relation" minOccurs="0"/>
                <xsd:element ref="ns2:ERIS_AssignedTo" minOccurs="0"/>
                <xsd:element ref="ns2:ERIS_RecordNumber" minOccurs="0"/>
                <xsd:element ref="ns1:FormData" minOccurs="0"/>
                <xsd:element ref="ns2:ERIS_ProjectManager" minOccurs="0"/>
                <xsd:element ref="ns2:ERIS_ProjectEndDate" minOccurs="0"/>
                <xsd:element ref="ns2:ERIS_ProjectID" minOccurs="0"/>
                <xsd:element ref="ns2:oc1166516e544752abf9d2d1855ee661" minOccurs="0"/>
                <xsd:element ref="ns3:IconOverlay" minOccurs="0"/>
                <xsd:element ref="ns2:ERIS_SupersededObsolete" minOccurs="0"/>
                <xsd:element ref="ns4:SharedWithUsers" minOccurs="0"/>
                <xsd:element ref="ns2:ERIS_BusinessArea" minOccurs="0"/>
                <xsd:element ref="ns2:TaxCatchAll" minOccurs="0"/>
                <xsd:element ref="ns2:FilenameMeetingType" minOccurs="0"/>
                <xsd:element ref="ns2:NextMeetingType" minOccurs="0"/>
                <xsd:element ref="ns2:FilenameMeetingAgendaNo" minOccurs="0"/>
                <xsd:element ref="ns2:FilenameMeetingNo" minOccurs="0"/>
                <xsd:element ref="ns2:NextMeeting" minOccurs="0"/>
                <xsd:element ref="ns2:SourceDocumentInfo" minOccurs="0"/>
                <xsd:element ref="ns2:NextMeetingSubfolder" minOccurs="0"/>
                <xsd:element ref="ns2:SubmittingDepartment" minOccurs="0"/>
                <xsd:element ref="ns2:MeetingApprovalPat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FormData" ma:index="23" nillable="true" ma:displayName="Form Data" ma:hidden="true" ma:internalName="FormData"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8acf695-f66a-4768-b3cf-48c5dc920dbe" elementFormDefault="qualified">
    <xsd:import namespace="http://schemas.microsoft.com/office/2006/documentManagement/types"/>
    <xsd:import namespace="http://schemas.microsoft.com/office/infopath/2007/PartnerControls"/>
    <xsd:element name="o5b23233268c446795eaad3746ea89f6" ma:index="8" ma:taxonomy="true" ma:internalName="o5b23233268c446795eaad3746ea89f6" ma:taxonomyFieldName="ERIS_DocumentType" ma:displayName="Document Type" ma:readOnly="false" ma:fieldId="{85b23233-268c-4467-95ea-ad3746ea89f6}" ma:sspId="2b1776d1-ae3b-49f8-a97b-1474fa7fa346" ma:termSetId="8291263e-1670-46c0-b090-f3efb02d9c12" ma:anchorId="00000000-0000-0000-0000-000000000000" ma:open="false" ma:isKeyword="false">
      <xsd:complexType>
        <xsd:sequence>
          <xsd:element ref="pc:Terms" minOccurs="0" maxOccurs="1"/>
        </xsd:sequence>
      </xsd:complexType>
    </xsd:element>
    <xsd:element name="bd0590dde75a4281b274cfe17b88f084" ma:index="10" ma:taxonomy="true" ma:internalName="bd0590dde75a4281b274cfe17b88f084" ma:taxonomyFieldName="ERIS_Keywords" ma:displayName="Keywords" ma:readOnly="false" ma:default="4;#Prudential Policy|43245a93-b13b-4262-9edd-8f7887118150" ma:fieldId="{bd0590dd-e75a-4281-b274-cfe17b88f084}" ma:taxonomyMulti="true" ma:sspId="2b1776d1-ae3b-49f8-a97b-1474fa7fa346" ma:termSetId="041e8d27-50b6-44df-be8e-d4aba88ea6ef" ma:anchorId="00000000-0000-0000-0000-000000000000" ma:open="false" ma:isKeyword="false">
      <xsd:complexType>
        <xsd:sequence>
          <xsd:element ref="pc:Terms" minOccurs="0" maxOccurs="1"/>
        </xsd:sequence>
      </xsd:complexType>
    </xsd:element>
    <xsd:element name="ERIS_ConfidentialityLevel" ma:index="12" ma:displayName="Confidentiality Level" ma:default="EIOPA Regular Use" ma:format="Dropdown" ma:internalName="ERIS_ConfidentialityLevel" ma:readOnly="false">
      <xsd:simpleType>
        <xsd:restriction base="dms:Choice">
          <xsd:enumeration value="PUBLIC"/>
          <xsd:enumeration value="EIOPA Regular Use"/>
          <xsd:enumeration value="EIOPA Restricted Use"/>
          <xsd:enumeration value="EIOPA Confidential Use"/>
        </xsd:restriction>
      </xsd:simpleType>
    </xsd:element>
    <xsd:element name="ERIS_AdditionalMarkings" ma:index="13" nillable="true" ma:displayName="Additional Markings" ma:format="Dropdown" ma:internalName="ERIS_AdditionalMarkings">
      <xsd:simpleType>
        <xsd:union memberTypes="dms:Text">
          <xsd:simpleType>
            <xsd:restriction base="dms:Choice">
              <xsd:enumeration value="‍​​‍‍​‍​​‍﻿﻿﻿"/>
              <xsd:enumeration value="Limited"/>
              <xsd:enumeration value="Internal Use Only"/>
              <xsd:enumeration value="Personal Data"/>
              <xsd:enumeration value="Staff Matter"/>
              <xsd:enumeration value="Management Only"/>
            </xsd:restriction>
          </xsd:simpleType>
        </xsd:union>
      </xsd:simpleType>
    </xsd:element>
    <xsd:element name="ERIS_ApprovalStatus" ma:index="14" nillable="true" ma:displayName="Approval Status" ma:default="DRAFT" ma:format="Dropdown" ma:internalName="ERIS_ApprovalStatus">
      <xsd:simpleType>
        <xsd:restriction base="dms:Choice">
          <xsd:enumeration value="DRAFT"/>
          <xsd:enumeration value="UNDER REVIEW"/>
          <xsd:enumeration value="FINAL"/>
          <xsd:enumeration value="N/A"/>
        </xsd:restriction>
      </xsd:simpleType>
    </xsd:element>
    <xsd:element name="ib9b5da6129a4764bff7589b09465f44" ma:index="15" nillable="true" ma:taxonomy="true" ma:internalName="ib9b5da6129a4764bff7589b09465f44" ma:taxonomyFieldName="ERIS_Department" ma:displayName="EIOPA Department" ma:default="" ma:fieldId="{2b9b5da6-129a-4764-bff7-589b09465f44}" ma:sspId="2b1776d1-ae3b-49f8-a97b-1474fa7fa346" ma:termSetId="2f2a64c9-9254-4d19-9904-51fea509003d" ma:anchorId="00000000-0000-0000-0000-000000000000" ma:open="false" ma:isKeyword="false">
      <xsd:complexType>
        <xsd:sequence>
          <xsd:element ref="pc:Terms" minOccurs="0" maxOccurs="1"/>
        </xsd:sequence>
      </xsd:complexType>
    </xsd:element>
    <xsd:element name="b951eb87927b40548bb1fcfe6ad9c4d4" ma:index="17" nillable="true" ma:taxonomy="true" ma:internalName="b951eb87927b40548bb1fcfe6ad9c4d4" ma:taxonomyFieldName="ERIS_Language" ma:displayName="Language" ma:default="3;#English|2741a941-2920-4ba4-aa70-d8ed6ac1785d" ma:fieldId="{b951eb87-927b-4054-8bb1-fcfe6ad9c4d4}" ma:taxonomyMulti="true" ma:sspId="2b1776d1-ae3b-49f8-a97b-1474fa7fa346" ma:termSetId="315add97-73bf-465d-a942-81c36fc30c96" ma:anchorId="00000000-0000-0000-0000-000000000000" ma:open="false" ma:isKeyword="false">
      <xsd:complexType>
        <xsd:sequence>
          <xsd:element ref="pc:Terms" minOccurs="0" maxOccurs="1"/>
        </xsd:sequence>
      </xsd:complexType>
    </xsd:element>
    <xsd:element name="ERIS_OtherReference" ma:index="19" nillable="true" ma:displayName="Other Reference" ma:internalName="ERIS_OtherReference">
      <xsd:simpleType>
        <xsd:restriction base="dms:Text"/>
      </xsd:simpleType>
    </xsd:element>
    <xsd:element name="ERIS_Relation" ma:index="20" nillable="true" ma:displayName="Relation" ma:internalName="ERIS_Relation">
      <xsd:simpleType>
        <xsd:restriction base="dms:Text"/>
      </xsd:simpleType>
    </xsd:element>
    <xsd:element name="ERIS_AssignedTo" ma:index="21" nillable="true" ma:displayName="Assigned To" ma:internalName="ERIS_AssignedTo"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RIS_RecordNumber" ma:index="22" nillable="true" ma:displayName="Record Number" ma:internalName="ERIS_RecordNumber">
      <xsd:simpleType>
        <xsd:restriction base="dms:Text"/>
      </xsd:simpleType>
    </xsd:element>
    <xsd:element name="ERIS_ProjectManager" ma:index="24" nillable="true" ma:displayName="Project Manager" ma:internalName="ERIS_ProjectManag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RIS_ProjectEndDate" ma:index="25" nillable="true" ma:displayName="Project End Date" ma:format="DateOnly" ma:internalName="ERIS_ProjectEndDate">
      <xsd:simpleType>
        <xsd:restriction base="dms:DateTime"/>
      </xsd:simpleType>
    </xsd:element>
    <xsd:element name="ERIS_ProjectID" ma:index="26" nillable="true" ma:displayName="Project ID" ma:internalName="ERIS_ProjectID">
      <xsd:simpleType>
        <xsd:restriction base="dms:Text"/>
      </xsd:simpleType>
    </xsd:element>
    <xsd:element name="oc1166516e544752abf9d2d1855ee661" ma:index="27" nillable="true" ma:taxonomy="true" ma:internalName="oc1166516e544752abf9d2d1855ee661" ma:taxonomyFieldName="ERIS_LeadDepartment" ma:displayName="Lead Department" ma:readOnly="false" ma:fieldId="{8c116651-6e54-4752-abf9-d2d1855ee661}" ma:sspId="2b1776d1-ae3b-49f8-a97b-1474fa7fa346" ma:termSetId="2f2a64c9-9254-4d19-9904-51fea509003d" ma:anchorId="00000000-0000-0000-0000-000000000000" ma:open="false" ma:isKeyword="false">
      <xsd:complexType>
        <xsd:sequence>
          <xsd:element ref="pc:Terms" minOccurs="0" maxOccurs="1"/>
        </xsd:sequence>
      </xsd:complexType>
    </xsd:element>
    <xsd:element name="ERIS_SupersededObsolete" ma:index="30" nillable="true" ma:displayName="Superseded/Obsolete?" ma:default="0" ma:internalName="ERIS_SupersededObsolete">
      <xsd:simpleType>
        <xsd:restriction base="dms:Boolean"/>
      </xsd:simpleType>
    </xsd:element>
    <xsd:element name="ERIS_BusinessArea" ma:index="32" nillable="true" ma:displayName="Business Area" ma:format="Dropdown" ma:internalName="ERIS_BusinessArea">
      <xsd:simpleType>
        <xsd:union memberTypes="dms:Text">
          <xsd:simpleType>
            <xsd:restriction base="dms:Choice">
              <xsd:enumeration value="Corporate Affairs Department"/>
              <xsd:enumeration value="Policy and Supervisory Convergence Department"/>
              <xsd:enumeration value="Policy Department"/>
              <xsd:enumeration value="Supervisory Processes Department"/>
              <xsd:enumeration value="Oversight Department"/>
              <xsd:enumeration value="Risk &amp; Financial Stability Department"/>
              <xsd:enumeration value="Consumer Protection Department"/>
              <xsd:enumeration value="Corporate Support Department"/>
              <xsd:enumeration value="Chairperson"/>
              <xsd:enumeration value="Executive Director"/>
              <xsd:enumeration value="Management Board"/>
              <xsd:enumeration value="Board of Supervisors"/>
            </xsd:restriction>
          </xsd:simpleType>
        </xsd:union>
      </xsd:simpleType>
    </xsd:element>
    <xsd:element name="TaxCatchAll" ma:index="33" nillable="true" ma:displayName="Taxonomy Catch All Column" ma:hidden="true" ma:list="{269eaf7d-3942-436b-9833-c35ed307f50b}" ma:internalName="TaxCatchAll" ma:showField="CatchAllData" ma:web="08acf695-f66a-4768-b3cf-48c5dc920dbe">
      <xsd:complexType>
        <xsd:complexContent>
          <xsd:extension base="dms:MultiChoiceLookup">
            <xsd:sequence>
              <xsd:element name="Value" type="dms:Lookup" maxOccurs="unbounded" minOccurs="0" nillable="true"/>
            </xsd:sequence>
          </xsd:extension>
        </xsd:complexContent>
      </xsd:complexType>
    </xsd:element>
    <xsd:element name="FilenameMeetingType" ma:index="34" nillable="true" ma:displayName="FilenameMeetingType" ma:internalName="FilenameMeetingType">
      <xsd:simpleType>
        <xsd:restriction base="dms:Choice">
          <xsd:enumeration value="MB"/>
          <xsd:enumeration value="BoS"/>
          <xsd:enumeration value="..."/>
        </xsd:restriction>
      </xsd:simpleType>
    </xsd:element>
    <xsd:element name="NextMeetingType" ma:index="35" nillable="true" ma:displayName="NextMeetingType" ma:internalName="NextMeetingType">
      <xsd:simpleType>
        <xsd:restriction base="dms:Choice">
          <xsd:enumeration value="SMM"/>
          <xsd:enumeration value="MB"/>
          <xsd:enumeration value="BoS"/>
          <xsd:enumeration value="..."/>
        </xsd:restriction>
      </xsd:simpleType>
    </xsd:element>
    <xsd:element name="FilenameMeetingAgendaNo" ma:index="36" nillable="true" ma:displayName="FilenameMeetingAgendaNo" ma:internalName="FilenameMeetingAgendaNo">
      <xsd:simpleType>
        <xsd:restriction base="dms:Text"/>
      </xsd:simpleType>
    </xsd:element>
    <xsd:element name="FilenameMeetingNo" ma:index="37" nillable="true" ma:displayName="FilenameMeetingNo" ma:internalName="FilenameMeetingNo">
      <xsd:simpleType>
        <xsd:restriction base="dms:Text"/>
      </xsd:simpleType>
    </xsd:element>
    <xsd:element name="NextMeeting" ma:index="38" nillable="true" ma:displayName="NextMeeting" ma:internalName="NextMeeting">
      <xsd:simpleType>
        <xsd:restriction base="dms:Text"/>
      </xsd:simpleType>
    </xsd:element>
    <xsd:element name="SourceDocumentInfo" ma:index="39" nillable="true" ma:displayName="SourceDocumentInfo" ma:internalName="SourceDocumentInfo">
      <xsd:simpleType>
        <xsd:restriction base="dms:Note">
          <xsd:maxLength value="255"/>
        </xsd:restriction>
      </xsd:simpleType>
    </xsd:element>
    <xsd:element name="NextMeetingSubfolder" ma:index="40" nillable="true" ma:displayName="NextMeetingSubfolder" ma:internalName="NextMeetingSubfolder">
      <xsd:simpleType>
        <xsd:restriction base="dms:Text"/>
      </xsd:simpleType>
    </xsd:element>
    <xsd:element name="SubmittingDepartment" ma:index="41" nillable="true" ma:displayName="SubmittingDepartment" ma:internalName="SubmittingDepartment">
      <xsd:simpleType>
        <xsd:restriction base="dms:Text"/>
      </xsd:simpleType>
    </xsd:element>
    <xsd:element name="MeetingApprovalPath" ma:index="42" nillable="true" ma:displayName="MeetingApprovalPath" ma:internalName="MeetingApprovalPath">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4552ce3-aede-469a-b216-8dc8ba25f2ec" elementFormDefault="qualified">
    <xsd:import namespace="http://schemas.microsoft.com/office/2006/documentManagement/types"/>
    <xsd:import namespace="http://schemas.microsoft.com/office/infopath/2007/PartnerControls"/>
    <xsd:element name="SharedWithUsers" ma:index="3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mso-contentType ?>
<spe:Receivers xmlns:spe="http://schemas.microsoft.com/sharepoint/events">
  <Receiver>
    <Name/>
    <Synchronization>Asynchronous</Synchronization>
    <Type>10003</Type>
    <SequenceNumber>10000</SequenceNumber>
    <Url/>
    <Assembly>RecordPoint.Active.UI, Version=1.0.0.0, Culture=neutral, PublicKeyToken=d49476ae5b650bf3</Assembly>
    <Class>RecordPoint.Active.UI.Events.WorkflowItemEventReceiver</Class>
    <Data/>
    <Filter/>
  </Receiver>
  <Receiver>
    <Name/>
    <Synchronization>Synchronous</Synchronization>
    <Type>3</Type>
    <SequenceNumber>10000</SequenceNumber>
    <Url/>
    <Assembly>RecordPoint.Active.UI, Version=1.0.0.0, Culture=neutral, PublicKeyToken=d49476ae5b650bf3</Assembly>
    <Class>RecordPoint.Active.UI.Events.WorkflowItemEventReceiver</Class>
    <Data/>
    <Filter/>
  </Receiver>
  <Receiver>
    <Name/>
    <Synchronization>Asynchronous</Synchronization>
    <Type>10009</Type>
    <SequenceNumber>10000</SequenceNumber>
    <Url/>
    <Assembly>RecordPoint.Active.UI, Version=1.0.0.0, Culture=neutral, PublicKeyToken=d49476ae5b650bf3</Assembly>
    <Class>RecordPoint.Active.UI.Events.WorkflowItemEventReceiver</Class>
    <Data/>
    <Filter/>
  </Receiver>
  <Receiver>
    <Name/>
    <Synchronization>Synchronous</Synchronization>
    <Type>9</Type>
    <SequenceNumber>10000</SequenceNumber>
    <Url/>
    <Assembly>RecordPoint.Active.UI, Version=1.0.0.0, Culture=neutral, PublicKeyToken=d49476ae5b650bf3</Assembly>
    <Class>RecordPoint.Active.UI.Events.WorkflowItemEventReceiver</Class>
    <Data/>
    <Filter/>
  </Receiver>
  <Receiver>
    <Name/>
    <Synchronization>Asynchronous</Synchronization>
    <Type>10103</Type>
    <SequenceNumber>10000</SequenceNumber>
    <Url/>
    <Assembly>RecordPoint.Active.UI, Version=1.0.0.0, Culture=neutral, PublicKeyToken=d49476ae5b650bf3</Assembly>
    <Class>RecordPoint.Active.UI.Events.WorkflowListEventReceiver</Class>
    <Data/>
    <Filter/>
  </Receiver>
  <Receiver>
    <Name/>
    <Synchronization>Synchronous</Synchronization>
    <Type>102</Type>
    <SequenceNumber>10000</SequenceNumber>
    <Url/>
    <Assembly>RecordPoint.Active.UI, Version=1.0.0.0, Culture=neutral, PublicKeyToken=d49476ae5b650bf3</Assembly>
    <Class>RecordPoint.Active.UI.Events.WorkflowListEventReceiver</Class>
    <Data/>
    <Filter/>
  </Receiver>
  <Receiver>
    <Name/>
    <Synchronization>Asynchronous</Synchronization>
    <Type>10105</Type>
    <SequenceNumber>10000</SequenceNumber>
    <Url/>
    <Assembly>RecordPoint.Active.UI, Version=1.0.0.0, Culture=neutral, PublicKeyToken=d49476ae5b650bf3</Assembly>
    <Class>RecordPoint.Active.UI.Events.WorkflowListEventReceiver</Class>
    <Data/>
    <Filter/>
  </Receiver>
  <Receiver>
    <Name/>
    <Synchronization>Synchronous</Synchronization>
    <Type>105</Type>
    <SequenceNumber>10000</SequenceNumber>
    <Url/>
    <Assembly>RecordPoint.Active.UI, Version=1.0.0.0, Culture=neutral, PublicKeyToken=d49476ae5b650bf3</Assembly>
    <Class>RecordPoint.Active.UI.Events.WorkflowListEventReceiver</Class>
    <Data/>
    <Filter/>
  </Receiver>
  <Receiver>
    <Name/>
    <Synchronization>Asynchronous</Synchronization>
    <Type>10002</Type>
    <SequenceNumber>10000</SequenceNumber>
    <Url/>
    <Assembly>RecordPoint.Active.UI, Version=1.0.0.0, Culture=neutral, PublicKeyToken=d49476ae5b650bf3</Assembly>
    <Class>RecordPoint.Active.UI.Events.WorkflowItemEventReceiver</Class>
    <Data/>
    <Filter/>
  </Receiver>
  <Receiver>
    <Name/>
    <Synchronization>Synchronous</Synchronization>
    <Type>2</Type>
    <SequenceNumber>10000</SequenceNumber>
    <Url/>
    <Assembly>RecordPoint.Active.UI, Version=1.0.0.0, Culture=neutral, PublicKeyToken=d49476ae5b650bf3</Assembly>
    <Class>RecordPoint.Active.UI.Events.WorkflowItemEventReceiver</Class>
    <Data/>
    <Filter/>
  </Receiver>
</spe:Receivers>
</file>

<file path=customXml/itemProps1.xml><?xml version="1.0" encoding="utf-8"?>
<ds:datastoreItem xmlns:ds="http://schemas.openxmlformats.org/officeDocument/2006/customXml" ds:itemID="{B1E4F156-2815-431A-8CC4-BF25301E86D4}">
  <ds:schemaRefs>
    <ds:schemaRef ds:uri="http://schemas.openxmlformats.org/package/2006/metadata/core-properties"/>
    <ds:schemaRef ds:uri="http://purl.org/dc/elements/1.1/"/>
    <ds:schemaRef ds:uri="http://www.w3.org/XML/1998/namespace"/>
    <ds:schemaRef ds:uri="http://schemas.microsoft.com/sharepoint/v3"/>
    <ds:schemaRef ds:uri="http://schemas.microsoft.com/sharepoint/v4"/>
    <ds:schemaRef ds:uri="http://purl.org/dc/dcmitype/"/>
    <ds:schemaRef ds:uri="http://schemas.microsoft.com/office/2006/documentManagement/types"/>
    <ds:schemaRef ds:uri="http://schemas.microsoft.com/office/infopath/2007/PartnerControls"/>
    <ds:schemaRef ds:uri="14552ce3-aede-469a-b216-8dc8ba25f2ec"/>
    <ds:schemaRef ds:uri="08acf695-f66a-4768-b3cf-48c5dc920dbe"/>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936CC846-DB8B-493B-9453-657DF7E2256C}">
  <ds:schemaRefs/>
</ds:datastoreItem>
</file>

<file path=customXml/itemProps3.xml><?xml version="1.0" encoding="utf-8"?>
<ds:datastoreItem xmlns:ds="http://schemas.openxmlformats.org/officeDocument/2006/customXml" ds:itemID="{4A857837-3ADF-4A3B-974E-61F1E0ADCAE9}">
  <ds:schemaRefs>
    <ds:schemaRef ds:uri="http://schemas.microsoft.com/sharepoint/v3/contenttype/forms"/>
  </ds:schemaRefs>
</ds:datastoreItem>
</file>

<file path=customXml/itemProps4.xml><?xml version="1.0" encoding="utf-8"?>
<ds:datastoreItem xmlns:ds="http://schemas.openxmlformats.org/officeDocument/2006/customXml" ds:itemID="{8AA40518-B981-4433-A2ED-65B1E2122910}">
  <ds:schemaRefs>
    <ds:schemaRef ds:uri="http://schemas.microsoft.com/sharepoint/v3/contenttype/forms/url"/>
  </ds:schemaRefs>
</ds:datastoreItem>
</file>

<file path=customXml/itemProps5.xml><?xml version="1.0" encoding="utf-8"?>
<ds:datastoreItem xmlns:ds="http://schemas.openxmlformats.org/officeDocument/2006/customXml" ds:itemID="{9957AAE9-C158-4C31-B0C2-11BDB15AE0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8acf695-f66a-4768-b3cf-48c5dc920dbe"/>
    <ds:schemaRef ds:uri="http://schemas.microsoft.com/sharepoint/v4"/>
    <ds:schemaRef ds:uri="14552ce3-aede-469a-b216-8dc8ba25f2e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5DEA1148-86D7-47A0-9CB0-078A60A11F06}">
  <ds:schemaRefs>
    <ds:schemaRef ds:uri="http://schemas.microsoft.com/sharepoint/events"/>
  </ds:schemaRefs>
</ds:datastoreItem>
</file>

<file path=docMetadata/LabelInfo.xml><?xml version="1.0" encoding="utf-8"?>
<clbl:labelList xmlns:clbl="http://schemas.microsoft.com/office/2020/mipLabelMetadata">
  <clbl:label id="{22bd4e6d-0e2e-4dac-b1dd-579e280f06c3}" enabled="1" method="Privileged" siteId="{80ee919c-4c6c-4277-8e2f-42f865a1fd14}"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58</vt:i4>
      </vt:variant>
    </vt:vector>
  </HeadingPairs>
  <TitlesOfParts>
    <vt:vector size="66" baseType="lpstr">
      <vt:lpstr>Overview</vt:lpstr>
      <vt:lpstr>Input Data &amp; Extrapolation</vt:lpstr>
      <vt:lpstr>CSSR Calculation</vt:lpstr>
      <vt:lpstr>VA Term Structures</vt:lpstr>
      <vt:lpstr>IRR Up Shock</vt:lpstr>
      <vt:lpstr>IRR Down Shock</vt:lpstr>
      <vt:lpstr>Disclaimer</vt:lpstr>
      <vt:lpstr>Parameters</vt:lpstr>
      <vt:lpstr>L.BOOL</vt:lpstr>
      <vt:lpstr>L.INSTRUMENT</vt:lpstr>
      <vt:lpstr>R.BASECURVE</vt:lpstr>
      <vt:lpstr>R.BASIC_RFR</vt:lpstr>
      <vt:lpstr>R.BOOTSTRAPPED_CURVE</vt:lpstr>
      <vt:lpstr>R.DLT</vt:lpstr>
      <vt:lpstr>R.FORWARDS_CC</vt:lpstr>
      <vt:lpstr>R.FWD_CURVE</vt:lpstr>
      <vt:lpstr>R.FWD_VA_CURVE</vt:lpstr>
      <vt:lpstr>R.IRR_BM_DOWN</vt:lpstr>
      <vt:lpstr>R.IRR_BM_UP</vt:lpstr>
      <vt:lpstr>R.IRR_SHOCK_DOWN_CC</vt:lpstr>
      <vt:lpstr>R.IRR_SHOCK_UP_CC</vt:lpstr>
      <vt:lpstr>R.IRR_SM_DOWN</vt:lpstr>
      <vt:lpstr>R.IRR_SM_UP</vt:lpstr>
      <vt:lpstr>R.LLFR_WEIGHTS</vt:lpstr>
      <vt:lpstr>R.MATURITY</vt:lpstr>
      <vt:lpstr>R.NOTIONAL_VA_CURVE</vt:lpstr>
      <vt:lpstr>R.RFR_PLUS_TOTAL_VA_CURVE</vt:lpstr>
      <vt:lpstr>R.RM_FLOOR</vt:lpstr>
      <vt:lpstr>R.VA_CURVE</vt:lpstr>
      <vt:lpstr>V.ALPHA</vt:lpstr>
      <vt:lpstr>V.BEL</vt:lpstr>
      <vt:lpstr>V.BEL_NOTIONAL</vt:lpstr>
      <vt:lpstr>V.COPYRIGHT</vt:lpstr>
      <vt:lpstr>V.COUPON_FREQ</vt:lpstr>
      <vt:lpstr>V.CRA</vt:lpstr>
      <vt:lpstr>V.CSSR</vt:lpstr>
      <vt:lpstr>V.CURRENCY_VA</vt:lpstr>
      <vt:lpstr>V.DTTA</vt:lpstr>
      <vt:lpstr>V.EXTRAPOLATION_SELECTED</vt:lpstr>
      <vt:lpstr>V.FSP</vt:lpstr>
      <vt:lpstr>V.INPUT_LLFR</vt:lpstr>
      <vt:lpstr>V.INSTRUMENT</vt:lpstr>
      <vt:lpstr>V.LLFR</vt:lpstr>
      <vt:lpstr>V.LLFR_IRR_DOWN</vt:lpstr>
      <vt:lpstr>V.LLFR_IRR_UP</vt:lpstr>
      <vt:lpstr>V.LLFR_STAR_IRR_DOWN</vt:lpstr>
      <vt:lpstr>V.LLFR_STAR_IRR_UP</vt:lpstr>
      <vt:lpstr>V.LLFR_SUM_ERROR</vt:lpstr>
      <vt:lpstr>V.MACRO_VA</vt:lpstr>
      <vt:lpstr>V.MACROVA_SELECTED</vt:lpstr>
      <vt:lpstr>V.MVFI</vt:lpstr>
      <vt:lpstr>V.MVFI_NOTIONAL</vt:lpstr>
      <vt:lpstr>V.NOTIONAL_VA</vt:lpstr>
      <vt:lpstr>V.NOTIONAL_VA_LLFR</vt:lpstr>
      <vt:lpstr>V.PVBP_BEL</vt:lpstr>
      <vt:lpstr>V.PVBP_MVFI</vt:lpstr>
      <vt:lpstr>V.RCS_CO</vt:lpstr>
      <vt:lpstr>V.RCS_CU</vt:lpstr>
      <vt:lpstr>V.TOTAL_VA</vt:lpstr>
      <vt:lpstr>V.TOTAL_VA_LLFR</vt:lpstr>
      <vt:lpstr>V.UFR</vt:lpstr>
      <vt:lpstr>V.UFR_DOWN</vt:lpstr>
      <vt:lpstr>V.UFR_UP</vt:lpstr>
      <vt:lpstr>V.USA</vt:lpstr>
      <vt:lpstr>V.USA_SELECTED</vt:lpstr>
      <vt:lpstr>V.W_CO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Florentin Harbich</dc:creator>
  <cp:lastModifiedBy>gregor Fabjan</cp:lastModifiedBy>
  <dcterms:created xsi:type="dcterms:W3CDTF">2025-07-14T12:32:37Z</dcterms:created>
  <dcterms:modified xsi:type="dcterms:W3CDTF">2026-10-06T03:13:18Z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0x010100BD4417634701014DA0CDE7BA7EA0A0370002DF3DDF7691E4409AE7A817C9B92618</vt:lpwstr>
  </property>
  <property fmtid="{D5CDD505-2E9C-101B-9397-08002B2CF9AE}" pid="3" name="ERIS_LeadDepartment">
    <vt:lpwstr>9;#Supervisory Processes Department|3a9db3ad-f1a2-49c0-8c29-af39c608fb30</vt:lpwstr>
  </property>
  <property fmtid="{D5CDD505-2E9C-101B-9397-08002B2CF9AE}" pid="4" name="ERIS_Language">
    <vt:lpwstr>3;#English|2741a941-2920-4ba4-aa70-d8ed6ac1785d</vt:lpwstr>
  </property>
  <property fmtid="{D5CDD505-2E9C-101B-9397-08002B2CF9AE}" pid="5" name="ERIS_Keywords">
    <vt:lpwstr>4;#Prudential Policy|43245a93-b13b-4262-9edd-8f7887118150;#14;#Insurance|7d742bda-a71f-46ed-a0a2-2b27d7f827fc</vt:lpwstr>
  </property>
  <property fmtid="{D5CDD505-2E9C-101B-9397-08002B2CF9AE}" pid="6" name="ERIS_Department">
    <vt:lpwstr>1;#Policy Department|b4dfa58b-e139-4fed-98cd-912416c70ce5</vt:lpwstr>
  </property>
  <property fmtid="{D5CDD505-2E9C-101B-9397-08002B2CF9AE}" pid="7" name="ERIS_DocumentType">
    <vt:lpwstr>30;#Technical Document|1a5bea9a-9455-4b42-9695-f3d22fbcc445</vt:lpwstr>
  </property>
  <property fmtid="{D5CDD505-2E9C-101B-9397-08002B2CF9AE}" pid="8" name="MDU">
    <vt:lpwstr/>
  </property>
  <property fmtid="{D5CDD505-2E9C-101B-9397-08002B2CF9AE}" pid="9" name="RecordPoint_WorkflowType">
    <vt:lpwstr>ActiveSubmitStub</vt:lpwstr>
  </property>
  <property fmtid="{D5CDD505-2E9C-101B-9397-08002B2CF9AE}" pid="10" name="RecordPoint_ActiveItemWebId">
    <vt:lpwstr>{14552ce3-aede-469a-b216-8dc8ba25f2ec}</vt:lpwstr>
  </property>
  <property fmtid="{D5CDD505-2E9C-101B-9397-08002B2CF9AE}" pid="11" name="RecordPoint_ActiveItemSiteId">
    <vt:lpwstr>{7a172dfa-c9d6-41b8-93a6-13c75f55ec66}</vt:lpwstr>
  </property>
  <property fmtid="{D5CDD505-2E9C-101B-9397-08002B2CF9AE}" pid="12" name="RecordPoint_ActiveItemListId">
    <vt:lpwstr>{1d352869-d986-4d25-9568-e61eedc982cb}</vt:lpwstr>
  </property>
  <property fmtid="{D5CDD505-2E9C-101B-9397-08002B2CF9AE}" pid="13" name="RecordPoint_ActiveItemUniqueId">
    <vt:lpwstr>{931ccff5-dcd5-490c-9ff2-9f597a9e90cf}</vt:lpwstr>
  </property>
  <property fmtid="{D5CDD505-2E9C-101B-9397-08002B2CF9AE}" pid="14" name="RecordPoint_RecordNumberSubmitted">
    <vt:lpwstr>EIOPA(2026)0196524</vt:lpwstr>
  </property>
  <property fmtid="{D5CDD505-2E9C-101B-9397-08002B2CF9AE}" pid="15" name="RecordPoint_SubmissionCompleted">
    <vt:lpwstr>2026-05-20T12:57:21.8359017+02:00</vt:lpwstr>
  </property>
  <property fmtid="{D5CDD505-2E9C-101B-9397-08002B2CF9AE}" pid="16" name="RecordPoint_SubmissionDate">
    <vt:lpwstr/>
  </property>
  <property fmtid="{D5CDD505-2E9C-101B-9397-08002B2CF9AE}" pid="17" name="RecordPoint_ActiveItemMoved">
    <vt:lpwstr/>
  </property>
  <property fmtid="{D5CDD505-2E9C-101B-9397-08002B2CF9AE}" pid="18" name="RecordPoint_RecordFormat">
    <vt:lpwstr/>
  </property>
  <property fmtid="{D5CDD505-2E9C-101B-9397-08002B2CF9AE}" pid="19" name="_docset_NoMedatataSyncRequired">
    <vt:lpwstr>False</vt:lpwstr>
  </property>
</Properties>
</file>